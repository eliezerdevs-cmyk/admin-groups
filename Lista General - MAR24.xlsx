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" sheetId="1" r:id="rId4"/>
    <sheet state="visible" name="Informe" sheetId="2" r:id="rId5"/>
    <sheet state="visible" name="Lista General" sheetId="3" r:id="rId6"/>
    <sheet state="visible" name="Asistencia" sheetId="4" r:id="rId7"/>
    <sheet state="visible" name="Guardias" sheetId="5" r:id="rId8"/>
    <sheet state="visible" name="Hoja1" sheetId="6" r:id="rId9"/>
    <sheet state="visible" name="Altas" sheetId="7" r:id="rId10"/>
    <sheet state="visible" name="Bajas" sheetId="8" r:id="rId11"/>
    <sheet state="visible" name="Revisión" sheetId="9" r:id="rId12"/>
    <sheet state="visible" name="lista por edad" sheetId="10" r:id="rId13"/>
  </sheets>
  <definedNames>
    <definedName localSheetId="4" name="Z_3E12C599_4482_4A62_878B_030CF5DA4B04_.wvu.PrintTitles">Guardias!#REF!</definedName>
    <definedName localSheetId="3" name="Z_3E12C599_4482_4A62_878B_030CF5DA4B04_.wvu.PrintTitles">Asistencia!$1:$19</definedName>
    <definedName name="DÍA">Tablas!$B$3:$B$9</definedName>
    <definedName name="EdoCivil">Tablas!$I$3:$I$8</definedName>
    <definedName name="CVE">Tablas!$A$2:$A$9</definedName>
    <definedName hidden="1" localSheetId="2" name="_xlnm._FilterDatabase">'Lista General'!$A$3:$N$940</definedName>
    <definedName hidden="1" localSheetId="3" name="_xlnm._FilterDatabase">Asistencia!$B$19:$B$119</definedName>
    <definedName hidden="1" localSheetId="4" name="_xlnm._FilterDatabase">Guardias!$B$7:$B$114</definedName>
    <definedName hidden="1" localSheetId="7" name="_xlnm._FilterDatabase">Bajas!$A$3:$N$46</definedName>
  </definedNames>
  <calcPr/>
  <extLst>
    <ext uri="GoogleSheetsCustomDataVersion2">
      <go:sheetsCustomData xmlns:go="http://customooxmlschemas.google.com/" r:id="rId14" roundtripDataChecksum="OV7qaUE9SAWPm1aDIpmtp1f40t49t+Q4RbrkQr2jH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ID#AAABFj46kTo
Género    (2024-02-19 02:55:19)
(H) ombre
(M) ujer</t>
      </text>
    </comment>
  </commentList>
  <extLst>
    <ext uri="GoogleSheetsCustomDataVersion2">
      <go:sheetsCustomData xmlns:go="http://customooxmlschemas.google.com/" r:id="rId1" roundtripDataSignature="AMtx7mhbXrTKZ2YjJaCXNh+eFqEqDo9Id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ID#AAABFj46kTw
Género    (2024-02-19 02:55:19)
(H) ombre
(M) ujer</t>
      </text>
    </comment>
  </commentList>
  <extLst>
    <ext uri="GoogleSheetsCustomDataVersion2">
      <go:sheetsCustomData xmlns:go="http://customooxmlschemas.google.com/" r:id="rId1" roundtripDataSignature="AMtx7miybjvgMfsnrozJKYpPhmJPp9B3sw=="/>
    </ext>
  </extLst>
</comments>
</file>

<file path=xl/sharedStrings.xml><?xml version="1.0" encoding="utf-8"?>
<sst xmlns="http://schemas.openxmlformats.org/spreadsheetml/2006/main" count="12896" uniqueCount="2512">
  <si>
    <t>|</t>
  </si>
  <si>
    <t>DÍA</t>
  </si>
  <si>
    <t>RESPONSABLE DEL DÍA</t>
  </si>
  <si>
    <t>COORDINADORA</t>
  </si>
  <si>
    <t>Edad</t>
  </si>
  <si>
    <t>Clave</t>
  </si>
  <si>
    <t>Grupo</t>
  </si>
  <si>
    <t>B</t>
  </si>
  <si>
    <t>BAJA</t>
  </si>
  <si>
    <t>-</t>
  </si>
  <si>
    <t>de</t>
  </si>
  <si>
    <t>a</t>
  </si>
  <si>
    <t>L</t>
  </si>
  <si>
    <t>LUNES</t>
  </si>
  <si>
    <t>Hernández Martínez Miguel</t>
  </si>
  <si>
    <t>Velazco Arreola María Rufina</t>
  </si>
  <si>
    <t>CG</t>
  </si>
  <si>
    <t>Casad@s Grandes</t>
  </si>
  <si>
    <t>Ma</t>
  </si>
  <si>
    <t>MARTES</t>
  </si>
  <si>
    <t>Mauricio Olvera Jesús</t>
  </si>
  <si>
    <t>Sánchez Ramos María Emilia</t>
  </si>
  <si>
    <t>CM</t>
  </si>
  <si>
    <t>Casad@s Medianos</t>
  </si>
  <si>
    <t>Mi</t>
  </si>
  <si>
    <t>MIÉRCOLES</t>
  </si>
  <si>
    <t>Nava Cárdenas Guillermo</t>
  </si>
  <si>
    <t>Silva Morales Martha Elva</t>
  </si>
  <si>
    <t>CC</t>
  </si>
  <si>
    <t>Casad@s  Chicos</t>
  </si>
  <si>
    <t>J</t>
  </si>
  <si>
    <t>JUEVES</t>
  </si>
  <si>
    <t>Gomez Quintero Jesus</t>
  </si>
  <si>
    <t>Aguayo Gómez Ramona</t>
  </si>
  <si>
    <t>SO</t>
  </si>
  <si>
    <t>Sol@s</t>
  </si>
  <si>
    <t>V</t>
  </si>
  <si>
    <t>VIERNES</t>
  </si>
  <si>
    <t>Chávez Ubaldo Natanael</t>
  </si>
  <si>
    <t>Herrera Lozano Rebeca</t>
  </si>
  <si>
    <t>JU</t>
  </si>
  <si>
    <t>Juventud (Jóvenes y Señoritas)</t>
  </si>
  <si>
    <t>.</t>
  </si>
  <si>
    <t>S</t>
  </si>
  <si>
    <t>SÁBADO</t>
  </si>
  <si>
    <t>Luna Vázquez Bolívar</t>
  </si>
  <si>
    <t>Téllez Sara</t>
  </si>
  <si>
    <t>NI</t>
  </si>
  <si>
    <t>Niñez (Niños y Niñas)</t>
  </si>
  <si>
    <t>D</t>
  </si>
  <si>
    <t>DOMINGO</t>
  </si>
  <si>
    <t>Ramírez Ornelas Jesús</t>
  </si>
  <si>
    <t>Carrillo Herrera Rebeca Arelí</t>
  </si>
  <si>
    <t>INFORME DE ACTIVIDADES DE LA IGLESIA: GRUPO DE OBREROS H.P.</t>
  </si>
  <si>
    <t>Anterior</t>
  </si>
  <si>
    <t>FELIGRESÍA</t>
  </si>
  <si>
    <t>ASISTENCIA</t>
  </si>
  <si>
    <t>CENSO GENERAL</t>
  </si>
  <si>
    <t>MOVIMIENTOS</t>
  </si>
  <si>
    <t>Activos</t>
  </si>
  <si>
    <t>Dominical</t>
  </si>
  <si>
    <t>Mujeres</t>
  </si>
  <si>
    <t>Hombres</t>
  </si>
  <si>
    <t>Total</t>
  </si>
  <si>
    <t>Altas</t>
  </si>
  <si>
    <t>Bajas</t>
  </si>
  <si>
    <t>Retiro Temporal</t>
  </si>
  <si>
    <t>Serv. Dom.</t>
  </si>
  <si>
    <t>Bautismos</t>
  </si>
  <si>
    <t>Traslados</t>
  </si>
  <si>
    <t>Registro General</t>
  </si>
  <si>
    <t>Serv. Jue.</t>
  </si>
  <si>
    <t>Recibidos por Carta</t>
  </si>
  <si>
    <t>Obra Entregada</t>
  </si>
  <si>
    <t>Miembro en Archivo</t>
  </si>
  <si>
    <t>Ora. 5 am</t>
  </si>
  <si>
    <t>Casad@s Chicos</t>
  </si>
  <si>
    <t>Recibidos por Testimonio</t>
  </si>
  <si>
    <t>Defunciones</t>
  </si>
  <si>
    <t>Total (Recuento Oficial)</t>
  </si>
  <si>
    <t>Ora. 9 am</t>
  </si>
  <si>
    <t>Restauraciones</t>
  </si>
  <si>
    <t>Apostasía / Herejía</t>
  </si>
  <si>
    <t>Ora. 6 pm</t>
  </si>
  <si>
    <t>Juventud</t>
  </si>
  <si>
    <t>Nacimientos</t>
  </si>
  <si>
    <t>OFICIOS SAGRADOS</t>
  </si>
  <si>
    <t>Matrimonios</t>
  </si>
  <si>
    <t>Niñez</t>
  </si>
  <si>
    <t>Espirituales</t>
  </si>
  <si>
    <t>Gran Total</t>
  </si>
  <si>
    <t>Presentación de Niños</t>
  </si>
  <si>
    <t>OTROS</t>
  </si>
  <si>
    <t>lun</t>
  </si>
  <si>
    <t>Divorcios</t>
  </si>
  <si>
    <t>mar</t>
  </si>
  <si>
    <t>Carta de Libertad</t>
  </si>
  <si>
    <t>mie</t>
  </si>
  <si>
    <t>jue</t>
  </si>
  <si>
    <t>vie</t>
  </si>
  <si>
    <t>sab</t>
  </si>
  <si>
    <t>dom</t>
  </si>
  <si>
    <t xml:space="preserve"> </t>
  </si>
  <si>
    <t>No.</t>
  </si>
  <si>
    <t>Llave</t>
  </si>
  <si>
    <t>N   O   M   B   R   E</t>
  </si>
  <si>
    <t>G</t>
  </si>
  <si>
    <t>DIA</t>
  </si>
  <si>
    <t>CARTA</t>
  </si>
  <si>
    <t>REG.</t>
  </si>
  <si>
    <t>F. NAC.</t>
  </si>
  <si>
    <t>EDAD</t>
  </si>
  <si>
    <t>TEL.</t>
  </si>
  <si>
    <t>DIRECCION</t>
  </si>
  <si>
    <t>Fecha ingreso</t>
  </si>
  <si>
    <t>OBS.</t>
  </si>
  <si>
    <t>Abarca Chavez Rubén Salvador</t>
  </si>
  <si>
    <t>H</t>
  </si>
  <si>
    <t>SÍ</t>
  </si>
  <si>
    <t>Santiago Guzman 1314, Beatriz Hernandez</t>
  </si>
  <si>
    <t xml:space="preserve">4 jovenes EHP Josue Coronado Hernandez </t>
  </si>
  <si>
    <t xml:space="preserve">Acevedo Aguilar Ariel </t>
  </si>
  <si>
    <t>Geografos 617 Lagos de Oriente</t>
  </si>
  <si>
    <t>1 Solos EHP Jose Sanchez Magaña</t>
  </si>
  <si>
    <t>Acevedo Lopez Jairo de Jesus</t>
  </si>
  <si>
    <t>Presa Oviachic 790, San Joaquin</t>
  </si>
  <si>
    <t>12 Casados, EHP Carlos Ramos Castillon</t>
  </si>
  <si>
    <t>Acevedo Vega Samla Jaanai</t>
  </si>
  <si>
    <t>M</t>
  </si>
  <si>
    <t>Esteban Alatorre,3317,Hermosa Provincia</t>
  </si>
  <si>
    <t>Acosta Navarro Perla Damacia</t>
  </si>
  <si>
    <t>33.1236.8872</t>
  </si>
  <si>
    <t>Demóstenes 405, Lagos De Oriente</t>
  </si>
  <si>
    <t>10° Casadas, Hna. Drucila Almaguer</t>
  </si>
  <si>
    <t>Acuña Silverio Yenni Samai</t>
  </si>
  <si>
    <t>Esteban Alatorre 3349, Hermosa Provincia</t>
  </si>
  <si>
    <t>1° señoritas, EHP Elizabeth Estrada</t>
  </si>
  <si>
    <t>Aguayo Bueno Amparo</t>
  </si>
  <si>
    <t>Telegrafistas, 3566, Hermosa Provincia</t>
  </si>
  <si>
    <t>6 Solas EHP María Elena Reyes vda de Acevedo</t>
  </si>
  <si>
    <t xml:space="preserve">CG </t>
  </si>
  <si>
    <t>Arquimedes,740 Hermosa Provincia</t>
  </si>
  <si>
    <t xml:space="preserve">17 casadas EHP Dalila Coronado </t>
  </si>
  <si>
    <t>Aguilar Castro Alejandro</t>
  </si>
  <si>
    <t>Cirujanos 652, Col. Lagos De Oriente</t>
  </si>
  <si>
    <t>Aguilar Chávez Judit Janai</t>
  </si>
  <si>
    <t>Canaan, 3711, San Joaquin</t>
  </si>
  <si>
    <t>Aguilera Cortés Martha Leticia</t>
  </si>
  <si>
    <t>Geografos, 717, Lagos De Oriente</t>
  </si>
  <si>
    <t>13 casadas EHP Rosalia Palomar Soltero</t>
  </si>
  <si>
    <t>Aguilera Cortés Rocío</t>
  </si>
  <si>
    <t>Gustavo Bas, 3567, Col. Miguel Hidalgo</t>
  </si>
  <si>
    <t xml:space="preserve">12 Casadas EHP Alma Zamora de Joaquín </t>
  </si>
  <si>
    <t>Aguilera Salas Adalia Quiriabeth</t>
  </si>
  <si>
    <t>Jardin Botanico,3490,Lagos de Oriente</t>
  </si>
  <si>
    <t xml:space="preserve">Ahumada Ibarra Ana Ismeria </t>
  </si>
  <si>
    <t>Genaro 347, col. Miguel Hidalgo</t>
  </si>
  <si>
    <t xml:space="preserve"> 4 señoritas EHP Ana Valenzuela Montaño</t>
  </si>
  <si>
    <t>Ahumada Ibarra Gerson Raciel</t>
  </si>
  <si>
    <t>Genaro Garcia 3341</t>
  </si>
  <si>
    <t xml:space="preserve">Ahumada Ibarra Lesslie </t>
  </si>
  <si>
    <r>
      <rPr>
        <rFont val="Calibri"/>
        <color theme="1"/>
        <sz val="11.0"/>
      </rPr>
      <t xml:space="preserve">Telegrafistas </t>
    </r>
    <r>
      <rPr>
        <rFont val="Calibri"/>
        <i/>
        <color theme="1"/>
        <sz val="11.0"/>
      </rPr>
      <t xml:space="preserve">3483  Col Hermosa Provincia </t>
    </r>
  </si>
  <si>
    <t>Aldama Hernández Hortencia</t>
  </si>
  <si>
    <t>Procuradores,596, Libertad</t>
  </si>
  <si>
    <t>Alegria Serrano Aram</t>
  </si>
  <si>
    <t>NO</t>
  </si>
  <si>
    <t>Esbirna, 4007-A,Bethel</t>
  </si>
  <si>
    <t>Alegria Serrano Bethsaida</t>
  </si>
  <si>
    <t>Jerusalen, 3417, Hermosa Provincia</t>
  </si>
  <si>
    <t>Almaguer Lugo Likhy</t>
  </si>
  <si>
    <t>Privada de belen 87A</t>
  </si>
  <si>
    <t xml:space="preserve">2 adolescentes EHP Nebai Zamora </t>
  </si>
  <si>
    <t>Almaguer Lugo Quiriath Yearim</t>
  </si>
  <si>
    <t>Privada de Belén 87A Hermosa provincia</t>
  </si>
  <si>
    <t>1 señoritas EHP Sabdi Bebai Valle Balmaceda</t>
  </si>
  <si>
    <t>Almaraz Nuñez Alejandra</t>
  </si>
  <si>
    <t>Cairo 1317 int 420, San Eugenio</t>
  </si>
  <si>
    <t>Conversión</t>
  </si>
  <si>
    <t>Alonso Bravo Karen Janed</t>
  </si>
  <si>
    <t>Sin Direccion</t>
  </si>
  <si>
    <t>Alonso Chavando Santa</t>
  </si>
  <si>
    <t>Presa modelo 480, Lagos de Oriente</t>
  </si>
  <si>
    <t>13 Casadas, EHP Rosalía Palomar Soltero</t>
  </si>
  <si>
    <t>Alonso León Ashley</t>
  </si>
  <si>
    <t>Privada De Belen, 28-S, Hermosa Provincia</t>
  </si>
  <si>
    <t>Alonso León David</t>
  </si>
  <si>
    <t>Privada de Belén 28, Hermosa Provincia,</t>
  </si>
  <si>
    <t>2 casados EHP David Henoc Pardo Rosales</t>
  </si>
  <si>
    <t>Alonso Rivera Jonathán</t>
  </si>
  <si>
    <t>Priv. Belen 28, Hermosa Provincia</t>
  </si>
  <si>
    <t>Alpizar Flores Hipólito</t>
  </si>
  <si>
    <t>Presa Modelo, 489, Lagos De Oriente</t>
  </si>
  <si>
    <t xml:space="preserve">13 Casados, EHP David Cuevas Arellano </t>
  </si>
  <si>
    <t>Alpizar Velasco Merari Eulalia</t>
  </si>
  <si>
    <t>Presa Modelo 489, Lagos de Oriente</t>
  </si>
  <si>
    <t>2° solas, EHP Ruth Aguilar S</t>
  </si>
  <si>
    <t xml:space="preserve">Altamirano Sanchez Berenice </t>
  </si>
  <si>
    <t>Pablo Valdez, 3811,int i4,san fransisco</t>
  </si>
  <si>
    <t>Alvarado Baldenegro Adrián</t>
  </si>
  <si>
    <t>Ramon Aldama, 3702, 2A. Secc. H P.</t>
  </si>
  <si>
    <t>Alvarado Chávez Giezi Eliab</t>
  </si>
  <si>
    <t>Gustavo Baz 3822, Lopez Velarde</t>
  </si>
  <si>
    <t>1 adolescentes EHP Carlos Hernandez Larios</t>
  </si>
  <si>
    <t>Alvarado Chavez Jacob</t>
  </si>
  <si>
    <t>Alvarado Enedina</t>
  </si>
  <si>
    <t>Presa Osorio #3590, Lagos de oriente.</t>
  </si>
  <si>
    <t>10 de casadas D. Eva Garcia de Joaquín</t>
  </si>
  <si>
    <t>Alvarez Callejas Francisco Javier</t>
  </si>
  <si>
    <t>Pablo Valdez 3971, Velarde</t>
  </si>
  <si>
    <t>6 Casados, EHP Placido Perez Silva</t>
  </si>
  <si>
    <t>Alvarez Navarro María</t>
  </si>
  <si>
    <t>Presa Oviachic 837</t>
  </si>
  <si>
    <t>17 casadas EHP Noemi Avalos</t>
  </si>
  <si>
    <t>Alvarez Salas Asaf Ismael</t>
  </si>
  <si>
    <t>Emilio Rabaza #4056, Los Arrayanes</t>
  </si>
  <si>
    <t>2 adolescentes D.E. Sergio Altamirano Garcia</t>
  </si>
  <si>
    <t>Alvarez Toala Uziel</t>
  </si>
  <si>
    <t>Cairo #346</t>
  </si>
  <si>
    <t>2 adolescentes, EHP Sergio Altamirano</t>
  </si>
  <si>
    <t>Ambriz Meza Eva</t>
  </si>
  <si>
    <t>Arquimides, 748, Hermosa Provincia</t>
  </si>
  <si>
    <t>4 solas EHP Xochilth Chavez Joaquín</t>
  </si>
  <si>
    <t>Andrade Becerra Elisa</t>
  </si>
  <si>
    <t>SIN</t>
  </si>
  <si>
    <t>Presa Oviachic,518-A, Lagos De Oriente</t>
  </si>
  <si>
    <t>Andrade Sanchez Pedro Joaquin</t>
  </si>
  <si>
    <t>Demostenes, 520</t>
  </si>
  <si>
    <t>5 jovenes EHP Jose Angel Pardo Marquez</t>
  </si>
  <si>
    <t>Andrade Solis Helem Ismerai</t>
  </si>
  <si>
    <t>Galad 3322 hermosa provincia</t>
  </si>
  <si>
    <t>2 Adolescentes EHP Nebai Zamora</t>
  </si>
  <si>
    <t>Angeles López Alan Uziel</t>
  </si>
  <si>
    <t>Santiago Guzman 1080, Col. Los Tulipanes</t>
  </si>
  <si>
    <t>2 adolescentes EHP Sergio Altamirano Garcia</t>
  </si>
  <si>
    <t>Angeles López Yocelyn Noemi</t>
  </si>
  <si>
    <t>2 adolescentes, EHP Nebai Zamora</t>
  </si>
  <si>
    <t>Antonio Catarina Leobardo</t>
  </si>
  <si>
    <t>Presa Santa Rosa, 643, Lagos De Oriente</t>
  </si>
  <si>
    <t xml:space="preserve">12 casados EHP Carlos Ramos Castillon </t>
  </si>
  <si>
    <t>Aparicio Guatemala Mireya</t>
  </si>
  <si>
    <t xml:space="preserve">Jerusalen, 3584 </t>
  </si>
  <si>
    <t>Aramburo Jonathan</t>
  </si>
  <si>
    <t>Batallon</t>
  </si>
  <si>
    <t>Arana Palacios Elda Jazmín</t>
  </si>
  <si>
    <t>SaMaría, 920, Hermosa Provincia</t>
  </si>
  <si>
    <t>Arana Verdejo Guadalupe Concepción</t>
  </si>
  <si>
    <t>Belen, 3400, Hemosa Provincia</t>
  </si>
  <si>
    <t>Aranda Nava Briselda</t>
  </si>
  <si>
    <t>Samaria 969, Hermosa Provincia</t>
  </si>
  <si>
    <t>1 Señoritas, EHP Elizabeth Estrada</t>
  </si>
  <si>
    <t>Samaria 9669, hermosa provincia</t>
  </si>
  <si>
    <t>1 Señoritas EHP Elizabeth Estrada</t>
  </si>
  <si>
    <t>Arce López Samuel</t>
  </si>
  <si>
    <t>Pablo Moreno, 926, 2A. Secc. H. P.</t>
  </si>
  <si>
    <t>13 casados EHP David Cuevas Arellano</t>
  </si>
  <si>
    <t>Arce Ramírez Brenda</t>
  </si>
  <si>
    <t>Ayecui, 1560, Col. Urbi Quinta</t>
  </si>
  <si>
    <t>Arce Virgen Mayra Elizabeth</t>
  </si>
  <si>
    <t>36-48-06-86</t>
  </si>
  <si>
    <t>Getsemani 3587, Hermosa Provincia</t>
  </si>
  <si>
    <t>2 señoritas solas, EHP Abi Elisa Chavez</t>
  </si>
  <si>
    <t>Arenas González Abdiel</t>
  </si>
  <si>
    <t>Cirujanos, 679, Lagos De Oriente.</t>
  </si>
  <si>
    <t>Arenas Monrroy Keila Sunem</t>
  </si>
  <si>
    <t>Nazaret, 665, Lagos De Oriente</t>
  </si>
  <si>
    <t>Ariza Quiahua Abisag</t>
  </si>
  <si>
    <t>Jerusalem #3417- A, Hermosa Provincia</t>
  </si>
  <si>
    <t>Ariza Quiahua Cedema</t>
  </si>
  <si>
    <t>Jerusalen,3417-A, Hermosa Provincia</t>
  </si>
  <si>
    <t>4 señoritas EHP Ana Isabel Valenzuela</t>
  </si>
  <si>
    <t>Ariza Quiahua Hadasa Judith</t>
  </si>
  <si>
    <t>Ariza Ramos José Juan</t>
  </si>
  <si>
    <t>Jerusalen,3417 A, Hermosa Provincia</t>
  </si>
  <si>
    <t>Armendariz Bravo Ivone</t>
  </si>
  <si>
    <t>Av. Presa Osorio 3590, Lagos de Oriente</t>
  </si>
  <si>
    <t>2 solas, EHP Rut Aguilar Solis</t>
  </si>
  <si>
    <t>Ávalos Aguilera Alexa Saaraim</t>
  </si>
  <si>
    <t>3323837215</t>
  </si>
  <si>
    <t>{, Col. Miguel Hidalgo</t>
  </si>
  <si>
    <t>1° Señoritas, Hna. Luz Ma. León</t>
  </si>
  <si>
    <t>Ávalos Nuila Sayri</t>
  </si>
  <si>
    <t>Esteban Alatorre, 3331, Hermosa Provincia</t>
  </si>
  <si>
    <t>Ávila Valle Jonathán</t>
  </si>
  <si>
    <t>Esteban Huerta, 934, Col. Miguel Hidalgo</t>
  </si>
  <si>
    <t>Regreso a su Grupo</t>
  </si>
  <si>
    <t>Ayala Alonso Yannet</t>
  </si>
  <si>
    <t>Presa Modelo 583, Lagos de Oriente</t>
  </si>
  <si>
    <t>3 casadas EHP Rosalia Palomar Soltelo</t>
  </si>
  <si>
    <t>Bahena Arismendi Raymunda</t>
  </si>
  <si>
    <t>Educadores,3420, Lagos De Oriente</t>
  </si>
  <si>
    <t>6 sola, EHP Maria Elena Reyes vda de Acevedo</t>
  </si>
  <si>
    <t xml:space="preserve">Barajas Torres Salomón </t>
  </si>
  <si>
    <t xml:space="preserve">Calle Nubia 923 Cuahutemoc sec. libertad </t>
  </si>
  <si>
    <t>Barba Herrera Pedro</t>
  </si>
  <si>
    <t>Canaan, 3491, Hermosa Provincia</t>
  </si>
  <si>
    <t>Barba Romo Esperanza</t>
  </si>
  <si>
    <t>Nazaret 738-A, Hermosa Provincia</t>
  </si>
  <si>
    <t xml:space="preserve">Barcenas Villegas Elioenai Elizabeth </t>
  </si>
  <si>
    <t>Emilio Rabaza 3834, col. Los arrayanes</t>
  </si>
  <si>
    <t>26-sep-24</t>
  </si>
  <si>
    <t>2 adolescentes EHP Nebaí Zamora</t>
  </si>
  <si>
    <t>Barillas Pérez Elizabeth</t>
  </si>
  <si>
    <t>Demostenes, 617, Libertad</t>
  </si>
  <si>
    <t>14 de casadas EHP Adriana Padilla</t>
  </si>
  <si>
    <t>Baro Rosano Josué</t>
  </si>
  <si>
    <t>Procuradores, 3338, Lagos De Oriente</t>
  </si>
  <si>
    <t>Barranco López Ángel Uziel</t>
  </si>
  <si>
    <t>José Ma. Samacona, 3561-A. M. H.</t>
  </si>
  <si>
    <t>Barrera Ramirez Jonathan</t>
  </si>
  <si>
    <t>Presa Sanalona 855, Hermosa Provincia</t>
  </si>
  <si>
    <t>4 jovenes, EHP Josue Coronado</t>
  </si>
  <si>
    <t>Barrera Santana Olga Lidia</t>
  </si>
  <si>
    <t>Canaan 3507-1, Hermosa Provincia</t>
  </si>
  <si>
    <t>Barrientos Yañez Eleazar</t>
  </si>
  <si>
    <t>Educadores 3412, Lagos de Oriente</t>
  </si>
  <si>
    <t>7 Casados, EHP Abezaleel Carrillo G.</t>
  </si>
  <si>
    <t>Barrios Castañeda Joab Jamish</t>
  </si>
  <si>
    <t>Sabtiago Guzman 971</t>
  </si>
  <si>
    <t>2 jovenes EHP Benjamin Menchaca</t>
  </si>
  <si>
    <t>Bautista Cruz Milca Elizabeth</t>
  </si>
  <si>
    <t>Presa Sanalona, 810, Sn Joaquin</t>
  </si>
  <si>
    <t>Bautista Michicol Galdino Azael</t>
  </si>
  <si>
    <t>33.1027.8635</t>
  </si>
  <si>
    <t>Mariano Coronado 1237, Col. Lomas del Gallo</t>
  </si>
  <si>
    <t xml:space="preserve">Becerra Cortes Efren </t>
  </si>
  <si>
    <t>Jerusalen 3491, Hermosa Provincia</t>
  </si>
  <si>
    <t>5 casados EHP José Navarro Duran</t>
  </si>
  <si>
    <t>Becerra Islas Bertha</t>
  </si>
  <si>
    <t>Agronomos, 3332, Lagos De Oriente</t>
  </si>
  <si>
    <t>Bernal Carillo Yair</t>
  </si>
  <si>
    <t>Telegrafistas 3492, Hermosa Provinica</t>
  </si>
  <si>
    <t>Bernal Carrillo Jaanay</t>
  </si>
  <si>
    <t>Telegrafistas, 3492, Lagos De Oriente</t>
  </si>
  <si>
    <t>Bernal Ruelas Gerónimo</t>
  </si>
  <si>
    <t>Teresa Vera 857, Lomas del Gallo</t>
  </si>
  <si>
    <t>10° casados, Moises Coronado Ulloa</t>
  </si>
  <si>
    <t>Berumen Rosales Josue</t>
  </si>
  <si>
    <t>Escalon 627, Lagos de Oriente</t>
  </si>
  <si>
    <t>2 adolescentes,Sergio Altamirano</t>
  </si>
  <si>
    <t>Bobadilla Bañuelos José</t>
  </si>
  <si>
    <t>Demostenes,573,Lagos De Oriente</t>
  </si>
  <si>
    <t xml:space="preserve">13 casados, EHP David Cuevas Arellano </t>
  </si>
  <si>
    <t>Botello Vázquez Jabnia Nahomi</t>
  </si>
  <si>
    <t>Santo Tomas 3096, Cuahutemoc</t>
  </si>
  <si>
    <t>Botello Vázquez José Jaír</t>
  </si>
  <si>
    <t>Santo Tomás, 3096, Col. Cuahutemoc</t>
  </si>
  <si>
    <t>Falta Foto</t>
  </si>
  <si>
    <t>Bravo Rodríguez Abigail Susana</t>
  </si>
  <si>
    <t>Senado, 3292, Col. Libertad</t>
  </si>
  <si>
    <t>Bravo Santamaria Isaac Emanuel</t>
  </si>
  <si>
    <t>Escalon,630, Lagos de Oriente</t>
  </si>
  <si>
    <t>Bravo Tinejero Emmanuel Alejandro</t>
  </si>
  <si>
    <t>Senado 3218, Libertad</t>
  </si>
  <si>
    <t>1 jovenes, EHP Daniel Coronado Pelayo</t>
  </si>
  <si>
    <t>Bravo Vázquez Ana María</t>
  </si>
  <si>
    <t>Presa Palmito 864</t>
  </si>
  <si>
    <t>16 casadas EHP Maria dek Carmen Abarca</t>
  </si>
  <si>
    <t>Bucio de la Torre Helem Salmai</t>
  </si>
  <si>
    <t xml:space="preserve">María Reyes 4517, col. Aldama Tetlan </t>
  </si>
  <si>
    <t xml:space="preserve">1 adolescentes EHP Jazhel Martinez </t>
  </si>
  <si>
    <t>Bucio Pardo Pablo</t>
  </si>
  <si>
    <t>Calz Dr Sjf,3426,Hermosa Provincia</t>
  </si>
  <si>
    <t>2 solos EHP Gustavo Flores Ramirez</t>
  </si>
  <si>
    <t>Bucio Ramirez Aziel Michel</t>
  </si>
  <si>
    <t>Geografos 805, Lagos de Oriente</t>
  </si>
  <si>
    <t>Budac López Maricela</t>
  </si>
  <si>
    <t>Priv. De Belen 33, Col. Hermosa Provincia</t>
  </si>
  <si>
    <t>Caamal González Yeudiel</t>
  </si>
  <si>
    <t>Ramon Silva, 2253, Mtro. Aaron Joaquin</t>
  </si>
  <si>
    <t>Cabrera Bautista Betsua</t>
  </si>
  <si>
    <t>Av. Plutarco Elias Calles,1089-2, San Isidro</t>
  </si>
  <si>
    <t xml:space="preserve">9no Casadas, EHP Drucila Almaguer </t>
  </si>
  <si>
    <t>Cabrera Comunidad Raul</t>
  </si>
  <si>
    <t>Presa Osorio</t>
  </si>
  <si>
    <t>Cabrera Ibarra Dolores</t>
  </si>
  <si>
    <t>Presa Sanalona 844, col. San Joaquín</t>
  </si>
  <si>
    <t xml:space="preserve">16 casadas, EHP María del Carmen Hernandez </t>
  </si>
  <si>
    <t>Cadena García Saturnina</t>
  </si>
  <si>
    <t>Canaan, 3674, Col. San Joaquin</t>
  </si>
  <si>
    <t>5 solas, EHP Dolores Mendez Viuda de Ramirez</t>
  </si>
  <si>
    <t>Caicedo Henao Katerine</t>
  </si>
  <si>
    <t xml:space="preserve">Telegrafistas 3566, col. Lagos de Oriente </t>
  </si>
  <si>
    <t>9 casadas EHP Drucila Berenice Almaguer Esparza</t>
  </si>
  <si>
    <t>Cajides Uresti Esther</t>
  </si>
  <si>
    <t>Calzada Dr Sjf,3428, Hermosa Provincia</t>
  </si>
  <si>
    <t>18 Casadas, EHP Nohemí Avalos vda de Gonzalez</t>
  </si>
  <si>
    <t>Cajides Uresti Milka Susana</t>
  </si>
  <si>
    <t>Calderón Cano Felipe</t>
  </si>
  <si>
    <t>Gustavo Baz, 3728, Sn. Joaquin</t>
  </si>
  <si>
    <t xml:space="preserve">Calles Rodezno Keila Esther </t>
  </si>
  <si>
    <t>Senado 3300 Hermosa provincia</t>
  </si>
  <si>
    <t>7 Casadas, EHP Estela Perez</t>
  </si>
  <si>
    <t>Calvillo Delgado Samuel</t>
  </si>
  <si>
    <t>Turquia, 729, Col. Libertad</t>
  </si>
  <si>
    <t>Camacho Lugo Ariel</t>
  </si>
  <si>
    <t>Colimilla 2810, Col Libertad</t>
  </si>
  <si>
    <t>Camacho Madrid Ma. Delia</t>
  </si>
  <si>
    <t>SaMaría, 820, Hermosa Provincia</t>
  </si>
  <si>
    <t>Camacho Salgado Reyna Betsabe</t>
  </si>
  <si>
    <t>Samaria 820, Hermosa Provincia</t>
  </si>
  <si>
    <t>Camacho Sandoval Jaquin Israel</t>
  </si>
  <si>
    <t>Camargo Sanchez Judit Adaia</t>
  </si>
  <si>
    <t>Arquimides 342, Hermosa Provincia</t>
  </si>
  <si>
    <t>2 adolscentes EHP Nebaí Zamora</t>
  </si>
  <si>
    <t>Camarillo Mendoza Eunice</t>
  </si>
  <si>
    <t>Jerusalen, 3491-2, Hermosa Provincia</t>
  </si>
  <si>
    <t>Camilo Solís Judith</t>
  </si>
  <si>
    <t>Ramon Silva, 3371, Col. Mtro Aaron Joaquin</t>
  </si>
  <si>
    <t>Camilo Solís Tobías</t>
  </si>
  <si>
    <t>Jordan 630, Hermosa Provincia</t>
  </si>
  <si>
    <t>Campos Hernández Dalila</t>
  </si>
  <si>
    <t>Calzada Dr. SJF 3409, Hermosa Provincia</t>
  </si>
  <si>
    <t>Nayarit, Enc Arturo Martinez Silva</t>
  </si>
  <si>
    <t>Canales Ruiz Domitila</t>
  </si>
  <si>
    <t>Priv. Belen,57, Hermosa Provincia</t>
  </si>
  <si>
    <t>Cano Cano Sara</t>
  </si>
  <si>
    <t>Pablo Moreno 929, 2 Sección Hermosa Provincia</t>
  </si>
  <si>
    <t>Cano Damian Ruth</t>
  </si>
  <si>
    <t>Jerusalen 3492, Hermosa Provincia</t>
  </si>
  <si>
    <t>Cano García Armando</t>
  </si>
  <si>
    <t>SaMaría, 935 A, Hermosa Provincia</t>
  </si>
  <si>
    <t>Cano Oliveros Gloria Elcy</t>
  </si>
  <si>
    <t>Presa Tintero, 1038,San Eugenio</t>
  </si>
  <si>
    <t xml:space="preserve">16 casadas EHP Maria del Carmen Abarca H. </t>
  </si>
  <si>
    <t>Cantú Martínez Israel</t>
  </si>
  <si>
    <t>Getsemani, Hermosa Provincia</t>
  </si>
  <si>
    <t>3 solos, Bethel, Jalisco. Enc Guillermo Bravo Rodriguez</t>
  </si>
  <si>
    <t>Cardenas Cervantes Nancy Guadalupe</t>
  </si>
  <si>
    <t>Presa la Escondida 3977, San Joaquin</t>
  </si>
  <si>
    <t>Cardenas Reyes José</t>
  </si>
  <si>
    <t xml:space="preserve">Prados de la Cañada, Tonala, Jalisco. Enc. Joel Narvaez </t>
  </si>
  <si>
    <t>Carmona M. Sarai</t>
  </si>
  <si>
    <t>Agronomos 3339, Col. Hermosa Provincia</t>
  </si>
  <si>
    <t>17 casadas EHP Dalila Coronado</t>
  </si>
  <si>
    <t>Carmona Magaña Martha</t>
  </si>
  <si>
    <t>Calzada Dr. HCSJF, 3417, Hermosa Provincia.</t>
  </si>
  <si>
    <t>16° Casadas, EHP María del Carmen Abarca</t>
  </si>
  <si>
    <t>Carranza Cortes Magvis Jesua</t>
  </si>
  <si>
    <t>Ramon Silva 2169 Maestro Aarón Joaquín</t>
  </si>
  <si>
    <t xml:space="preserve">2 adolescentes, EHP Hna. Xochitl Chavez </t>
  </si>
  <si>
    <t>Carranza Orendain Giessi Merari</t>
  </si>
  <si>
    <t>Jerico 802-6, Hermosa Provincia</t>
  </si>
  <si>
    <t>6 casados EHP Placido Perez Silva</t>
  </si>
  <si>
    <t>Carrera Pérez Elia</t>
  </si>
  <si>
    <t>Astronomos, 736, Lagos De Oriente</t>
  </si>
  <si>
    <t>Carrillo Herrera Dicla Sismai</t>
  </si>
  <si>
    <t xml:space="preserve">CC </t>
  </si>
  <si>
    <t>Carrillo Herrera Jachin</t>
  </si>
  <si>
    <t>Nazaret, 687, Hermosa Provincia</t>
  </si>
  <si>
    <t>Carrillo Herrera Keila Garmi</t>
  </si>
  <si>
    <t xml:space="preserve">Telegrafistas 3492, Lagos de Oriente </t>
  </si>
  <si>
    <t>13 casadas, EHP Elizabeth Armenta Acosta</t>
  </si>
  <si>
    <t>Jordan Sur, 668, Hermosa Provincia</t>
  </si>
  <si>
    <t>Carrillo Lomas Etni Loami</t>
  </si>
  <si>
    <t>Los Arrayanes</t>
  </si>
  <si>
    <t>2 Adolescentes, EHP Xochitl Chávez</t>
  </si>
  <si>
    <t>Carrillo Molina Jabnia Arely</t>
  </si>
  <si>
    <t>Bethelem, 3364, Lagos de Oriente</t>
  </si>
  <si>
    <t>2 adolescentes EHP Ibleam Nebaí Zamora Almaguer</t>
  </si>
  <si>
    <t>Carrillo Pinzon Janani Kibsaim</t>
  </si>
  <si>
    <t>privada de belen 35, hermosa provincia</t>
  </si>
  <si>
    <t>Castañeda Contreras Yolanda</t>
  </si>
  <si>
    <t>Geografos, 680, Col. Lagos de Oriente</t>
  </si>
  <si>
    <t>Castañeda Palacios Dilean Berenice</t>
  </si>
  <si>
    <t>Jordan, 711-A, Hermosa Provincia</t>
  </si>
  <si>
    <t>Castañeda Perez Enrique</t>
  </si>
  <si>
    <t>Magistrados 719, Lagos De Oriente</t>
  </si>
  <si>
    <t>Solos, EHP Abraham Vazquez Carcamo</t>
  </si>
  <si>
    <t>Castañeda Pérez José Manuel</t>
  </si>
  <si>
    <t>Castillo Benitez Maria Virgina</t>
  </si>
  <si>
    <t>3320832018 Hijo</t>
  </si>
  <si>
    <t>Maria de los Angeles Reyes 4A, Col. Zalatitan, Tonala, Jalisco</t>
  </si>
  <si>
    <t>6 Solas, EHP Marcela Lopez</t>
  </si>
  <si>
    <t>Castillo Lopez Absalon Abisai</t>
  </si>
  <si>
    <t>Vicente Daza 1014, Lomas del Gallo</t>
  </si>
  <si>
    <t>Castillo Moran Eliezer</t>
  </si>
  <si>
    <t>Jardines Botanicos, Lagos de Oriente</t>
  </si>
  <si>
    <t xml:space="preserve">Castillo Solis Moises </t>
  </si>
  <si>
    <t xml:space="preserve">Presa Sanalona 879, col. Hermosa Provincia </t>
  </si>
  <si>
    <t xml:space="preserve">4 casados D.E. Abraham Ivan Urrutia Diaz </t>
  </si>
  <si>
    <t>Castrejón Sánchez Estela Estefania</t>
  </si>
  <si>
    <t>Josefa Ortiz de Dominguez, La Florida</t>
  </si>
  <si>
    <t>Castro Aguilar Joacim Azriel</t>
  </si>
  <si>
    <t>Rancho Grande 3059, Lomas de San Eugenio</t>
  </si>
  <si>
    <t>Castro Coronado Betsua</t>
  </si>
  <si>
    <t>Jordan 766, Col. Hermosa Provincia</t>
  </si>
  <si>
    <t>Batallon P.D. Ramiro Hernandez</t>
  </si>
  <si>
    <t>Cázares Ramos Jorge Audiel</t>
  </si>
  <si>
    <t xml:space="preserve">Celiz del Valle Ruben Zareth </t>
  </si>
  <si>
    <t>Canaan 3503, Hermosa provincia</t>
  </si>
  <si>
    <t>1 casados DL Alejandro Hernandez Chic</t>
  </si>
  <si>
    <t>Cervantes Chavero Asael</t>
  </si>
  <si>
    <t>Educadores 3329, Lagos de Oriente</t>
  </si>
  <si>
    <t>2° adolescentes, EHP Sergio Altamirano García</t>
  </si>
  <si>
    <t>Cervantes Ramírez Rosa Nelly</t>
  </si>
  <si>
    <t>Canaan 3781, San Joaquín</t>
  </si>
  <si>
    <t>12 casadas, EHP Sara Abarca</t>
  </si>
  <si>
    <t>Chavarín Contreras Omar</t>
  </si>
  <si>
    <t>Geografos,670, Hermosa Provincia</t>
  </si>
  <si>
    <t>Chavez Coronado Priscila Sarai</t>
  </si>
  <si>
    <t>Magistrados 669 A, Lagos de Oriente</t>
  </si>
  <si>
    <t>4 Casadas, EHP Adriana Padilla Hernandez</t>
  </si>
  <si>
    <t xml:space="preserve">Chavez Cortes Melanie Disan </t>
  </si>
  <si>
    <t>Guinea 741, col. Lamos del Gallo</t>
  </si>
  <si>
    <t>Chávez Mendoza María Guadalupe</t>
  </si>
  <si>
    <t xml:space="preserve">Revolución Mexicana, Puebla </t>
  </si>
  <si>
    <t>Chavez Ortega Zara Ismerai</t>
  </si>
  <si>
    <t>Egipto 2743, Bethel</t>
  </si>
  <si>
    <t>Chávez Ortiz Ma De Lourdes</t>
  </si>
  <si>
    <t>Escalon, 352, Col. Libertad</t>
  </si>
  <si>
    <t>Chavez Paez María Yesenia</t>
  </si>
  <si>
    <t>Andador Guillermo Jimenez 1079, Arrayanes</t>
  </si>
  <si>
    <t>1 Señoritas EHP Yareth Toriz Rodriguez</t>
  </si>
  <si>
    <t>Chavez Rebeca</t>
  </si>
  <si>
    <t>Andador Guillermo Jimenez, Arrayanes</t>
  </si>
  <si>
    <t>pendiente</t>
  </si>
  <si>
    <t>Chávez Ubaldo Jemima</t>
  </si>
  <si>
    <t>Gaza, 674, Hermosa Provincia</t>
  </si>
  <si>
    <t>Chávez Ubaldo Machbani</t>
  </si>
  <si>
    <t>Demostenes, 642, Lagos De Oriente</t>
  </si>
  <si>
    <t>Demostenes, 642, Col. Libertad</t>
  </si>
  <si>
    <t>Chavez Ubaldo Saudi</t>
  </si>
  <si>
    <t>Pablo Valdez 4055, 2 seccion Hermosa Provincia</t>
  </si>
  <si>
    <t>Chávez Ubaldo Yareth</t>
  </si>
  <si>
    <t>Chung Gómez Abisai</t>
  </si>
  <si>
    <t>Nubia, 785, Col. Libertad.</t>
  </si>
  <si>
    <t>Cid Tinoco Aidai Jocelin</t>
  </si>
  <si>
    <t>Clemente Hernández Levi</t>
  </si>
  <si>
    <t>Geografos 674, Lagos de Oriente</t>
  </si>
  <si>
    <t>Clemente Hernandez Noa Areli</t>
  </si>
  <si>
    <t>Presa Osorio, 3548-A, Lagos De Oriente</t>
  </si>
  <si>
    <t>Cocolan Flores Uriel Azareel</t>
  </si>
  <si>
    <t>Canaan 3732, San Joaquin</t>
  </si>
  <si>
    <t>Colin Mora Adi Sinai</t>
  </si>
  <si>
    <t>Hacienda Bellavista 3576, Heliodoro Hernández Loza</t>
  </si>
  <si>
    <t>2 adolescentes, Ibleam Nebai Zamora Almaguer</t>
  </si>
  <si>
    <t xml:space="preserve">Colorado Josefina </t>
  </si>
  <si>
    <t xml:space="preserve">5 solas, EHP Dolores Mendez vda. de Ramirez </t>
  </si>
  <si>
    <t>Colorado Olmedo Suni Dilean</t>
  </si>
  <si>
    <t>Palmar de Fortaleza 504-A, col. Fraccionamiento Prados</t>
  </si>
  <si>
    <t>09-sep-24</t>
  </si>
  <si>
    <t>Contreras Blaco Sarón Edrei</t>
  </si>
  <si>
    <t>Presa Valsequillo 834, San Joaquín</t>
  </si>
  <si>
    <t>1 adolescentes EHP Carlos Hernandez</t>
  </si>
  <si>
    <t>Contreras Castillo Sugey Elizabeth</t>
  </si>
  <si>
    <t>Gaza 660, Col. Libertad</t>
  </si>
  <si>
    <t>3 casadas EHP Rosalia Palomar Sotelo</t>
  </si>
  <si>
    <t>Contreras Gomez Misael</t>
  </si>
  <si>
    <t>Magistrados 612, lagos de oriente</t>
  </si>
  <si>
    <t>Jalisco, 4° seccion P.D.Ramiro Hernández López</t>
  </si>
  <si>
    <t>Contreras Lomelí Ramón</t>
  </si>
  <si>
    <t>Telegrafistas, 3354, Lagos De Oriente.</t>
  </si>
  <si>
    <t>Cordero Cruz Abner Isai</t>
  </si>
  <si>
    <t>Tanacatita 27, Lomas de laurel</t>
  </si>
  <si>
    <t>Cordero García Felix Sibram</t>
  </si>
  <si>
    <t>Fisicos 3465, Lagos de Oriente</t>
  </si>
  <si>
    <t>Cordero García Saharaim</t>
  </si>
  <si>
    <t>Cordoba María De Jesús</t>
  </si>
  <si>
    <t>Esteban huerta, 965 col Libertad</t>
  </si>
  <si>
    <t>Corona Cervantes Alejandro</t>
  </si>
  <si>
    <t>Bolaños 918, Col. Insurgentes</t>
  </si>
  <si>
    <t>No carta</t>
  </si>
  <si>
    <t>Coronado Hernandez Betsaida</t>
  </si>
  <si>
    <t>Jerico, 797-A,Hermosa Provincia</t>
  </si>
  <si>
    <t>Coronado Infante Ruth</t>
  </si>
  <si>
    <t>Esteban Alatorre, 3569, Hermosa Provincia</t>
  </si>
  <si>
    <t>Batallon Cuatro Ciénegas, Coahuila, Responsable Jezimiel Yah Couoh</t>
  </si>
  <si>
    <t>Coronel Morales Alberto</t>
  </si>
  <si>
    <t>Jerusalen 3488, Hermosa Provincia</t>
  </si>
  <si>
    <t>Coronel Moreno Betsua</t>
  </si>
  <si>
    <t>no registro</t>
  </si>
  <si>
    <t>Nochistlan, Oaxaca, Enc. Alberto Coronel Morales</t>
  </si>
  <si>
    <t>Cortes Hernandez Noé Benjamín</t>
  </si>
  <si>
    <t>Nazareth 712, col. Lagos de oriente</t>
  </si>
  <si>
    <t>2 adolescentes, D.E. Sergio Altamirano</t>
  </si>
  <si>
    <t xml:space="preserve">Cortés Rivas Suaamí Sacharaim </t>
  </si>
  <si>
    <t xml:space="preserve">Jerusalen #3531, Hermosa Provincia </t>
  </si>
  <si>
    <t xml:space="preserve">3ro Señoritas EHP Ana Rosa Toris Gonzalez </t>
  </si>
  <si>
    <t>Cortez Aguayo Mario</t>
  </si>
  <si>
    <t>33.1230.6202</t>
  </si>
  <si>
    <t>Presa Sanalona 867, San Joaquín</t>
  </si>
  <si>
    <t>Viene del 7° Casados del Hno. Ab ezaleel Carrillo G.</t>
  </si>
  <si>
    <t>Cortez Castillo Edith</t>
  </si>
  <si>
    <t>Presa Valsequillo,704-C, San Joaquin</t>
  </si>
  <si>
    <t>13 Casadas, EHP Rosalía Palomar</t>
  </si>
  <si>
    <t>Cortez Contreras Abib</t>
  </si>
  <si>
    <t>Ramón Silva 2169, Mtro. Aarón Joaquín</t>
  </si>
  <si>
    <t>6 Casadas EHP Madai Herrera Moran</t>
  </si>
  <si>
    <t>Cortez Meza Merari Sinai</t>
  </si>
  <si>
    <t>Nazareth 615, Hermosa Provincia</t>
  </si>
  <si>
    <t>2 señoritas, EHP Bethlehem Morales Robles</t>
  </si>
  <si>
    <t>Cortez Ramos César</t>
  </si>
  <si>
    <t>Presa Oviachic, 652, San Joaquin</t>
  </si>
  <si>
    <t>Cortez Vallín Israel</t>
  </si>
  <si>
    <t>Presa Sanalona, 786-A, Col. San Joaquin</t>
  </si>
  <si>
    <t>Crisostomo Gomez Keila</t>
  </si>
  <si>
    <t>Pv. Belen 36B, Hermosa Provincia</t>
  </si>
  <si>
    <t>Cruz Alvarado Leví</t>
  </si>
  <si>
    <t>Magistrados, 617, Lagos De Oriente</t>
  </si>
  <si>
    <t>Cruz Bardales Maria</t>
  </si>
  <si>
    <t>Gustavo Baz 3376</t>
  </si>
  <si>
    <t>Cruz Carabez Abdiel Neftalí</t>
  </si>
  <si>
    <t/>
  </si>
  <si>
    <t>Viene del 4° Greupo de Niños, Hno. Carlos Hernández Larios</t>
  </si>
  <si>
    <t>Cruz Carabez Noah Abisua</t>
  </si>
  <si>
    <t>Getsemani 3618, Hermosa Provincia</t>
  </si>
  <si>
    <t>Cruz Garcia Dana Ezbai</t>
  </si>
  <si>
    <t>Pablo Valdez 3388C, Hermosa Provincia</t>
  </si>
  <si>
    <t>Batallon Parras de la Fuente, Coahuila, Responsable Rigoberto Rojas Porfirio</t>
  </si>
  <si>
    <t>Cruz Garcia Noa Rael</t>
  </si>
  <si>
    <t>Educadores 734, Lagos de Oriente</t>
  </si>
  <si>
    <t>Cruz Garcia Zabdi Isui</t>
  </si>
  <si>
    <t xml:space="preserve">Cruz Gonzalez Atlai </t>
  </si>
  <si>
    <t>Gustavo Vaz 3545, Miguel Hidalgo</t>
  </si>
  <si>
    <t xml:space="preserve">2 jovenes EHP Benjamin Menchaca </t>
  </si>
  <si>
    <t xml:space="preserve">Cruz Martinez Izlem Nahary </t>
  </si>
  <si>
    <t>Rancho seco 1306-A, San Eugenio</t>
  </si>
  <si>
    <t>Cuenca Ramirez Magdiel Dibai</t>
  </si>
  <si>
    <t>Jardines Japoneses, 3537-A, Lagos de Oriente</t>
  </si>
  <si>
    <t>Cuevas Tinajero Aretzi Jazbeth</t>
  </si>
  <si>
    <t>Jordan 740, Hermosa Provincia</t>
  </si>
  <si>
    <t>David Contreras Yolanda</t>
  </si>
  <si>
    <t>Tunez,655, Libertad</t>
  </si>
  <si>
    <t>14 Casadas, EHP Adriana Padilla</t>
  </si>
  <si>
    <t>Davila Carrillo Daniel</t>
  </si>
  <si>
    <t>Conversion</t>
  </si>
  <si>
    <t xml:space="preserve">De la Cruz Bernal Naason Isai </t>
  </si>
  <si>
    <t>Avenida Malecon 1015, Lomas del Gallo</t>
  </si>
  <si>
    <t>2 Adolescentes</t>
  </si>
  <si>
    <t>De La Cruz Camacho Evangelina</t>
  </si>
  <si>
    <t>Galad, 3322, Hermosa Provincia</t>
  </si>
  <si>
    <t>De La Cruz Gómez Manuel</t>
  </si>
  <si>
    <t>Geografos, 651, Lagos De Oriente</t>
  </si>
  <si>
    <t>De La Cruz Sandoval Kevin Emanuel</t>
  </si>
  <si>
    <t>Etiopia, 579, Col. Libertad</t>
  </si>
  <si>
    <t>De La Cruz Sandoval Mario</t>
  </si>
  <si>
    <t>De la Cruz Valle Aziel</t>
  </si>
  <si>
    <t>Arquimides 662, Hermosa Provincia</t>
  </si>
  <si>
    <t>2 adolescentes, Sergio Altamirano</t>
  </si>
  <si>
    <t>De la O Mascorro Alexia Daniela</t>
  </si>
  <si>
    <t>Gaza 909, Miguel Hidalgo</t>
  </si>
  <si>
    <t>De la Rosa Riu Dara Sunem</t>
  </si>
  <si>
    <t>33-18-71-18-31</t>
  </si>
  <si>
    <t>Arquimedes 520, Hermosa Provincia</t>
  </si>
  <si>
    <t>2 Adolescentes, EHP Ibleam Nebaí Zamora Almaguer</t>
  </si>
  <si>
    <t>De la torre Gutierrez Abinadab Azarias</t>
  </si>
  <si>
    <t>Etzatlan 91, Lomas del Laurel</t>
  </si>
  <si>
    <t>De los Angeles Miguel Beatriz</t>
  </si>
  <si>
    <t>Esteban Alatorre 3514,  Lagos de Oriente</t>
  </si>
  <si>
    <t>17 Casadas, EHP Dalila Coronado</t>
  </si>
  <si>
    <t>Del Angel Clatempa Elienai</t>
  </si>
  <si>
    <t>Telegrafistas 3473A Lagos de oriente</t>
  </si>
  <si>
    <t>Del Angel Toriz Cesiah</t>
  </si>
  <si>
    <t>Nazareth 618, Hermosa Provincia</t>
  </si>
  <si>
    <t xml:space="preserve">10 casadas, EHP Eva García de Joaquín </t>
  </si>
  <si>
    <t>Del Angel Vazquez Amsi Jamai</t>
  </si>
  <si>
    <t>Telegrafistas 3309, Lagos de oriente</t>
  </si>
  <si>
    <t>1 solas, EHP Rocio Elizabeth Figueroa</t>
  </si>
  <si>
    <t>Del Río Delgado María de Jesús</t>
  </si>
  <si>
    <t>Pablo Valdez 3229-A, Libertad</t>
  </si>
  <si>
    <t xml:space="preserve">Delgado Apodaca Daniela </t>
  </si>
  <si>
    <t>Santa Clemencia 2053 Col. Talpita</t>
  </si>
  <si>
    <t>10 casadas EHPD Eva García de Joaquín</t>
  </si>
  <si>
    <t>Delgado Blanco Mara</t>
  </si>
  <si>
    <t>Gustavo Baz,3411, Miguel Hidalgo</t>
  </si>
  <si>
    <t xml:space="preserve">5 solas, EHP Dolores Mendez Vda. de Ramirez </t>
  </si>
  <si>
    <t xml:space="preserve">Delgado Gutiérrez Martha Elena </t>
  </si>
  <si>
    <t>Presa Solis, 3856, San Joaquin</t>
  </si>
  <si>
    <t>Díaz Castillo Débora</t>
  </si>
  <si>
    <t>Magistrados,723, Lagos De Oriente</t>
  </si>
  <si>
    <t>Díaz Chavarín Xóchitl</t>
  </si>
  <si>
    <t>Priv. De Galilea, 19-A, Hermosa Provincia</t>
  </si>
  <si>
    <t xml:space="preserve">13 Casadas, EHP Carmen Abarca </t>
  </si>
  <si>
    <t>Diaz de León Carrillo Misael</t>
  </si>
  <si>
    <t>Telegrafistas 3480A, Hermosa Provincia</t>
  </si>
  <si>
    <t>Díaz Guzmán Alvaro Elpidio</t>
  </si>
  <si>
    <t>Sudan 908, Lagos de Oriente</t>
  </si>
  <si>
    <t>Díaz Hernández Jael</t>
  </si>
  <si>
    <t>Canaan 3491, Hermosa Provincia</t>
  </si>
  <si>
    <t>1 señoritas solas, EHP Rosa Elisa Sosa</t>
  </si>
  <si>
    <t>Díaz Larios José Benjamín</t>
  </si>
  <si>
    <t>20-sep-24</t>
  </si>
  <si>
    <t>7 casados, EHP Abezaleel Carrillo</t>
  </si>
  <si>
    <t>Diaz Ronquillo Jareth Galilea</t>
  </si>
  <si>
    <t xml:space="preserve">Presa Osorio 3540, Hermosa Provincia </t>
  </si>
  <si>
    <t>6 casadas, EHP Jael Madai Lupian</t>
  </si>
  <si>
    <t>Dubon Jose Oscar</t>
  </si>
  <si>
    <t>Telegrafistas, 173, Lagos de Oriente</t>
  </si>
  <si>
    <t>Elias Lopez Juan Ariel</t>
  </si>
  <si>
    <t>Telegrafistas, 3471, Hermosa Provincia</t>
  </si>
  <si>
    <t>Elizalde Herrera Carlos</t>
  </si>
  <si>
    <t>Jerusalen 3581, Col. Hermosa Provincia</t>
  </si>
  <si>
    <t>2 solos EHP Abraham Vazquez Carcamo</t>
  </si>
  <si>
    <t>Enriquez Camas Adoniram</t>
  </si>
  <si>
    <t xml:space="preserve">Jerusalen 3538, Hermosa Provincia </t>
  </si>
  <si>
    <t xml:space="preserve">Enriquez Cervantes Vapsy Angely </t>
  </si>
  <si>
    <t>Astronomos #736-A. col. Lagos de oriente</t>
  </si>
  <si>
    <t xml:space="preserve">2do adolescentes EHP Nebai Zamora Almaguer </t>
  </si>
  <si>
    <t>Enríquez Martínez Rubén</t>
  </si>
  <si>
    <t>Gaza 833, Miguel Hidalgo</t>
  </si>
  <si>
    <t>Gilroy, CA. Enc. Abisai Moreno</t>
  </si>
  <si>
    <t xml:space="preserve">Enríquez Refugio </t>
  </si>
  <si>
    <t>Esesarte García Jonatan Keruv</t>
  </si>
  <si>
    <t>Geografos 665-A, Lagos de Oriente</t>
  </si>
  <si>
    <t>Espinoza Meza Rebeca Sarai</t>
  </si>
  <si>
    <t>Nazareth, 629, Hermosa Provincia</t>
  </si>
  <si>
    <t>Espinoza Pérez Severa</t>
  </si>
  <si>
    <t>Agronomos,3385, Lagos De Oriente</t>
  </si>
  <si>
    <t>Estévez Gómez Reyna Isui</t>
  </si>
  <si>
    <t>Telefonistas 3357 Col. Lagos de oriente</t>
  </si>
  <si>
    <t>2 señoritas EHP Bethlehem Morales Robles</t>
  </si>
  <si>
    <t>Estrada Castellanos Lael Ismerai</t>
  </si>
  <si>
    <t>Emilio Rabaza 3923 Los Arrayanes</t>
  </si>
  <si>
    <t>Estrada Castellanos Moises Azriel</t>
  </si>
  <si>
    <t>Getsemani 3566, Hermosa Provincia</t>
  </si>
  <si>
    <t>Estrada Landeros Manuel</t>
  </si>
  <si>
    <t>Iran,733, Cuauhtemoc</t>
  </si>
  <si>
    <t>Estrada Martin Benjamín</t>
  </si>
  <si>
    <t>Carta pendiente</t>
  </si>
  <si>
    <t xml:space="preserve">Estrada Martin Jose </t>
  </si>
  <si>
    <t>Jardín Botánico 3368, Lagos de Oriente</t>
  </si>
  <si>
    <t>Estrada Martin Magdalena</t>
  </si>
  <si>
    <t>Jardin Botanico 3368, Lagos de Oriente</t>
  </si>
  <si>
    <t>Educadores 745 Lagos de oriente</t>
  </si>
  <si>
    <t>5to casadas EHP Milca Susana Chavez</t>
  </si>
  <si>
    <t>Estrada Martin Magdiel</t>
  </si>
  <si>
    <t>Estrada Vazquez Mirra Gemima</t>
  </si>
  <si>
    <t>Cannan</t>
  </si>
  <si>
    <t>Eusebio Escutia María</t>
  </si>
  <si>
    <t>Nazareth 640 A, Hermosa Provincia</t>
  </si>
  <si>
    <t>Viene del 15° Casadas, Hna. Noemí Ávalos</t>
  </si>
  <si>
    <t>Fabián Ramírez Marcos</t>
  </si>
  <si>
    <t>Presa Oviachic, 516.C. Lagos De Oriente.</t>
  </si>
  <si>
    <t>Fernández Flores Federico</t>
  </si>
  <si>
    <t>Telegrafistas,3596,Lagos De Oriente</t>
  </si>
  <si>
    <t>Ferrusca García Irene</t>
  </si>
  <si>
    <t>Arquimides, 780, Hermosa Provincia</t>
  </si>
  <si>
    <t>Pachuca, Hidalgo</t>
  </si>
  <si>
    <t>Ferrusca Sanchez Salmai Joha</t>
  </si>
  <si>
    <t>Etiopia 790, libertad.</t>
  </si>
  <si>
    <t>1 señoritas EHP Sabdi Bebai Valle</t>
  </si>
  <si>
    <t>Ferrusca Sanchez Suni Jocabed</t>
  </si>
  <si>
    <t>Figueroa García Martha Raquel</t>
  </si>
  <si>
    <t>Jerusalen, 3436, Hermosa Provincia</t>
  </si>
  <si>
    <t>Flores Ambrosio Sara</t>
  </si>
  <si>
    <t>Hacienda la Caldelaria 2268, Plutarco Elias Calles 2</t>
  </si>
  <si>
    <t xml:space="preserve">4 Señoritas, EHP Ana Valenzuela </t>
  </si>
  <si>
    <t>Flores Calderón María</t>
  </si>
  <si>
    <t>Gaza, 777, Col. Libertad</t>
  </si>
  <si>
    <t xml:space="preserve">Flores Díaz Susana </t>
  </si>
  <si>
    <t xml:space="preserve">Caanan #3590, col. Hermosa Provincia </t>
  </si>
  <si>
    <t xml:space="preserve">14 de casadas EHP Adriana Padilla </t>
  </si>
  <si>
    <t>Flores Figueroa Elizabeth</t>
  </si>
  <si>
    <t>Jerusalen 3450, Hermosa Provincia</t>
  </si>
  <si>
    <t>Flores García Yolanda</t>
  </si>
  <si>
    <t>33.1796.8820</t>
  </si>
  <si>
    <t>Galaad 3342, Col. Libertad</t>
  </si>
  <si>
    <t>Del 3° Solas de la Hna Martha López</t>
  </si>
  <si>
    <t xml:space="preserve">Flores Juarez Salma </t>
  </si>
  <si>
    <t xml:space="preserve">Privada Belen #5, Hermosa Provincia </t>
  </si>
  <si>
    <t>1 adolescentes EHP Jahzeel Elizabeth MartinezGonzalez</t>
  </si>
  <si>
    <t>Flores Moreno Ruth Areli</t>
  </si>
  <si>
    <t>Flores Reyes Hogla</t>
  </si>
  <si>
    <t>Joséfa Ortiz, 3711, Lagos De Oriente</t>
  </si>
  <si>
    <t>Flores Robles Noemi</t>
  </si>
  <si>
    <t>Jardines Japoneses 3341</t>
  </si>
  <si>
    <t>Flores Sánchez Emma Samai</t>
  </si>
  <si>
    <t>Etiopia, 605, Col. Libertad</t>
  </si>
  <si>
    <t>Flores Valencia Fines Edrei</t>
  </si>
  <si>
    <t>Josefa Ortiz de Dominguez,</t>
  </si>
  <si>
    <t xml:space="preserve">Flores Varillas Zulma Elizabeth </t>
  </si>
  <si>
    <t>Canaan, 3642, Col. San Joaquin</t>
  </si>
  <si>
    <t xml:space="preserve">Flores Victoria </t>
  </si>
  <si>
    <t>Canaan 3642, San Joaquin</t>
  </si>
  <si>
    <t>Forero Atuesta Rosa Otilia</t>
  </si>
  <si>
    <t>Francisco López Dana Isui</t>
  </si>
  <si>
    <t>SaMaría,987, Hermosssa Provincia</t>
  </si>
  <si>
    <t>Francisco López Job Isaac</t>
  </si>
  <si>
    <t>SaMaría, 987, Hermosa Provincia</t>
  </si>
  <si>
    <t>Francisco Olivares Jobito</t>
  </si>
  <si>
    <t>Pablo Valdez,3997,2Da Secc H P</t>
  </si>
  <si>
    <t>Franco Moran Hector Javier</t>
  </si>
  <si>
    <t>jardines japoneses 3488A, lagos de oriente</t>
  </si>
  <si>
    <t>3 jovenes EHP Ezequiel Toriz</t>
  </si>
  <si>
    <t>Frias Medina María del Rayo</t>
  </si>
  <si>
    <t>Andres Teran 439-17, Villaseñor</t>
  </si>
  <si>
    <t>Fuentes Romero Josué David</t>
  </si>
  <si>
    <t>San Miguel, El Salvador.</t>
  </si>
  <si>
    <t>Fuentes Santiago Adolfo</t>
  </si>
  <si>
    <t>Presa Sanalona, Hermosa Provincia</t>
  </si>
  <si>
    <t xml:space="preserve">Galarza Mejía Jesus </t>
  </si>
  <si>
    <t>Tunez 768, Libertad</t>
  </si>
  <si>
    <t>Galindo Cervantes Lidia</t>
  </si>
  <si>
    <t>Gallardo Ramírez José Eduardo Gabriel</t>
  </si>
  <si>
    <t>Manuel de Goroztiza 3687, San Francisco</t>
  </si>
  <si>
    <t>Gallego Bernal Keila Radai</t>
  </si>
  <si>
    <t>Nazaret, 619, Lagos de Oriente.</t>
  </si>
  <si>
    <t>Galvez Delgado Etni Jezreel</t>
  </si>
  <si>
    <t>Arquimides 683, Hermosa Provincia</t>
  </si>
  <si>
    <t>García Aparicio Abisai</t>
  </si>
  <si>
    <t>Presa Escondida, 3646, Col. Lagos de Oriente</t>
  </si>
  <si>
    <t xml:space="preserve">Privada de Belen 17, EHP Hermosa Provincia </t>
  </si>
  <si>
    <t>4 Casados, EHP Abraham Ivan Urrutia Díaz</t>
  </si>
  <si>
    <t>García Arreguín Leticia</t>
  </si>
  <si>
    <t>Jardines Japoneses 3324A, Lagos de Oriente</t>
  </si>
  <si>
    <t>15° Casadas, EHP Adriana Padilla Hernández</t>
  </si>
  <si>
    <t>García Collazo Azalia Esbai</t>
  </si>
  <si>
    <t xml:space="preserve">Israel #809, Miguel Hidalgo </t>
  </si>
  <si>
    <t xml:space="preserve">4to grupo de Señoritas, EHP Ana Valenzuela </t>
  </si>
  <si>
    <t>Garcia Collazo Genesis</t>
  </si>
  <si>
    <t>Israel 809, Miguel Hidalgo</t>
  </si>
  <si>
    <t>Garcia Collazo Libni Janai</t>
  </si>
  <si>
    <t>Israel, 809, Miguel Hidalgo</t>
  </si>
  <si>
    <t>García Espinoza José Alberto</t>
  </si>
  <si>
    <t>Educadores, 747, Lagos De Oriente</t>
  </si>
  <si>
    <t>García García Juana Ma</t>
  </si>
  <si>
    <t>Esteban Alatorre, 3314, Hermosa Provincia</t>
  </si>
  <si>
    <t xml:space="preserve">García García Martha </t>
  </si>
  <si>
    <t>Demostenes, 926, Col. Miguel Hidalgo</t>
  </si>
  <si>
    <t>García García Tirsa</t>
  </si>
  <si>
    <t>Educadores, 734, Col. Lagos De Oriente</t>
  </si>
  <si>
    <t>García Garibay Zabdi</t>
  </si>
  <si>
    <t>Convención 2962, Libertad</t>
  </si>
  <si>
    <t>Garcia Guapillo Julian</t>
  </si>
  <si>
    <t>Privada Belen 36B, Hermosa Provincia</t>
  </si>
  <si>
    <t>García Gutierrez Hugo Iván</t>
  </si>
  <si>
    <t>Jardines de la Granja 3755, Col. Jardines de San Francisco</t>
  </si>
  <si>
    <t>García Huerta Juan José</t>
  </si>
  <si>
    <t>Calz. Dr. Sjf. 3439, Hermosa Provincia</t>
  </si>
  <si>
    <t>García Mora Adoniram Isbi</t>
  </si>
  <si>
    <t xml:space="preserve">Rancho Seco 1306, San Eugenio </t>
  </si>
  <si>
    <t>1 Jovenes, EHP Silem Ipiña Del Rio</t>
  </si>
  <si>
    <t>García Mungaray Febe</t>
  </si>
  <si>
    <t>Acatic, 31, Col. Lomas Javier</t>
  </si>
  <si>
    <t>Traslado</t>
  </si>
  <si>
    <t>García Olivares Libni</t>
  </si>
  <si>
    <t>Betlehem 3374</t>
  </si>
  <si>
    <t>3 Casadas EHP D. Yolanda Esparza</t>
  </si>
  <si>
    <t>García Olivares Sara</t>
  </si>
  <si>
    <t>Betlehem 3374, Lagos de Oriente</t>
  </si>
  <si>
    <t>5 casadas EHP Jael Chanes González Angulo</t>
  </si>
  <si>
    <t>García Peredo Nadia Angelica</t>
  </si>
  <si>
    <t>Canaan 3539, Hermosa Provincia</t>
  </si>
  <si>
    <t xml:space="preserve">9 Casadas, EHP Drucila Almaguer </t>
  </si>
  <si>
    <t>García Perez Desiderio</t>
  </si>
  <si>
    <t>Hermosa Provincia</t>
  </si>
  <si>
    <t>Garcia Rangel Simri Gadiel</t>
  </si>
  <si>
    <t>presa sanalona 732A, int 1 Lagos de Oriente</t>
  </si>
  <si>
    <t>García Reyes Limni Aridai</t>
  </si>
  <si>
    <t>Sin datos</t>
  </si>
  <si>
    <t>García Rivera Bilsam</t>
  </si>
  <si>
    <t>Calle 34, Col El Mirador</t>
  </si>
  <si>
    <t>García Vaca Haniel</t>
  </si>
  <si>
    <t>Glorieta Central 3496, Hermosa Provincia</t>
  </si>
  <si>
    <t xml:space="preserve">Garcia Vazquez Pablo </t>
  </si>
  <si>
    <t>Arquimides 661, hermosa provincia</t>
  </si>
  <si>
    <t>Garibay Carrera Eli</t>
  </si>
  <si>
    <t>Betlehem 3340, Lagos de Oriente</t>
  </si>
  <si>
    <t>2 solos, EHP Gustavo Flores Ramirez</t>
  </si>
  <si>
    <t>Gaspar Celis Elisua</t>
  </si>
  <si>
    <t>Presa Oviachic 756, Lagos de Oriente</t>
  </si>
  <si>
    <t>Presa Oviachi #756, San joaquín.</t>
  </si>
  <si>
    <t>Gil Cárdenas Elizabeth</t>
  </si>
  <si>
    <t>Presa Modelo, 480, Lagos De Oriente</t>
  </si>
  <si>
    <t>Gil Salas Daniel Atlai</t>
  </si>
  <si>
    <t>Jordan Sur, 630, Hermosa Provincia</t>
  </si>
  <si>
    <t>Gómez Curiel Ma Elena</t>
  </si>
  <si>
    <t>Bethlen, 3287, Lagos De Oriente</t>
  </si>
  <si>
    <t>4 solas EHP Xochitl Perez</t>
  </si>
  <si>
    <t>Gómez López Esther</t>
  </si>
  <si>
    <t>Canaan, 3472, Hermosa Provincia</t>
  </si>
  <si>
    <t>Gomez Miramontes Ayeleth</t>
  </si>
  <si>
    <t>Jerusalen 3366, Hermosa Provincia</t>
  </si>
  <si>
    <t>2 adolescentes, EHP Nebaí Zamora</t>
  </si>
  <si>
    <t>Gomez Miramontes Jazak</t>
  </si>
  <si>
    <t>Jerusalen 3306, Hermosa Provincia</t>
  </si>
  <si>
    <t>Gomez Muñoz Ruth</t>
  </si>
  <si>
    <t>Industria, 648, San Juan de Dios</t>
  </si>
  <si>
    <t>Arquimides 744, Hermosa Provincia</t>
  </si>
  <si>
    <t>Gongora Guardado Daniel</t>
  </si>
  <si>
    <t>Jordan sur, 665, Hermosa Provincia</t>
  </si>
  <si>
    <t>Gongora Guardado Jossiel</t>
  </si>
  <si>
    <t>Jordan Sur 673, Hermosa Provincia</t>
  </si>
  <si>
    <t>González Amezcua Ma Guadalupe</t>
  </si>
  <si>
    <t>Nazaret, 680, Hermosa Provincia</t>
  </si>
  <si>
    <t>González Arce Keila Samantha</t>
  </si>
  <si>
    <t xml:space="preserve">Ayequi, 1560, Urbi Quinta, </t>
  </si>
  <si>
    <t>González Carrillo Edgar Azriel</t>
  </si>
  <si>
    <t>Telegrafisctas, 3492, Lagos de Oriente</t>
  </si>
  <si>
    <t xml:space="preserve">Gonzalez Carrillo Eunice Sarai </t>
  </si>
  <si>
    <t xml:space="preserve">Nazareth, Hermosa Provincia. </t>
  </si>
  <si>
    <t>23-sep-24</t>
  </si>
  <si>
    <t>González Castañeda Ma Teresa</t>
  </si>
  <si>
    <t>Telegrafistas, 3663, Lagos De Oriente</t>
  </si>
  <si>
    <t xml:space="preserve">González Castellanos Flor De María </t>
  </si>
  <si>
    <t>Canaan, 3505, Hermosa Provincia</t>
  </si>
  <si>
    <t>González Constantino R. Leonel</t>
  </si>
  <si>
    <t>Jardin Botanico, 3340, Lagos De Oriente</t>
  </si>
  <si>
    <t>González Espinoza Amalia</t>
  </si>
  <si>
    <t>Belen, 3439, Hermosa Provincia</t>
  </si>
  <si>
    <t>6 solas EHP Maria Elena Reyes viuda de Acevedo</t>
  </si>
  <si>
    <t>González Flores Noemí</t>
  </si>
  <si>
    <t>Magistrados 633, Lagos de Oriente</t>
  </si>
  <si>
    <t>González Flores Ruth</t>
  </si>
  <si>
    <t>Jardines Babilonia,461, Lagos De Orienete</t>
  </si>
  <si>
    <t xml:space="preserve">González Flores Ruth </t>
  </si>
  <si>
    <t xml:space="preserve">Nazareth #630 Int. 1, Hermosa Provincia </t>
  </si>
  <si>
    <t xml:space="preserve">7mo grupo de casadas, EHP Estela Pérez de Cholico </t>
  </si>
  <si>
    <t>Gonzalez Garcia Luis Alberto</t>
  </si>
  <si>
    <t>Gonzalez Gonzalez Ana Laura</t>
  </si>
  <si>
    <t>Presa Oviachic 349, col. Lagos de Oriente</t>
  </si>
  <si>
    <t>3 casadas EHP Luz Ma Leon de Zamora</t>
  </si>
  <si>
    <t>González González Ana Laura</t>
  </si>
  <si>
    <t>Presa Escondida, 3957, San Joaquin</t>
  </si>
  <si>
    <t>Gonzalez Soto Agustín</t>
  </si>
  <si>
    <t>Nazareth 864, Lagos de Oriente</t>
  </si>
  <si>
    <t>13 casados, EHP David Cuevas Arellano</t>
  </si>
  <si>
    <t>González Tejeda Audali</t>
  </si>
  <si>
    <t>Gaza 625A, Hermosa Provincia</t>
  </si>
  <si>
    <t>Grada Mora Yishay</t>
  </si>
  <si>
    <t>Telegrafistas 3565 Hermosa provincia</t>
  </si>
  <si>
    <t>Grajales Santos Yebzi Alejandra</t>
  </si>
  <si>
    <t>Pablo Valdez y Presa Tacotan 844A, San Joaquin</t>
  </si>
  <si>
    <t xml:space="preserve">1 srtas EHP Bebai Valle </t>
  </si>
  <si>
    <t>Granados Lopez Vasni Besaleel</t>
  </si>
  <si>
    <t>Manuel Santibáñez 3551, Miguel Hidalgo</t>
  </si>
  <si>
    <t>Granados Reyes Obed</t>
  </si>
  <si>
    <t>33.2085.7335</t>
  </si>
  <si>
    <t>Guadarrama Arce Abner Abisai</t>
  </si>
  <si>
    <t>Telegrafistas 3490, Lagos de Oriente.</t>
  </si>
  <si>
    <t>Guadarrama Arce Libna</t>
  </si>
  <si>
    <t>Presa OsoRío 3664-A, Lagos De Oriente</t>
  </si>
  <si>
    <t xml:space="preserve">Guardado Ambriz Sibia Vidbai </t>
  </si>
  <si>
    <t xml:space="preserve">Jordan Sur #675, col. Hermosa Provincia </t>
  </si>
  <si>
    <t>9 grupo de casadas EHP Guardado Ambris Sibia Vidbai</t>
  </si>
  <si>
    <t>Guerra Salgado Miguel</t>
  </si>
  <si>
    <t>Getzemani, 3518, Hermosa Provincia</t>
  </si>
  <si>
    <t xml:space="preserve">Guerrero Angoiano Dilan Makey </t>
  </si>
  <si>
    <t>Gaza 778, Hermosa Provincia</t>
  </si>
  <si>
    <t>2 Casados, EHP David Pardo</t>
  </si>
  <si>
    <t>Guerrero Camila Elizabeth</t>
  </si>
  <si>
    <t>Presa Oviachic 518, col. Lagos de Oriente</t>
  </si>
  <si>
    <t>Guerrero Ceja Mara Jesavel</t>
  </si>
  <si>
    <t>Telegrafistas 3680, Hermosa Provincia</t>
  </si>
  <si>
    <t>Roswell, Nuevo Mexico.</t>
  </si>
  <si>
    <t>Gutiérrez Barajas Eglentina</t>
  </si>
  <si>
    <t>SaMaría, 831, Hermosa Provincia</t>
  </si>
  <si>
    <t>Gutierrez Cervantes Jheilam Ismerai</t>
  </si>
  <si>
    <t>Gustavo Baz 3702 Col. Los Arrayanes</t>
  </si>
  <si>
    <t xml:space="preserve">Gutierrez Cervantes Sharon Abigail </t>
  </si>
  <si>
    <t>Jerusalen 3991, Hermosa Provincia</t>
  </si>
  <si>
    <t xml:space="preserve">2 solas EHP Ruth Aguilar </t>
  </si>
  <si>
    <t>Gutierrez Fuentes Dara Yahdai</t>
  </si>
  <si>
    <t>Esteban Alatorre #3406 Hermosa provincia</t>
  </si>
  <si>
    <t>4 señoritas EHP Ana Valenzuela</t>
  </si>
  <si>
    <t>Gutiérrez Gómez Salvador</t>
  </si>
  <si>
    <t>Presa La Angostura, 548, Lagos De Oriente</t>
  </si>
  <si>
    <t xml:space="preserve">Gutierrez Jafet Aldair </t>
  </si>
  <si>
    <t>Demostenes 3363, San Isidro</t>
  </si>
  <si>
    <t>Gutiérrez López Bertha Elizabeth</t>
  </si>
  <si>
    <t>Geografos,646, Lagos De Oriente</t>
  </si>
  <si>
    <t>Gutierrez Maria Judith</t>
  </si>
  <si>
    <t>Demostenes, 3345, Lomas de San Eugenio</t>
  </si>
  <si>
    <t>Gutierrez Nieto Martín</t>
  </si>
  <si>
    <t>Cabo San Lucas, BCS, D.E. Paris Mahalaleel Gonzalez Tejeda</t>
  </si>
  <si>
    <t>Gutierrez Rodas Geser Heliel</t>
  </si>
  <si>
    <t>Gutierrez Toledo Miguel Angel</t>
  </si>
  <si>
    <t>Guzmán Gutierrez Isabel Catalina</t>
  </si>
  <si>
    <t>Credito 4088, Lagos de Oriente</t>
  </si>
  <si>
    <t>13 Casadas, EHP Hna. Alma Zamora de Joaquín</t>
  </si>
  <si>
    <t>Guzmán Rodriguez Hefziba Sabetai</t>
  </si>
  <si>
    <t>José Rosas Moreno 920, Miguel Hidalgo</t>
  </si>
  <si>
    <t>Herem Magdalaine</t>
  </si>
  <si>
    <t>Calzada Dr. HCSJF, 3432, Hermosa Provincia.</t>
  </si>
  <si>
    <t>Hernández Aguillón Alejandro</t>
  </si>
  <si>
    <t>Priv. Hernando Solis,1189, La Campesina</t>
  </si>
  <si>
    <t>Hernandez Avilez Luis Alfredo</t>
  </si>
  <si>
    <t>educadores 3318, lagos de oriente</t>
  </si>
  <si>
    <t>Hernandez Bernardo Ibleam</t>
  </si>
  <si>
    <t>San Juan Lingote Orizaba Veracruz</t>
  </si>
  <si>
    <t>Hernández Cabrera Juan Samir</t>
  </si>
  <si>
    <t>Magistrados, 670, Lagos De Oriente</t>
  </si>
  <si>
    <t>Hernandez Cabrera Santiago</t>
  </si>
  <si>
    <t>Magistrados 670, lagos de oriente</t>
  </si>
  <si>
    <t>Hernandez Campos Dalila</t>
  </si>
  <si>
    <t>Mezcales, bahia de banderas Nayarith, enc Arturo Martinez Silva</t>
  </si>
  <si>
    <t>Hernández Contreras Beatriz</t>
  </si>
  <si>
    <t>Telegrafistas, 3760, Lagos De Oriente</t>
  </si>
  <si>
    <t xml:space="preserve">5 solas, EHP Dolores Méndez vda. de Ramirez </t>
  </si>
  <si>
    <t xml:space="preserve">Hernandez de Garcia Clara </t>
  </si>
  <si>
    <t>Demostenes 635 Col Libertad</t>
  </si>
  <si>
    <t>Hernandez Fauchey André Josafat</t>
  </si>
  <si>
    <t>Jerico 805A, col. Hermosa Provincia</t>
  </si>
  <si>
    <t>Hernández Gómez Bani Daniel</t>
  </si>
  <si>
    <t>Jerico, 805-A, Hermosa Provincia</t>
  </si>
  <si>
    <t>Hernández Gómez Isaac Abiezer</t>
  </si>
  <si>
    <t>Presa Solis 4002, Lagos de Oriente</t>
  </si>
  <si>
    <t>Hernandez Gonzalez Amsi Nohemi</t>
  </si>
  <si>
    <t>Presa 40 853, san joaquin</t>
  </si>
  <si>
    <t>Hernández González José</t>
  </si>
  <si>
    <t>Privada Belen 38A, Hermosa Provincia</t>
  </si>
  <si>
    <t>Hernández Hernández Danny Merary</t>
  </si>
  <si>
    <t>Jardines Japoneses,3439,Lagos De Oriente</t>
  </si>
  <si>
    <t>Hernández Hernández Jehieli A.</t>
  </si>
  <si>
    <t>Priv.Fernando Solis 1189,La Campesina</t>
  </si>
  <si>
    <t>Hernandez Hernandez Julia</t>
  </si>
  <si>
    <t>Privada Belen 105 Hermosa Provincia</t>
  </si>
  <si>
    <t>Hernández Hernández Zabdiel</t>
  </si>
  <si>
    <t>Belen 3432, Col. Hermosa Provincia</t>
  </si>
  <si>
    <t>Hernandez Isais Alan</t>
  </si>
  <si>
    <t>Jerusalen 3504, Col. Hermosa Provincia</t>
  </si>
  <si>
    <t>Hernández Jacinto Joseph Israel</t>
  </si>
  <si>
    <t>Presa Modelo, 545, Lagos De Oriente</t>
  </si>
  <si>
    <t>Hernández Jaime Minerva</t>
  </si>
  <si>
    <t>Presa Solis, 3992, Lagos De Oriente</t>
  </si>
  <si>
    <t>Hernández Juarez Amizadai</t>
  </si>
  <si>
    <t>Hernández Lara Areli Samai</t>
  </si>
  <si>
    <t>Galad, 3334, Col. Libertad</t>
  </si>
  <si>
    <t>Hernández Larios Pablo Benjamín</t>
  </si>
  <si>
    <t>Nazareth 743, Hermosa Provincia</t>
  </si>
  <si>
    <t>Hernandez León Daniel Jair</t>
  </si>
  <si>
    <t>Gaza 686, Hermosa Provincia</t>
  </si>
  <si>
    <t>Hernández López Ninfa</t>
  </si>
  <si>
    <t>Belen, 3396-A, Hermosa Provincia</t>
  </si>
  <si>
    <t>Hernandez Lopez Zurisadai</t>
  </si>
  <si>
    <t>Pablo Valdez 6887, hermosa provincia</t>
  </si>
  <si>
    <t>Hernandez Martinez Jonadad</t>
  </si>
  <si>
    <t>Ramon Blanarte 47, col. San Felipe</t>
  </si>
  <si>
    <t>Jerusalen, 3429, Hermosa Provincia</t>
  </si>
  <si>
    <t>Hernandez Medel Amssi Vanessa</t>
  </si>
  <si>
    <t>Guztavo Baz 3423, Miguel Hidalgo</t>
  </si>
  <si>
    <t xml:space="preserve">1 Señoritas EHP Zabdi Bebai Valle </t>
  </si>
  <si>
    <t>Hernandez Medel Merari Elisua</t>
  </si>
  <si>
    <t>Gustavo Vaz, Col. Miguel Hidalgo</t>
  </si>
  <si>
    <t>Hernández Mejía Ysabel</t>
  </si>
  <si>
    <t>Hernando Solis, 1189, Col. Campesina</t>
  </si>
  <si>
    <t>Hernández Parra Brisia Paola</t>
  </si>
  <si>
    <t>Presa Valsequillo, 776, Col. San Joaquin</t>
  </si>
  <si>
    <t>Hernández Pelayo Keyla Bedvirai</t>
  </si>
  <si>
    <t>Samaria 983, Hermosa Provincia</t>
  </si>
  <si>
    <t>Hernández Pérez Elisa</t>
  </si>
  <si>
    <t>Pablo Valdez, 3821, 2A Secc. H P</t>
  </si>
  <si>
    <t>Hernández Pérez Santiago</t>
  </si>
  <si>
    <t>Magistrados, 721, Lagos De Oriente</t>
  </si>
  <si>
    <t xml:space="preserve">EHP Carlos Ramos Castillon </t>
  </si>
  <si>
    <t>Hernández Pineda Veronica</t>
  </si>
  <si>
    <t>Canaan 3564, Hermosa Provincia</t>
  </si>
  <si>
    <t>3 solas, EHP Juana Margarita Chavez Joaquin</t>
  </si>
  <si>
    <t>Hernández Quintana Sofía</t>
  </si>
  <si>
    <t>Iran 846, Col. Cuauhtémoc</t>
  </si>
  <si>
    <t>Hernández Ramírez Marina</t>
  </si>
  <si>
    <t xml:space="preserve">Hernandez Ramos José Ramon </t>
  </si>
  <si>
    <t xml:space="preserve">Agronomos 3334, col. Lagos de Oriente </t>
  </si>
  <si>
    <t>1 solos, EHP José Sanchez M</t>
  </si>
  <si>
    <t>Hernandez Ramos Jose Ramos</t>
  </si>
  <si>
    <t>Astronomo 730, Lagos de Oriente</t>
  </si>
  <si>
    <t>2 Casados, EHP Alejandro Hernandez Chic</t>
  </si>
  <si>
    <t>Hernández Reyes Alonso</t>
  </si>
  <si>
    <t xml:space="preserve">Hernandez Rivas Ruth Elisa </t>
  </si>
  <si>
    <t xml:space="preserve">Aragon #10-29-E, Col. Valenciana </t>
  </si>
  <si>
    <t>Hernández Rivera Urias</t>
  </si>
  <si>
    <t>Magistrados 626-A, Lagos de Oriente</t>
  </si>
  <si>
    <t xml:space="preserve">5 casados EHP Josué Navarro Durán </t>
  </si>
  <si>
    <t>Hernández Salas Heber Eliaquim</t>
  </si>
  <si>
    <t>no tiene</t>
  </si>
  <si>
    <t>Gustavo Baz 3719</t>
  </si>
  <si>
    <t>Hernández Salazar Ciria</t>
  </si>
  <si>
    <t>Etiopia, 808, Col. Cuahutemoc</t>
  </si>
  <si>
    <t>Hernandez Sanchez Basni Samai</t>
  </si>
  <si>
    <t>Privada de galilea 913 hermosa provincia</t>
  </si>
  <si>
    <t>Hernández Sánchez Priscila</t>
  </si>
  <si>
    <t>Esteban Alatorre 33770,9B. Hermosa Provincia</t>
  </si>
  <si>
    <t>Hernández Silva Joseph Samuel</t>
  </si>
  <si>
    <t xml:space="preserve">Siberia #3319, col. Lagos de oriente </t>
  </si>
  <si>
    <t>Hernández Torres Alejandro</t>
  </si>
  <si>
    <t>Belen, 3416, Hermosa Provincia.</t>
  </si>
  <si>
    <t>Hernandez Vargas Zuri Anai</t>
  </si>
  <si>
    <t>Maria Reyes 4849c-11 Colonia Tetlan</t>
  </si>
  <si>
    <t>Hernández Vázquez Blanca Estela</t>
  </si>
  <si>
    <t>Presa Oviachic, 777-A, Col. Sn Joaquin</t>
  </si>
  <si>
    <t xml:space="preserve">Hernández Victorin Betania </t>
  </si>
  <si>
    <t>Presa el tintero #983</t>
  </si>
  <si>
    <t xml:space="preserve">2 adolescentes EHP Nebaí Zamora </t>
  </si>
  <si>
    <t>Herrera Gonzalez Sara</t>
  </si>
  <si>
    <t xml:space="preserve">Samaria 957, Hermosa Provincia </t>
  </si>
  <si>
    <t xml:space="preserve">2 solas, EHP María Elena Reyes Viuda de Acevedo </t>
  </si>
  <si>
    <t xml:space="preserve">18 casadas, EHP Nohemí Avalos vda. de Gonzalez </t>
  </si>
  <si>
    <t>Herrera Morán Madai</t>
  </si>
  <si>
    <t>Jerusalen 3365, Hermosa Provincia</t>
  </si>
  <si>
    <t>Herrera Rubio Angel Isaias</t>
  </si>
  <si>
    <t>Genaro Garcia 3345, Miguel Hidalgo</t>
  </si>
  <si>
    <t>Herrera Villavicencio Zabdi</t>
  </si>
  <si>
    <t xml:space="preserve">Jerusalen 3365-A Hermosa provincia </t>
  </si>
  <si>
    <t>Honor Moreno Moises</t>
  </si>
  <si>
    <t>Belen 3431, hermosa provincia</t>
  </si>
  <si>
    <t>Huerta Huerta Elias</t>
  </si>
  <si>
    <t>Huerta Sánchez Elias</t>
  </si>
  <si>
    <t>Nazareth 784, Hermosa Provincia</t>
  </si>
  <si>
    <t>Ibarra Gutierrez Jorge</t>
  </si>
  <si>
    <t>Canaan 3505, Hermosa Provincia</t>
  </si>
  <si>
    <t>7 de casados, EHP Abezaleel Carrillo G.</t>
  </si>
  <si>
    <t>Ibarra Morales Uriel</t>
  </si>
  <si>
    <t>Illescas Medina Gabriel</t>
  </si>
  <si>
    <t>Presa Sanalona 823, Hermosa Provincia</t>
  </si>
  <si>
    <t>Dusseldorf, Alemania</t>
  </si>
  <si>
    <t>Ipiña Del Río Adiel Silem</t>
  </si>
  <si>
    <t>Turquia, 729, Col. Lagos De Oriente.</t>
  </si>
  <si>
    <t>Ipiña Salazar Silverio</t>
  </si>
  <si>
    <t>Turquia,730,Miguel Hidalgo</t>
  </si>
  <si>
    <t>Isidro López Cinthia</t>
  </si>
  <si>
    <t>Nazaret, 630, Hermosa Provincia</t>
  </si>
  <si>
    <t>Islas Zambrano Giezi</t>
  </si>
  <si>
    <t>Samaria 937, Hermosa Provincia</t>
  </si>
  <si>
    <t>Jackson Solis Bani Bigbai</t>
  </si>
  <si>
    <t>Samaria Hermosa Provincia</t>
  </si>
  <si>
    <t>4 jovenes EHP Josue Coronado</t>
  </si>
  <si>
    <t>Jaime Gomez Betsua Samai</t>
  </si>
  <si>
    <t>Jardines de babilonia 499A Col. Lagos de oriente</t>
  </si>
  <si>
    <t>6 casadas, EHP Jael Madai Lupían Utrera</t>
  </si>
  <si>
    <t>Jaimes Navarro Anita</t>
  </si>
  <si>
    <t>Gaza, 687, Hermosa Provincia</t>
  </si>
  <si>
    <t xml:space="preserve">17 Casadas, EHP Dalila Coronado </t>
  </si>
  <si>
    <t>Jaramillo Zapata Ofir Esther</t>
  </si>
  <si>
    <t>Etiopia, 808-A, Col. Cuahutemoc.</t>
  </si>
  <si>
    <t>Jimenez Arguijo Jose Alfredo</t>
  </si>
  <si>
    <t>Jardines De Babilonia, ? , Lagos De Oriente</t>
  </si>
  <si>
    <t>Jiménez Carreon María Beatriz</t>
  </si>
  <si>
    <t>Procuradores 3329, Hermosa Provincia</t>
  </si>
  <si>
    <t>Jimenez Elias Azareel Adlai</t>
  </si>
  <si>
    <t>Telegrafistas 3562, Lagos de Oriente</t>
  </si>
  <si>
    <t xml:space="preserve">Jimenez Marin Sarvia </t>
  </si>
  <si>
    <t>Hacienda san ramón 3794 Col. Helidoro Hernandez</t>
  </si>
  <si>
    <t>13 casadas EHP Elizabeth Armenta Acosta</t>
  </si>
  <si>
    <t>Johnson Davila Jibsam</t>
  </si>
  <si>
    <t>Samaria 828, Hermosa Provincia</t>
  </si>
  <si>
    <t>Col. Guerrero, CDMX, O.E. Andres Rodriguez</t>
  </si>
  <si>
    <t>Juarez Curiel Ana Dilean</t>
  </si>
  <si>
    <t>Jardines de San Francisco 378, Tetlan.</t>
  </si>
  <si>
    <t>Jurado Álvarez Eliseo Jaír</t>
  </si>
  <si>
    <t>Jordan, 724 Nte. , Col. Hermosa Provincia</t>
  </si>
  <si>
    <t>Jurado Álvarez Jeu Kibsaim</t>
  </si>
  <si>
    <t>Jurado Vazquez Galilea</t>
  </si>
  <si>
    <t>Presa osorio jardines babiliona</t>
  </si>
  <si>
    <t>Landero Acosta Miriam Janet</t>
  </si>
  <si>
    <t>Demostenes 54B, Lagos de Oriente</t>
  </si>
  <si>
    <t>Lara Orta Alejandra</t>
  </si>
  <si>
    <t>Jordan Sur,660, Hermosa Provincia</t>
  </si>
  <si>
    <t>Larios Alvarez Banny Atlay</t>
  </si>
  <si>
    <t>Bagdad 652, col. Libertad</t>
  </si>
  <si>
    <t>3 casados EHP Nahari Castaneda Ibarra</t>
  </si>
  <si>
    <t>Larios Álvarez Banny Atlay</t>
  </si>
  <si>
    <t>Esteban Alatorre, 3265, Col. Libertad</t>
  </si>
  <si>
    <t>Lechuga Oliva Naason Efrain</t>
  </si>
  <si>
    <t>Telegrafistas, 3483, Hermosa Provincia</t>
  </si>
  <si>
    <t>Ledezma Santos Edrei</t>
  </si>
  <si>
    <t>Pablo Valdez 3811, los arrayanes</t>
  </si>
  <si>
    <t>1 casados</t>
  </si>
  <si>
    <t>Lemus Guevara Ana Sarai</t>
  </si>
  <si>
    <t>Presa Tintero 820, San Joaquin</t>
  </si>
  <si>
    <t xml:space="preserve">Lemus Vega Lesly Betsaida </t>
  </si>
  <si>
    <t xml:space="preserve">Margarita Gutierrez, col. Mtro. Aaron Joaquin </t>
  </si>
  <si>
    <t>2 srtas. EHP Bethlem Morales Robles</t>
  </si>
  <si>
    <t>Leon  Ramírez Marcos</t>
  </si>
  <si>
    <t>León Castellanos Nimsi Jahdai</t>
  </si>
  <si>
    <t>Jardines de babiliona 5 Col. Lagos de oriente</t>
  </si>
  <si>
    <t>2 adolescentes EHP J. Margarito Chavez</t>
  </si>
  <si>
    <t>Leon Hernandez Eliel</t>
  </si>
  <si>
    <t>Canaan 3779, Col. San Joaquin</t>
  </si>
  <si>
    <t>3 jovenes EHP Arnulfo Crispin Pérez</t>
  </si>
  <si>
    <t>León Hernandez Marcos</t>
  </si>
  <si>
    <t>Caanan 3779</t>
  </si>
  <si>
    <t>León Mares Elsa</t>
  </si>
  <si>
    <t>Gaza, 686, Hermosa Provincia</t>
  </si>
  <si>
    <t>Leyva Mendoza Jonatan Abel</t>
  </si>
  <si>
    <t>33433945 (mamá)</t>
  </si>
  <si>
    <t xml:space="preserve">Francisco Soza #3507, Miguel Hidalgo </t>
  </si>
  <si>
    <t xml:space="preserve">2 adolescentes D. E. Sergio Altamirano </t>
  </si>
  <si>
    <t>Libonatti Valdivia Abby Gethsemani</t>
  </si>
  <si>
    <t>Gustavo Baz 3725, 2da sección HP</t>
  </si>
  <si>
    <t>1 adolescentes , EHP Jahzeel Martinez</t>
  </si>
  <si>
    <t>Libonatti Valdivia Joshua Abdiel</t>
  </si>
  <si>
    <t>Gustavo Baz 3725, Col. Los Arrayanes</t>
  </si>
  <si>
    <t>Linares Pardo Claudia Arisai</t>
  </si>
  <si>
    <t>Israel 914, Miguel Hidalgo</t>
  </si>
  <si>
    <t>2 señoritas, EHP Betlehem Morales Robles</t>
  </si>
  <si>
    <t>Lizarraga Montalvo Hannah Karime</t>
  </si>
  <si>
    <t>Presa Oviachi 761, San Joaquin</t>
  </si>
  <si>
    <t>Lomeli Marquez Karen Lisseht</t>
  </si>
  <si>
    <t>Pablo Moreno 1047, Los Arrayanes</t>
  </si>
  <si>
    <t>3 casadas, EHP Milca Susana Chavez</t>
  </si>
  <si>
    <t>López Alejandre Michelle Berenice</t>
  </si>
  <si>
    <t>Av. Niños Heroes, 1094, Camichines</t>
  </si>
  <si>
    <t xml:space="preserve">Lopez Aquino Lidia </t>
  </si>
  <si>
    <t>10 Casadas Drucila Almaguer</t>
  </si>
  <si>
    <t>López Armendáriz Cinthya Denisse</t>
  </si>
  <si>
    <t>Telegrafistas, 3562, Col. Lagos De Oriente</t>
  </si>
  <si>
    <t>López Brambila Juana</t>
  </si>
  <si>
    <t>Demostenes, 617, Col. Libertad</t>
  </si>
  <si>
    <t>López Escalante Benoni Janahi</t>
  </si>
  <si>
    <t>Presa Oviachic 791, San Joaquin</t>
  </si>
  <si>
    <t>López Escalante Tiara Rubí</t>
  </si>
  <si>
    <t>López Giraldo Ma Odilia</t>
  </si>
  <si>
    <t>Fisicos, 3189, Col. Constitucion</t>
  </si>
  <si>
    <t>Lopez Hernandez Samuel</t>
  </si>
  <si>
    <t>juan bautista díaz 3709, los arrayanes</t>
  </si>
  <si>
    <t>11 casados EHP Abdiel Medina</t>
  </si>
  <si>
    <t>López López Argenis</t>
  </si>
  <si>
    <t>Nazaret 635, Lagos De Oriente</t>
  </si>
  <si>
    <t>Lopez Mar Daniel Atlai</t>
  </si>
  <si>
    <t>Av. De La Cruz, 1678, Ampliacion Talpita</t>
  </si>
  <si>
    <t>López Olguín Aminadab</t>
  </si>
  <si>
    <t>López Ortega Salvador</t>
  </si>
  <si>
    <t>Canaan,3617 A, Hermosa Provincia</t>
  </si>
  <si>
    <t xml:space="preserve">Lopez Ortiz Ishua Jabnel </t>
  </si>
  <si>
    <t>Pablo Moreno 1048, Los arallanes</t>
  </si>
  <si>
    <t>López Salvador</t>
  </si>
  <si>
    <t>Av De La Cruz,1678, Talpita</t>
  </si>
  <si>
    <t>López Sánchez Marcela</t>
  </si>
  <si>
    <t>Hacienda san ramón Col. Helidoro Hernandez</t>
  </si>
  <si>
    <t>5 Solas EHPD Dolores Méndez Vda. De Rámirez</t>
  </si>
  <si>
    <t>Lopez Tepalt Renata Samai</t>
  </si>
  <si>
    <t>Jerusalen 3478 Hermosa Provincia</t>
  </si>
  <si>
    <t>5 casadas, EHP Milca Susana Chavez</t>
  </si>
  <si>
    <t>Lozada Vega Cesiah Gemimah</t>
  </si>
  <si>
    <t>Geografos 646 int B, Lagos de Oriente</t>
  </si>
  <si>
    <t>8° casadas, EHP Estela Pérez Canales</t>
  </si>
  <si>
    <t>Luciano Vazquez Bethzy Merari</t>
  </si>
  <si>
    <t>Luevanos Clemente Danna Nahomi</t>
  </si>
  <si>
    <t>Jardines Japoneses 3311, Lagos de Oriente</t>
  </si>
  <si>
    <t>Lugo Alegría Finees Hidai</t>
  </si>
  <si>
    <t>Jordan Sur 608, Hermosa Provincia</t>
  </si>
  <si>
    <t>Lugo León Jacob</t>
  </si>
  <si>
    <t>Presa Tivoli Int. 33 Ext 132</t>
  </si>
  <si>
    <t xml:space="preserve">2 jovenes, EHP Benjamin Menchaca T. </t>
  </si>
  <si>
    <t>Lugo Montaño Josue</t>
  </si>
  <si>
    <t>Demostenes, 1087, Cuahutemoc.</t>
  </si>
  <si>
    <t>Luna Díaz Santos Alberto</t>
  </si>
  <si>
    <t>Gustavo Baz 3388, Miguel Hidalgo</t>
  </si>
  <si>
    <t>Luna Lopez Mizraim Joel</t>
  </si>
  <si>
    <t>Presa Del Cuarenta, SN, San Joaquin</t>
  </si>
  <si>
    <t>Luna Pérez Antonio</t>
  </si>
  <si>
    <t>Belen, 3433, Hermosa Provincia</t>
  </si>
  <si>
    <t>Luna Serrano Froylan</t>
  </si>
  <si>
    <t>Jesus Reyes 77, El manantial</t>
  </si>
  <si>
    <t>Lupian Andrade Maria Elena</t>
  </si>
  <si>
    <t>Privade de Belen, 27, Hermosa Provincia</t>
  </si>
  <si>
    <t>Macedo Castellón Rosario</t>
  </si>
  <si>
    <t>Presa Sanalona,805,Hermosa Provincia</t>
  </si>
  <si>
    <t>Macías Alba Besaleel</t>
  </si>
  <si>
    <t>Jardin Botanico,3385, Lagos De Oriente</t>
  </si>
  <si>
    <t>Macias Alba Mara</t>
  </si>
  <si>
    <t>13 casadas D. Alma Zamora</t>
  </si>
  <si>
    <t>Macias Cervantes Betbirai</t>
  </si>
  <si>
    <t>Caanan 3781, San Joaquin</t>
  </si>
  <si>
    <t>Macías Méndez Ammi Adlai</t>
  </si>
  <si>
    <t>Macías Méndez Besaleel</t>
  </si>
  <si>
    <t>Macías Montejano Salvador</t>
  </si>
  <si>
    <t>Agronomos, 3385, Lagos De Oriente</t>
  </si>
  <si>
    <t>Magaña Estrada Joacim Abisai</t>
  </si>
  <si>
    <t>Esteban Alatorre 3109 Col Libertad</t>
  </si>
  <si>
    <t>Tijuana Sanchez Tabuada</t>
  </si>
  <si>
    <t>Maldonado Domínguez José Antonio</t>
  </si>
  <si>
    <t>Astronomos 731, Lagos de Oriente</t>
  </si>
  <si>
    <t>Tala, Jalisco. O.E. Asael Monroy Correa</t>
  </si>
  <si>
    <t>Manjarrez Ayala Manuel</t>
  </si>
  <si>
    <t>Emilio Rabaza 3923-13 col Jardines de San Francisco</t>
  </si>
  <si>
    <t>04-ma-r18</t>
  </si>
  <si>
    <t>Manjarrez Zamora Carlos Joel</t>
  </si>
  <si>
    <t>3330.3469  33.2191.9374</t>
  </si>
  <si>
    <t>Presa El Tintero 1038, Col. Los Arrayanes</t>
  </si>
  <si>
    <t xml:space="preserve">12 Casados, Hno. Carlos Ramos Castillon </t>
  </si>
  <si>
    <t>Mar Loya Merath</t>
  </si>
  <si>
    <t>13 casadas EHP Rosalia Palomar</t>
  </si>
  <si>
    <t>Mares Osuna Karem Quelubai</t>
  </si>
  <si>
    <t xml:space="preserve">Miguel Leon Portilla 1116 col. Los Arrayanes </t>
  </si>
  <si>
    <t>4 señoritas, EHP Ana Valenzuela</t>
  </si>
  <si>
    <t>Mares Osuna Naason Neiel</t>
  </si>
  <si>
    <t xml:space="preserve">Miguel Leon Portillo 1116 col San Francisco </t>
  </si>
  <si>
    <t>Marín Kuri Dalila</t>
  </si>
  <si>
    <t>Nazaret, 660-A, Hermosa Provincia</t>
  </si>
  <si>
    <t>Marquez Cano Alejandro</t>
  </si>
  <si>
    <t>Samaria 935, Hermosa Provincia</t>
  </si>
  <si>
    <t>Marquez Linares Dana Aseneth</t>
  </si>
  <si>
    <t>Jardin Botanico 3306, Lagos de Oriente</t>
  </si>
  <si>
    <t>Martín Rivera Nohemí</t>
  </si>
  <si>
    <t>Jordan Nte. 787-3, Hermosa Provincia</t>
  </si>
  <si>
    <t>Martin Sanchez Celia</t>
  </si>
  <si>
    <t>Jardín Botanico 3368, Lagos de Oriente</t>
  </si>
  <si>
    <t>Martín Sánchez Juan</t>
  </si>
  <si>
    <t>Jardines Japoneses,  Sin/ N. Lagos De Oriente</t>
  </si>
  <si>
    <t>Martínez Aguilar Belen</t>
  </si>
  <si>
    <t>Presa Palmito, 807, Sn Joaquin</t>
  </si>
  <si>
    <t>Martinez Ayala Consuelo de la Paz</t>
  </si>
  <si>
    <t>Martínez Ayala Marvin J.</t>
  </si>
  <si>
    <t>Priv.Galilea Int.12A Hermosa Provincia</t>
  </si>
  <si>
    <t>Martinez Cruz Jael</t>
  </si>
  <si>
    <t>Vicente Daza 1003, Lomas del Gallo</t>
  </si>
  <si>
    <t>14 casadas, EHP Adriana Padilla</t>
  </si>
  <si>
    <t>Martínez García Josue</t>
  </si>
  <si>
    <t>Jardines Japoneses 3329, Lagos de Oriente</t>
  </si>
  <si>
    <t>Martínez Guardado Ernesto</t>
  </si>
  <si>
    <t>Magistrados 625, Lagos de Oriente</t>
  </si>
  <si>
    <t xml:space="preserve">Martinez Guardado Ernesto </t>
  </si>
  <si>
    <t>Magistrados 633 Col. Lagos del oriente</t>
  </si>
  <si>
    <t>Martínez Guzmán  María De Los Ángeles</t>
  </si>
  <si>
    <t>Presa Santa Rosa, 587-A, Lagos De Oriente</t>
  </si>
  <si>
    <t>4 solas EHP Xochilt Chavez Joaquín</t>
  </si>
  <si>
    <t>Martínez Macías Marvin Itaí</t>
  </si>
  <si>
    <t>Privada De Galilea, 12-A, Col. H. P.</t>
  </si>
  <si>
    <t>Martínez Martínez Heriberto</t>
  </si>
  <si>
    <t>Rafael Zayas Enriquez, Miguel Hidalgo</t>
  </si>
  <si>
    <t>Martinez Martinez Maria del Rocio</t>
  </si>
  <si>
    <t>6 Señoritas, EHP, Ana Rosa Macias Alba</t>
  </si>
  <si>
    <t>Martínez Mora Julia</t>
  </si>
  <si>
    <t>Jordan Sur, 638, Hermosa Provincia</t>
  </si>
  <si>
    <t>Martinez Morales Ruth</t>
  </si>
  <si>
    <t>Presa Palmito,689, San Joaquin</t>
  </si>
  <si>
    <t>Martínez Piña Jedia Samir</t>
  </si>
  <si>
    <t xml:space="preserve">Casas Coloradas, EdoMex, D.E. Jose Manuel Martínez </t>
  </si>
  <si>
    <t>Martinez Pulido Maria</t>
  </si>
  <si>
    <t>Presa Oviachic, 670-3, San Joaquin</t>
  </si>
  <si>
    <t>Martínez Pulido Teresa</t>
  </si>
  <si>
    <t>Presa Oviachic,670, San Joaquin</t>
  </si>
  <si>
    <t>Martínez Ramírez Sara</t>
  </si>
  <si>
    <t>Demostenes, 741, Col. Libertad</t>
  </si>
  <si>
    <t>6 solas EHP Maria Reyes viuda de Acevedo</t>
  </si>
  <si>
    <t xml:space="preserve">Martínez Reyes Luciana </t>
  </si>
  <si>
    <t>Pablo Valdez, 3109-A, Col. Cuahutemoc</t>
  </si>
  <si>
    <t>Martínez Robles Amsi Elizabeth</t>
  </si>
  <si>
    <t>Canaan,, 3465, Hermosa Provincia</t>
  </si>
  <si>
    <t>Martínez Robles Ana María</t>
  </si>
  <si>
    <t>Tripoli 745, Sector Libertad</t>
  </si>
  <si>
    <t xml:space="preserve">4 solas, EHP Xochitl Chavez  Joaquin </t>
  </si>
  <si>
    <t>Martinez Rodriguez Dana Naomi</t>
  </si>
  <si>
    <t>Presa Sanalona 873, Hermosa Provincia</t>
  </si>
  <si>
    <t>1 Señoritas, EHP Sabdi Bebai Valle Balmaceda</t>
  </si>
  <si>
    <t>Martinez Salgado Fernando</t>
  </si>
  <si>
    <t xml:space="preserve">Gustavo Vaz 3710, Segunda sección </t>
  </si>
  <si>
    <t>Martínez Serna Ma Guadalupe</t>
  </si>
  <si>
    <t>Astronomos, 726, Lagos De Oriente</t>
  </si>
  <si>
    <t>Martínez Sigüenza Dora</t>
  </si>
  <si>
    <t>Jardines Japoneses, 342, Lagos De Oriente</t>
  </si>
  <si>
    <t>Martinez Tello Eva Naarai</t>
  </si>
  <si>
    <t>Arquimides 420, Lagos de oriente</t>
  </si>
  <si>
    <t>2 Señoritas EHP Bethlehem Morales Robles</t>
  </si>
  <si>
    <t>Martinez Tello Sury Jeriday</t>
  </si>
  <si>
    <t>Arquimides 420, Lagos de Oriente</t>
  </si>
  <si>
    <t>Martinez Torres Dalila Shuvaneli</t>
  </si>
  <si>
    <t>Telegrafistas, col. Hermosa Provincia</t>
  </si>
  <si>
    <t>Martínez Turcios Dilson Alexander</t>
  </si>
  <si>
    <t>Presa Oviachic, Lagos de Oriente</t>
  </si>
  <si>
    <t>Marulanda Calderón Alba Luz</t>
  </si>
  <si>
    <t>Presa Osorio, 649, Lagos De Oriente</t>
  </si>
  <si>
    <t>Mata Sandoval María Vicenta</t>
  </si>
  <si>
    <t>Presa Sanalona 858-4, Hermosa Provincia</t>
  </si>
  <si>
    <t>3 solas, EHP Milca Susana Chavez Joaquín</t>
  </si>
  <si>
    <t>Getsemani,3657,San Joaquin</t>
  </si>
  <si>
    <t>Medina Lopez Susana</t>
  </si>
  <si>
    <t>Privada de Belen 40, Col, Hermosa Provincia</t>
  </si>
  <si>
    <t>Medrano Miramontes Ma Noemí Estela</t>
  </si>
  <si>
    <t>Anastacio Cerecero, 3517, Miguel Hidalgo</t>
  </si>
  <si>
    <t>Mejía Estrada Elizabeth</t>
  </si>
  <si>
    <t>Pablo Valdez, S/N Col. Libertad</t>
  </si>
  <si>
    <t>Mejía Estrada Moisés</t>
  </si>
  <si>
    <t>Pablo Valdez 3806, San Joaquín</t>
  </si>
  <si>
    <t>5 Casados, EHP Josue Navarro</t>
  </si>
  <si>
    <t>Mejía Leal Gerzon Alejandro</t>
  </si>
  <si>
    <t>Presa Sanalona 722, San Joaquin</t>
  </si>
  <si>
    <t>Mejía Preciado Moisés</t>
  </si>
  <si>
    <t>Pv. De la Presa 18, Benito Juárez</t>
  </si>
  <si>
    <t>Batallones</t>
  </si>
  <si>
    <t>Mejia Rodriguez Ana Elizabeth</t>
  </si>
  <si>
    <t>Arquimides 790, Hermosa Provincia</t>
  </si>
  <si>
    <t>5 señoritas, EHP Ana Rosa Macías Alba</t>
  </si>
  <si>
    <t>Mejía Rodríguez Juan Daniel</t>
  </si>
  <si>
    <t>Mendez Siguenza Sandiel Azarias</t>
  </si>
  <si>
    <t>San Pedro Sula, Honduras, P.E. Juan Hernández Rivielo</t>
  </si>
  <si>
    <t>Mendez Silverio Atlai Moises</t>
  </si>
  <si>
    <t xml:space="preserve">Belèn, 3418, Hermosa Provincia </t>
  </si>
  <si>
    <t>Esteban Alatorre 3549, Hermosa Provincia</t>
  </si>
  <si>
    <t>2 Jovenes, EHP Benjamin Menchaca</t>
  </si>
  <si>
    <t>Mendoza Lara Galilea Marcela</t>
  </si>
  <si>
    <t>Esteba Alatorre, Hermosa Provincia</t>
  </si>
  <si>
    <t>Frontera Coahuila, Enc. Eleazar Romero</t>
  </si>
  <si>
    <t>Mendoza Lara Sunem Areli</t>
  </si>
  <si>
    <t>Jardines Japoneses</t>
  </si>
  <si>
    <t>Mendoza Morales Zaret Sahar</t>
  </si>
  <si>
    <t>Jardines Botanico Hermosa provincia</t>
  </si>
  <si>
    <t>2 Adolescentes EHP Xochitl Chavez</t>
  </si>
  <si>
    <t>Mendoza Rodríguez Salomón</t>
  </si>
  <si>
    <t>Río Agua Naval, 1775, Urbi Quinta, Ton.</t>
  </si>
  <si>
    <t>Meneses López Miguel</t>
  </si>
  <si>
    <t>Presa palmito 873, Col. San Joaquín</t>
  </si>
  <si>
    <t>23/0126</t>
  </si>
  <si>
    <t>Merino Martinez Zabdi Elisama</t>
  </si>
  <si>
    <t>Escalon 656, Hermosa provincia</t>
  </si>
  <si>
    <t>Obrero batallón Europa</t>
  </si>
  <si>
    <t>Mexia Garcia Jaciel Itai</t>
  </si>
  <si>
    <t>Presa estribon 847</t>
  </si>
  <si>
    <t>Meza Cervantes Enrique</t>
  </si>
  <si>
    <t>Jerusalen, 3456, Hermosa Provincia</t>
  </si>
  <si>
    <t>Meza Diaz Milca</t>
  </si>
  <si>
    <t>Getsemani 3649, San Joaquin</t>
  </si>
  <si>
    <t>13 casadas D. Alma Zamora de Joaquín</t>
  </si>
  <si>
    <t>Meza Meza Nohemi</t>
  </si>
  <si>
    <t>Esteban Alatorre 3309, Hermosa Provincia</t>
  </si>
  <si>
    <t>14 casadas, EHP Rosalía Palomar Soltero</t>
  </si>
  <si>
    <t>Molina Reyes Moisés</t>
  </si>
  <si>
    <t>Monroy Ramirez Jael</t>
  </si>
  <si>
    <t>Jerusalén 3491, Hermosa provincia</t>
  </si>
  <si>
    <t>7 casadas EHP Estela Perez Canales</t>
  </si>
  <si>
    <t>Montalvo Cuello Matilde</t>
  </si>
  <si>
    <t>Diaz de Leon y Presa Tintero, Los Arrayanes</t>
  </si>
  <si>
    <t>11-25</t>
  </si>
  <si>
    <t>Montalvo Garcia Jose Ivan</t>
  </si>
  <si>
    <t>Montañez Guevara Pablo</t>
  </si>
  <si>
    <t>Arquimides 408, hermosa provincia</t>
  </si>
  <si>
    <t>12 Casados, EHP Josue Navarro</t>
  </si>
  <si>
    <t>Montaño Franco Mauro Jose</t>
  </si>
  <si>
    <t>Presa Palmito, San joaquín</t>
  </si>
  <si>
    <t>7 casados EHP Abezaleel Carrillo G.</t>
  </si>
  <si>
    <t>Montaño Franco Mauro José</t>
  </si>
  <si>
    <t>Presa Palmito 807, San Joaquín</t>
  </si>
  <si>
    <t>Huejutla de Reyes, Hidalgo. D.E. Abel Arce Sánchez</t>
  </si>
  <si>
    <t>Montejano Serrano Helem Janai</t>
  </si>
  <si>
    <t>Felipe Buenrostro 3387, Miguel Hidalgo</t>
  </si>
  <si>
    <t>Montejo Rodriguez Sarvia Betsabe</t>
  </si>
  <si>
    <t>Priv. Macias Quintana, U.H. Lopez Velarde.</t>
  </si>
  <si>
    <t xml:space="preserve">Priv. Macias Quintana 1009, Ramon Lopez </t>
  </si>
  <si>
    <t>Montes De Oca Salcedo Aniceto</t>
  </si>
  <si>
    <t>Jordan, 753-1, Hermosa Provincia</t>
  </si>
  <si>
    <t>Baja Por Defuncion</t>
  </si>
  <si>
    <t>Montoya García Bertha Alicia</t>
  </si>
  <si>
    <t>Betlehem, 3345, Col. Lagos De Oriente</t>
  </si>
  <si>
    <t>Moo Naal Eliezer</t>
  </si>
  <si>
    <t>Pablo Valdez 3282, Lagos de Oriente.</t>
  </si>
  <si>
    <t>Mora Aparicio Jehielly Mibzhar</t>
  </si>
  <si>
    <t xml:space="preserve">Telegrafistas 3565, Lagos de Oriente </t>
  </si>
  <si>
    <t>Mora Jaimes Betsabé</t>
  </si>
  <si>
    <t>Geografos 646, Lagos de Oriente</t>
  </si>
  <si>
    <t>Mora Meza Raquel</t>
  </si>
  <si>
    <t>Privada de Belén 13, Hermosa Provincia</t>
  </si>
  <si>
    <t>Mora Venegas Samuel</t>
  </si>
  <si>
    <t>Rancho Seco, 1366, Lomas De San Eugenio</t>
  </si>
  <si>
    <t>Mora Zamora Edith</t>
  </si>
  <si>
    <t>Esteban Alatorre 3307-10, Hermosa Provincia</t>
  </si>
  <si>
    <t>Mora Zárate Eliseo</t>
  </si>
  <si>
    <t>Gaza, 748, Hermosa Provincia</t>
  </si>
  <si>
    <t xml:space="preserve">Morales Aguilar Sara </t>
  </si>
  <si>
    <t>Presa Solis, 3832, Col. Lagos De Oriente</t>
  </si>
  <si>
    <t>Salio Obra</t>
  </si>
  <si>
    <t>Morales Delgado Mario Anthuan</t>
  </si>
  <si>
    <t xml:space="preserve">Ignacio Machain y Santa, Talpita </t>
  </si>
  <si>
    <t>Morales Hernández Gilberta</t>
  </si>
  <si>
    <t>Cirujanos, 725-A, Col. Lagos De Oriente</t>
  </si>
  <si>
    <t>Morales Jimenez Adolfo</t>
  </si>
  <si>
    <t>Iran 677</t>
  </si>
  <si>
    <t>Morales Juárez Josué</t>
  </si>
  <si>
    <t>Francisco De Aiza,3280 A, Agustin Yañez</t>
  </si>
  <si>
    <t>Morales Meléndez María Emilia</t>
  </si>
  <si>
    <t>Nazaret 724, Hermosa Provincia</t>
  </si>
  <si>
    <t>Morales Romero Abigail Elizabeth</t>
  </si>
  <si>
    <t>Arquimides 2977, Hermosa Provincia</t>
  </si>
  <si>
    <t>Morales Santiago Elizabeth</t>
  </si>
  <si>
    <t>Morales Solares Eliezer Mizraim</t>
  </si>
  <si>
    <t>Jardines Japoneses 3571, Lagos de Oriente</t>
  </si>
  <si>
    <t>Morales Vazquez Eliezer</t>
  </si>
  <si>
    <t>Francisco de Ayza 3282A, Libertad</t>
  </si>
  <si>
    <t>Moran Medrano Hilem Amisadai</t>
  </si>
  <si>
    <t>Agronomos 3274, Lagos de Oriente</t>
  </si>
  <si>
    <t>Moran Medrano Israel Zimri</t>
  </si>
  <si>
    <t>Agronomos, 3714, Hermosa Provincia</t>
  </si>
  <si>
    <t xml:space="preserve">Moran Ortega Isha Saharaim </t>
  </si>
  <si>
    <t xml:space="preserve">Samaria #921, Hermosa Provincia </t>
  </si>
  <si>
    <t>EHP Martha García Rodríguez</t>
  </si>
  <si>
    <t>Moreno Correa Ma De La Luz</t>
  </si>
  <si>
    <t>SaMaría,971, Hermosa Provincia</t>
  </si>
  <si>
    <t>6 solas EHP Maria Elena Reyes Viuda de Acevedo</t>
  </si>
  <si>
    <t>Moreno Ramírez Irma</t>
  </si>
  <si>
    <t>Magistrados , 639, Lagos De Oriente</t>
  </si>
  <si>
    <t>Muñoz Chantres José Manuel</t>
  </si>
  <si>
    <t>Jordan Nte. 739, Hermosa Provincia</t>
  </si>
  <si>
    <t>Obra de Chiapas</t>
  </si>
  <si>
    <t xml:space="preserve">Muñoz González Uziel </t>
  </si>
  <si>
    <t>Privada De Galilea, 11-A, Hermosa Prov.</t>
  </si>
  <si>
    <t>Muñoz Guzman Betsua Isabel</t>
  </si>
  <si>
    <t xml:space="preserve">credito 4038, benito juarez </t>
  </si>
  <si>
    <t xml:space="preserve">3 señoritas, EHP Ana Rosa Toris Gonzalez </t>
  </si>
  <si>
    <t>Muñoz Guzmán Salma Nohemi</t>
  </si>
  <si>
    <t>Credito 4088, Benito Juarez</t>
  </si>
  <si>
    <t>Muñoz Onofre Daniel</t>
  </si>
  <si>
    <t>Esteban Alatorre,3376-11-A, Hermosa P</t>
  </si>
  <si>
    <t>Muñoz Ortega Genesis Sismai</t>
  </si>
  <si>
    <t xml:space="preserve">Samaria 921 col, Hermosa Provincia </t>
  </si>
  <si>
    <t>2 adolescentes EHP Xochilt Chavez</t>
  </si>
  <si>
    <t>Muñoz Ruiz Rafael</t>
  </si>
  <si>
    <t>Presa Laurel,146, Jardines De San Francisco</t>
  </si>
  <si>
    <t>Muñoz Sánchez Luz Elizabeth</t>
  </si>
  <si>
    <t>33 1149 1425</t>
  </si>
  <si>
    <t>Presa Laurel, 146, Tetlan</t>
  </si>
  <si>
    <t>1 señoritas solas EHP Rosa Elisa Sosa</t>
  </si>
  <si>
    <t>Muñoz Sánchez Miriam</t>
  </si>
  <si>
    <t>Murillo Ramos Josue</t>
  </si>
  <si>
    <t xml:space="preserve">Jardines Japoneses, Lagos de Oriente </t>
  </si>
  <si>
    <t xml:space="preserve">2 Adolescentes, D.E. Sergio Altamirano </t>
  </si>
  <si>
    <t>Naranjo Becerra Zabdiel</t>
  </si>
  <si>
    <t>Nazareth 610, Lagos de Oriente</t>
  </si>
  <si>
    <t>Manuel Irigollen, 947, 2A. Secc. H P</t>
  </si>
  <si>
    <t xml:space="preserve">Nava Lara Maresa Sinai </t>
  </si>
  <si>
    <t>Iran 683, Libertad</t>
  </si>
  <si>
    <t>Nava Larios Guillermo Jaír</t>
  </si>
  <si>
    <t>Nava Larios Jocsan B.</t>
  </si>
  <si>
    <t>Navarro Aguayo Betsabé Jearim</t>
  </si>
  <si>
    <t>Arquimidez,740, Hermosa Provincia</t>
  </si>
  <si>
    <t>Navarro Beltran Edwin Atlai</t>
  </si>
  <si>
    <t>Navarro Blanquel Esli Samai</t>
  </si>
  <si>
    <t>Josefa ortiz de dominguez 4180, Tetlan</t>
  </si>
  <si>
    <t>Navarro Garzon Viviana</t>
  </si>
  <si>
    <t>Jerusalen 3514,Hermosa Provincia</t>
  </si>
  <si>
    <t>6 solas EHP Maria Elena Reyes</t>
  </si>
  <si>
    <t>Navarro Sánchez Óscar</t>
  </si>
  <si>
    <t>Ahorro, 4172, Col. Benito Juarez</t>
  </si>
  <si>
    <t>Noriega Mercado Heber Atlai</t>
  </si>
  <si>
    <t>Núñez Larios Daniel Benjamín</t>
  </si>
  <si>
    <t>Jordan, 655, Hermosa Provincia</t>
  </si>
  <si>
    <t>Núñez Larios Salma Betsabé</t>
  </si>
  <si>
    <t>Jerusalen, 3449, Hermosa Provincia</t>
  </si>
  <si>
    <t>Ocampo Delgado Beneranda</t>
  </si>
  <si>
    <t>Geografos, 646, Lagos De Oriente</t>
  </si>
  <si>
    <t>Ochoa Bernal Jeziel</t>
  </si>
  <si>
    <t>Av. Malecon 1015, Lomas del Gallo</t>
  </si>
  <si>
    <t>Ochoa Bernal Siurabet Alejandra</t>
  </si>
  <si>
    <t>Malecon 1015, Lomas del Gallo</t>
  </si>
  <si>
    <t>Ochoa Lopez Gabriela Denisse</t>
  </si>
  <si>
    <t>Andador Melaque 98, lomas del laurel</t>
  </si>
  <si>
    <t>Ochoa Vargas Daniel</t>
  </si>
  <si>
    <t>Olachea Guzmán Omar Hidai</t>
  </si>
  <si>
    <t>Etiopía 755, Libertad</t>
  </si>
  <si>
    <t>Olachea Guzman Sara Yaret</t>
  </si>
  <si>
    <t>1 adolescentes EHP Jazel Elizabeth Martinez Gonzalez</t>
  </si>
  <si>
    <t>Olivares Otoniel</t>
  </si>
  <si>
    <t>Jerusalen 3382 hermosa provincia</t>
  </si>
  <si>
    <t>Olivares Rodríguez Edgar Joram</t>
  </si>
  <si>
    <t>Jerusalen, 3382, Hermosa Provincia</t>
  </si>
  <si>
    <t>Olivares Ruiz Eva</t>
  </si>
  <si>
    <t>Pablo Valdez 3984, San joaquin</t>
  </si>
  <si>
    <t>Olvera Garcia Diana Irais</t>
  </si>
  <si>
    <t>Paseo abié 263 Zapopan Jalisco, Col. valle imperial</t>
  </si>
  <si>
    <t>Olvera Rizo Ma Eugenia</t>
  </si>
  <si>
    <t>José Ma. Iglesias, 3693, Beatriz Hdz.</t>
  </si>
  <si>
    <t xml:space="preserve">Ontiveros Morales Fabiola </t>
  </si>
  <si>
    <t>Privada de Belen, 58, Hermosa Provincia</t>
  </si>
  <si>
    <t>Orato Ventura Bethzabel</t>
  </si>
  <si>
    <t>Magistrados 713, Hermosa Provincia</t>
  </si>
  <si>
    <t>Ordoñez González Rachel</t>
  </si>
  <si>
    <t>Orduña García Andres Kibsaim</t>
  </si>
  <si>
    <t>Agronomos 3341, Lagos de Oriente</t>
  </si>
  <si>
    <t>Orellana Perez Dalila</t>
  </si>
  <si>
    <t>Demostenes, 971, Col. Libertad</t>
  </si>
  <si>
    <t>Orizaba Ramírez Abigail</t>
  </si>
  <si>
    <t>Privada De Belen, 99, Hermosa Provincia</t>
  </si>
  <si>
    <t>Ornelas Estrada Libni Salem</t>
  </si>
  <si>
    <t>Demostenes 540, lagos de oriente</t>
  </si>
  <si>
    <t>Orozco Guerra Zimri Adoraim</t>
  </si>
  <si>
    <t>Ortega García Jaziz Elizabeth</t>
  </si>
  <si>
    <t>Esteban Alatorre #3314,  Lagos de Oriente</t>
  </si>
  <si>
    <t>4 Señoritas, EHP Ana Valenzuela</t>
  </si>
  <si>
    <t>Ortega Molina Rebeca Zareth</t>
  </si>
  <si>
    <t>Astronomos 726A, Lagos de Oriente</t>
  </si>
  <si>
    <t>1 señoritas, EHP Sabdi Bebai Valle Balmaceda</t>
  </si>
  <si>
    <t>Ortega Sosa Sabetai</t>
  </si>
  <si>
    <t>Pablo Moreno, 911, Hermosa Provincia</t>
  </si>
  <si>
    <t>Ortega Tristán Daniel</t>
  </si>
  <si>
    <t>Ortega Zárate Carlos</t>
  </si>
  <si>
    <t>Tunez, 817, Col. Cuahutemoc</t>
  </si>
  <si>
    <t>Ortiz Chavez Adan Eliezer</t>
  </si>
  <si>
    <t>Galad 3326 Col. Hermosa Provincia</t>
  </si>
  <si>
    <t>Ortiz Rivera Yolanda</t>
  </si>
  <si>
    <t>Belen 3443, Hermosa Provincia</t>
  </si>
  <si>
    <t>Ospina García María Nohelba</t>
  </si>
  <si>
    <t>Canaan, 3509, Hermosa Provincia</t>
  </si>
  <si>
    <t xml:space="preserve">5 solas, EHP Dolores Mendez Vda de Ramirez </t>
  </si>
  <si>
    <t>Ospina Vargas Hernan</t>
  </si>
  <si>
    <t xml:space="preserve">13 casados EHP David Cuevas Arellano </t>
  </si>
  <si>
    <t>Padilla Mercado Irene</t>
  </si>
  <si>
    <t>Nazaret, 732, Lagos De Oriente.</t>
  </si>
  <si>
    <t>Palacios González Betsabé</t>
  </si>
  <si>
    <t>Senado, 3260, Libertad</t>
  </si>
  <si>
    <t>Palacios González Filomena</t>
  </si>
  <si>
    <t>Palomar Sanchez Betbirai</t>
  </si>
  <si>
    <t>Jerusalén, Hermosa provincia</t>
  </si>
  <si>
    <t>Pardo Sanchez Merari Jamai</t>
  </si>
  <si>
    <t>Presa Oviachi 470, san joaquín</t>
  </si>
  <si>
    <t>Pardo Santana Esmeralda</t>
  </si>
  <si>
    <t>Betlehem,3394, Lagos De Oriente</t>
  </si>
  <si>
    <t>Pardo Santana Norma Yadira</t>
  </si>
  <si>
    <t>Pedro Velez,1439,Beatriz Hernández</t>
  </si>
  <si>
    <t>Pardo Vazquez Java Ismerai</t>
  </si>
  <si>
    <t>Presa Oviachic 76</t>
  </si>
  <si>
    <t>2 Señoritas, EHP bethlehem Morales Robles</t>
  </si>
  <si>
    <t>Pardo Vazquez Sharon Isui</t>
  </si>
  <si>
    <t>Bagdad 713, Lagos de Oriente</t>
  </si>
  <si>
    <t>Paredes Reyes Fevemit</t>
  </si>
  <si>
    <t>Presa modelo 545 Col. Lagos de oriente</t>
  </si>
  <si>
    <t>Parra Hernández Girees Naian</t>
  </si>
  <si>
    <t>Presa Valsequillo 704, San Joaquín</t>
  </si>
  <si>
    <t>Pedraza Silva Hortencia</t>
  </si>
  <si>
    <t>Agronomos, 3315, Lagos De Oriente</t>
  </si>
  <si>
    <t xml:space="preserve">6 Solas, EHP Maria Elena vda. de Acevedo </t>
  </si>
  <si>
    <t>Pedroza Ascencio Leonardo Daniel</t>
  </si>
  <si>
    <t>Nazareth, 686, Lagos De Oriente</t>
  </si>
  <si>
    <t>Pelayo Díaz Policarpo</t>
  </si>
  <si>
    <t>Turquia, 707, Col. Libertad</t>
  </si>
  <si>
    <t>Pelayo González Polita</t>
  </si>
  <si>
    <t>Pablo Valdez, 3247-A, Col. Cuahutemoc</t>
  </si>
  <si>
    <t xml:space="preserve">Peña Chavez Gersón Ismael </t>
  </si>
  <si>
    <t>3320297894 (mamá)</t>
  </si>
  <si>
    <t xml:space="preserve">Etiopia #589, Lagos de oriente </t>
  </si>
  <si>
    <t>Peña Romero María Susana</t>
  </si>
  <si>
    <t>Etipia, 589, Col. Libertad</t>
  </si>
  <si>
    <t xml:space="preserve">13 casadas, EHP Rosalía Palomar Soltero </t>
  </si>
  <si>
    <t>Peña Rosas Ezequiel Abisai</t>
  </si>
  <si>
    <t>Demostenes 752, Col. Libertad</t>
  </si>
  <si>
    <t>Peña Rosas Salma Naarai</t>
  </si>
  <si>
    <t>Demostenes, 752, Col. Libertad</t>
  </si>
  <si>
    <t>Colonia Alemania, D.E. Ezequiel Peña Romero</t>
  </si>
  <si>
    <t>Pérez Barco Petra Guadalupe</t>
  </si>
  <si>
    <t>Presa Cuarenta, 84, Col. Sn Joaquin</t>
  </si>
  <si>
    <t>Pérez Cisneros María Eustolia</t>
  </si>
  <si>
    <t>Procuradores, 3282, Col. Libertad</t>
  </si>
  <si>
    <t>Perez Hernandez Emerico Zuriel</t>
  </si>
  <si>
    <t>Hacienda San Marcos 3518, San Jose Rio Verde</t>
  </si>
  <si>
    <t>Perez Isidro Hans Osveli</t>
  </si>
  <si>
    <t>Presa Sanalona 732A, Lagos de Orientes</t>
  </si>
  <si>
    <t>2 casados, EHP David Henoc Pardo Rosales</t>
  </si>
  <si>
    <t>Pérez López Arcelia</t>
  </si>
  <si>
    <t>Nazaret, 738, Hermosa Provincia</t>
  </si>
  <si>
    <t>Perez Lopez Flor de Lis</t>
  </si>
  <si>
    <t>Pérez Martínez Abner</t>
  </si>
  <si>
    <t>Arquimides, 640, Hermosa Provincia</t>
  </si>
  <si>
    <t>Pérez Peralta José Luis</t>
  </si>
  <si>
    <t>Fisicos, 3347, Lagos De Oriente</t>
  </si>
  <si>
    <t>Pierrez Carillo Diana Jazmin</t>
  </si>
  <si>
    <t>Pierrez Carrillo Dana Yahani</t>
  </si>
  <si>
    <t>Presa Santa Rosa 587-A, Lagos de Oriente</t>
  </si>
  <si>
    <t>2 adolescentes EHP Ibleam Nebai Zamora Almaguer</t>
  </si>
  <si>
    <t>Piérrez Pelayo Paola Lessly</t>
  </si>
  <si>
    <t>Pablo Valdez, 3247 Int1, Cuauhtemoc</t>
  </si>
  <si>
    <t>Piérrez Pelayo Pasdy Linneth</t>
  </si>
  <si>
    <t>Piérrez Pelayo Peniel Lizbeth</t>
  </si>
  <si>
    <t>Pablo Valdez, 3247-1, Col. Cuahutemoc</t>
  </si>
  <si>
    <t>Pierrez Perez Citlali</t>
  </si>
  <si>
    <t>Canaan 3957, San Joaquin</t>
  </si>
  <si>
    <t>Piérrez Ramírez Adán</t>
  </si>
  <si>
    <t>Nazareth 642, Col. Libertad</t>
  </si>
  <si>
    <t>Piérrez Ramírez Martha Alicia</t>
  </si>
  <si>
    <t>Nazaret, 642, Col. Lagos De Oriente</t>
  </si>
  <si>
    <t>Pineda Hernández Eloy</t>
  </si>
  <si>
    <t>Magistrados, 639, Col. Lagos De Oriente</t>
  </si>
  <si>
    <t>Piña Amaro Silvia</t>
  </si>
  <si>
    <t>Telegrafistas, 3549, Col. Lagos De Oriente</t>
  </si>
  <si>
    <t>Plancarte Gomez Fabiola</t>
  </si>
  <si>
    <t>Rafael Sayas 3385 Miguel Hidalgo</t>
  </si>
  <si>
    <t>Poisot Flores Horus</t>
  </si>
  <si>
    <t>Jardines japoneses 3447 lagos de oriente</t>
  </si>
  <si>
    <t>Polanco Álvarez Georgina Araceli</t>
  </si>
  <si>
    <t>Geografos, 715-1, Col. Lagos De Oriente</t>
  </si>
  <si>
    <t>Ponce Segura Brenda Yaritza</t>
  </si>
  <si>
    <t>Presa Falcon, 523-A, Lagos De Oriente</t>
  </si>
  <si>
    <t>Portilla Cortez Samuel</t>
  </si>
  <si>
    <t>Magistrados, 633, Lagos De Oriente</t>
  </si>
  <si>
    <t>Prado Arredondo Abril</t>
  </si>
  <si>
    <t>Elisa Flores, 2152, Col. Mtro. Aaron Joaquin</t>
  </si>
  <si>
    <t>Prado García Quiriat Gitaim</t>
  </si>
  <si>
    <t>Demostenes 769-A</t>
  </si>
  <si>
    <t xml:space="preserve">1 Señoritas, EHP Sabdi Bebai Valle </t>
  </si>
  <si>
    <t>Prieto Rodriguez Kibsaim</t>
  </si>
  <si>
    <t>Fisicos 3474, Lagos de Oriente</t>
  </si>
  <si>
    <t>Quezada Arias Eva</t>
  </si>
  <si>
    <t>SaMaría, 930, Col. Hermosa Provincia</t>
  </si>
  <si>
    <t>Quezada Ledezma Silvia</t>
  </si>
  <si>
    <t>Nazareth,619, Lagos De Oriente</t>
  </si>
  <si>
    <t>Quezada Nuño Ma Luisa</t>
  </si>
  <si>
    <t>Pihuamo, 27-A, Col. Jalisco</t>
  </si>
  <si>
    <t>Quintanilla Juan Pablo</t>
  </si>
  <si>
    <t>Privada de las Dalias Col. Rinconada Paraiso Tonala</t>
  </si>
  <si>
    <t>13 casados EHP David Cuevas</t>
  </si>
  <si>
    <t>Quintero Menchaca Adela</t>
  </si>
  <si>
    <t>Magistrados,721,Lagos De Oriente</t>
  </si>
  <si>
    <t xml:space="preserve"> 6 solas EHP Maria Elena Reyes</t>
  </si>
  <si>
    <t>Quiroz Rosales Eliseo</t>
  </si>
  <si>
    <t>Jesus Urueta, Cuauhtemoc</t>
  </si>
  <si>
    <t>Rabadan Cordoba Karen Jerusalén</t>
  </si>
  <si>
    <t>Presa Falcon, Lagos de Oriente</t>
  </si>
  <si>
    <t>Raíz Claro Elodia</t>
  </si>
  <si>
    <t xml:space="preserve">SIN </t>
  </si>
  <si>
    <t>Canaan, 3529-4 Col. Hermosa Provincia</t>
  </si>
  <si>
    <t>Raiz Garibay Hepsiba Adaia</t>
  </si>
  <si>
    <t>Jerusalen 3548 Hermosa provincia</t>
  </si>
  <si>
    <t>3 señoritas EHP Ana Rosa Toris Gonzalez</t>
  </si>
  <si>
    <t>Raíz Garibay Israel</t>
  </si>
  <si>
    <t>Jerusalen, 3548, Hermosa Provincia.</t>
  </si>
  <si>
    <t>Raíz Hernández Israel</t>
  </si>
  <si>
    <t>Jerusalen,3548,Hermosa Provincia</t>
  </si>
  <si>
    <t>Raiz Tejeda Dulce Jazmin Ismerai</t>
  </si>
  <si>
    <t>Canaan 3525, Hermosa Provincia</t>
  </si>
  <si>
    <t>1 Señoritas EHP Beth-birai Hernández Sosa</t>
  </si>
  <si>
    <t>Raiz Tejeda Xochitl</t>
  </si>
  <si>
    <t>Sudan 600, Lagos de Oriente</t>
  </si>
  <si>
    <t>Ramires Mejia Figlodervina</t>
  </si>
  <si>
    <t>Ramírez Aguilar Abmner</t>
  </si>
  <si>
    <t>Batallon P.E. Gilberto García Granados</t>
  </si>
  <si>
    <t>Ramírez Aguirre Aideth Anahi</t>
  </si>
  <si>
    <t>Presa Palmito 811, San Joaquín</t>
  </si>
  <si>
    <t>Ramírez Barajas Abdiel Natanael</t>
  </si>
  <si>
    <t>Jerusalen,3392,Hermosa Provincia</t>
  </si>
  <si>
    <t>Ramírez Fernandez Jarib Jamin</t>
  </si>
  <si>
    <t>San Juan Acozac, Puebla, D.E. José Alfredo Rodríguez Camarena</t>
  </si>
  <si>
    <t>Ramírez García César Michel</t>
  </si>
  <si>
    <t>Educadores 3304, Lagos de Oriente</t>
  </si>
  <si>
    <t>Ramírez García Mayra Nayeli</t>
  </si>
  <si>
    <t>Ramirez Gomez Miriam Abigail</t>
  </si>
  <si>
    <t>7 Casadas EHP Delia Utrera Dominguez</t>
  </si>
  <si>
    <t>Ramírez González Abiud</t>
  </si>
  <si>
    <t>Gaza, 662-A, Col. Hermosa Provincia</t>
  </si>
  <si>
    <t>Ramírez Lugo Carmen</t>
  </si>
  <si>
    <t>Telefonistas 3333, Lagos de Oriente</t>
  </si>
  <si>
    <t xml:space="preserve">14 Casadas, EHP Hna. Adriana Padilla Hernandez  </t>
  </si>
  <si>
    <t>Ramírez Naranjo Libna</t>
  </si>
  <si>
    <t>Jardines Japoneses,3324, Lagos De Oriente</t>
  </si>
  <si>
    <t>Ramírez Olivares Adán</t>
  </si>
  <si>
    <t>Joaquin Baranda, 3383, Col. Miguel Hidalgo</t>
  </si>
  <si>
    <t xml:space="preserve">13 casados David Cuevas Arellano </t>
  </si>
  <si>
    <t>Ramirez Peña Aminadad</t>
  </si>
  <si>
    <t>Ramos Hernández Zair Alonso</t>
  </si>
  <si>
    <t>Samaria 934, Hermosa Provincia</t>
  </si>
  <si>
    <t>Ramos Peña Pedro</t>
  </si>
  <si>
    <t>Gaza 666, Hermosa Provincia</t>
  </si>
  <si>
    <t xml:space="preserve">Ramos Vazquez Azarael </t>
  </si>
  <si>
    <t>Samaria 93A</t>
  </si>
  <si>
    <t>Rangel Alcala Nahson</t>
  </si>
  <si>
    <t>Samaria 847, Hermosa Provincia</t>
  </si>
  <si>
    <t>2 jovenes, EHP Benjamín Menchaca</t>
  </si>
  <si>
    <t>Rangel Perez Irene</t>
  </si>
  <si>
    <t>3 solas, EHP Xochitl Chavez Joaquin</t>
  </si>
  <si>
    <t xml:space="preserve">Reséndiz Salas Ulfrana </t>
  </si>
  <si>
    <t xml:space="preserve">jardin botanico 3386 </t>
  </si>
  <si>
    <t>Reyes Aguilera Abdi Jaanai</t>
  </si>
  <si>
    <t>Reyes Aguilera Athalia Ismerai</t>
  </si>
  <si>
    <t>Geografos 717, Lagos de Oriente</t>
  </si>
  <si>
    <t>Reyes Baldovinos Zabdiel Isai</t>
  </si>
  <si>
    <t>Presa La Escondida, San Joaquín</t>
  </si>
  <si>
    <t>Reyes García Ma Felicitas</t>
  </si>
  <si>
    <t>Privada Pablo Valdez, 3642-7, Col. Sn Joaq.</t>
  </si>
  <si>
    <t>Reyes Lopez Merari Sarai</t>
  </si>
  <si>
    <t>Presa Sanalona 953, Hermosa Provincia</t>
  </si>
  <si>
    <t>Reynaga Piña Rosalba</t>
  </si>
  <si>
    <t>Cairo, 1317, Lomas De San Eugenio</t>
  </si>
  <si>
    <t>18 casadas EHP Nohemi Avalos viudad de Gonzalez</t>
  </si>
  <si>
    <t>Rincon Hernández Amparo</t>
  </si>
  <si>
    <t>Canaan, 3641, San Joaquin</t>
  </si>
  <si>
    <t>Rivas Gonzalez Isui Jaanai</t>
  </si>
  <si>
    <t>Rivas Hernández Abigail</t>
  </si>
  <si>
    <t>Jerusalen 3531, Hermosa Provincia</t>
  </si>
  <si>
    <t>Rivas Martinez Hugo Cesar</t>
  </si>
  <si>
    <t>Presa Sanalona 858, Hermosa Provincia</t>
  </si>
  <si>
    <t>Rivera Dominguez Dan Ezbai</t>
  </si>
  <si>
    <t>Rivera Herrera Simeon</t>
  </si>
  <si>
    <t>Margarita Gtz., 3392, Col. Mtro. Aaron J.</t>
  </si>
  <si>
    <t xml:space="preserve">1 solos EHP Daniel Velazquez Gonzalez </t>
  </si>
  <si>
    <t>Rivera Mendez Blanca Dinora</t>
  </si>
  <si>
    <t>5 solas EHP Dolores Mendez Viuda de Ramirez</t>
  </si>
  <si>
    <t>Rivera Parada Eliseo</t>
  </si>
  <si>
    <t>Rivero Sánchez Belén Lizbeth</t>
  </si>
  <si>
    <t>Betlehem, 3347, Hermosa Provincia</t>
  </si>
  <si>
    <t>Roblero Cifuentes Rubí</t>
  </si>
  <si>
    <t>Julián Zamora, 3407, Mtro. Aaron J.</t>
  </si>
  <si>
    <t xml:space="preserve">18 casadas EHP Nohemí Avalos Vda. de Gonzalez </t>
  </si>
  <si>
    <t>Roblero Escalante Fausto</t>
  </si>
  <si>
    <t>Privada de Galilea 12B, Hermosa Provincia</t>
  </si>
  <si>
    <t>8 Casados, EHP Juan Antonio de la Cruz</t>
  </si>
  <si>
    <t>Roblero Zúñiga David Mizraim</t>
  </si>
  <si>
    <t>Privada De Galilea, 12-B, Hermosa Provincia</t>
  </si>
  <si>
    <t>Robles Chavez Irma Yolanda</t>
  </si>
  <si>
    <t>Pablo Valdez 3821, Hermosa Provincia</t>
  </si>
  <si>
    <t>4 solas, EHP Esli Hernandez</t>
  </si>
  <si>
    <t>Robles Joaquín Quiriat Jearim</t>
  </si>
  <si>
    <t>Robles Larios Isaí</t>
  </si>
  <si>
    <t>Nazareth 664, Hermosa Provincia</t>
  </si>
  <si>
    <t>Robles Valle Jibsan Gitaim</t>
  </si>
  <si>
    <t>Jordan 780, Hermosa Provincia</t>
  </si>
  <si>
    <t>Rodezno Martínez Ana Cecilia</t>
  </si>
  <si>
    <t>Gaza 954 col Miguel Hidalgo</t>
  </si>
  <si>
    <t>16 casadas EHP María del Carmen Abarca</t>
  </si>
  <si>
    <t>Rodriguez Alfaro Ana Margarita</t>
  </si>
  <si>
    <t>Presa Solis, 3932-3, Lagos de Oriente</t>
  </si>
  <si>
    <t>Rodriguez Cabrera Janeth Esbai</t>
  </si>
  <si>
    <t>Telegrafistas 3350-A, Lagos de Oriente</t>
  </si>
  <si>
    <t>Rodríguez Cabrera Samua</t>
  </si>
  <si>
    <t>Telegafistas,3350-A,Lagos De Oriente</t>
  </si>
  <si>
    <t>Rodríguez Cardona Yeycob Yandel</t>
  </si>
  <si>
    <t>Samaria 823, Hermosa Provincia</t>
  </si>
  <si>
    <t>Rodríguez Cruz Villabaldo</t>
  </si>
  <si>
    <t>Nubia, 610, Col. Libertad</t>
  </si>
  <si>
    <t>Rodríguez Espinoza Ruth</t>
  </si>
  <si>
    <t>Telegrafistas, 3313, Lagos De Oriente</t>
  </si>
  <si>
    <t>Rodriguez G. Yesica Elizabeth</t>
  </si>
  <si>
    <t>Rodríguez Islas Héctor</t>
  </si>
  <si>
    <t>Presa Sanalona, 825, Hermosa Provincia</t>
  </si>
  <si>
    <t>Rodriguez Juárez Javier Mizraim</t>
  </si>
  <si>
    <t>Canaan 3580, 4, Hermosa Provincia</t>
  </si>
  <si>
    <t>Rodríguez Marcelo Angel Eduardo</t>
  </si>
  <si>
    <t>Presa El Tintero 819, Col. San Joaquín</t>
  </si>
  <si>
    <t xml:space="preserve">Revolución Mexicana, Puebla, P.E. Jesús García García </t>
  </si>
  <si>
    <t>Rodriguez Perez Abiezer Silem</t>
  </si>
  <si>
    <t>Francisco Gonzalez de león 1012, Los arrayanes</t>
  </si>
  <si>
    <t>Rodriguez Perez Dina Ebenezer</t>
  </si>
  <si>
    <t>Rodríguez Rojas Bigvai</t>
  </si>
  <si>
    <t>Presa del Cuarenta 721, San Joaquín</t>
  </si>
  <si>
    <t>Rodriguez Solis Jorge Alberto</t>
  </si>
  <si>
    <t>Presa Osorio, Hermosa Provincia</t>
  </si>
  <si>
    <t>Rojas Cano Abisai</t>
  </si>
  <si>
    <t>1 Jovenes EHP Carlos Hernandez Larios</t>
  </si>
  <si>
    <t>Rojas Cano Alan Adoraim</t>
  </si>
  <si>
    <t>1 adolescentes, EHP Carlos Hernandez Larios</t>
  </si>
  <si>
    <t>Roldan Ruiz Santiago</t>
  </si>
  <si>
    <t>Bhetleem 3298, Hermosa Provincia</t>
  </si>
  <si>
    <t>Roman Dominguez Elizabet</t>
  </si>
  <si>
    <t>Román Román Ma. Santa Ana</t>
  </si>
  <si>
    <t>Escalon,656,Lagos De Oriente</t>
  </si>
  <si>
    <t>Romero Navarro Canuto</t>
  </si>
  <si>
    <t>Nazareth,699,Hermosa Provincia</t>
  </si>
  <si>
    <t>Romero Ponce Sonia</t>
  </si>
  <si>
    <t>Canaan 3488, Hermosa Provincia</t>
  </si>
  <si>
    <t>Romero Sepulveda Dulio Adiel</t>
  </si>
  <si>
    <t>Baleares 88, misión de los viñedos</t>
  </si>
  <si>
    <t>Romero Sepulveda Janany Zoe</t>
  </si>
  <si>
    <t>Baleares 88 Rancho de la cruz, Tonala</t>
  </si>
  <si>
    <t>Romero Velazquez Margarita</t>
  </si>
  <si>
    <t>Arquimides 748, Hermosa Provincia</t>
  </si>
  <si>
    <t>Romualdo Olmos Benjamín</t>
  </si>
  <si>
    <t>Arquimides,685 Int3, Lagos De Oriente</t>
  </si>
  <si>
    <t>Rosales Llamas Emilia</t>
  </si>
  <si>
    <t>Jerusalen, 3565, Hermosa Provincia</t>
  </si>
  <si>
    <t xml:space="preserve">6 solas EHP María Elena Reyes Vda. de Acevedo </t>
  </si>
  <si>
    <t>Rosales Rueda Azel Alejandro</t>
  </si>
  <si>
    <t>Presa el tintero, 983 los arrayanes</t>
  </si>
  <si>
    <t>3 jovenes EHP Saharaim Joaquín</t>
  </si>
  <si>
    <t>Rueda Orozco Dalila</t>
  </si>
  <si>
    <t>Telegrafistas,3608, Lagos De Oriente</t>
  </si>
  <si>
    <t>Rueda Orozco Pablo</t>
  </si>
  <si>
    <t>Ruiz Abarca Jahel Mehir</t>
  </si>
  <si>
    <t>Belen 3432 int 2, Col. Hermosa Provincia</t>
  </si>
  <si>
    <t>Ruiz Alvarado Dana Betsabe</t>
  </si>
  <si>
    <t>Gaza 688A, Hermosa provincia</t>
  </si>
  <si>
    <t>Ruiz Anaya Carlos</t>
  </si>
  <si>
    <t>Presa de Osorio, 3563-a,Lagos de Oriente.</t>
  </si>
  <si>
    <t>Ruiz Hernández Julián</t>
  </si>
  <si>
    <t>Priv. De Belen 58, Hermosa Provincia</t>
  </si>
  <si>
    <t xml:space="preserve">Ruiz León Mesac </t>
  </si>
  <si>
    <t xml:space="preserve">Presa Osorio 3561, Hermosa Provincia </t>
  </si>
  <si>
    <t>Ruíz Mellado Elizabeth</t>
  </si>
  <si>
    <t>Belen 3368, Hermosa Provincia</t>
  </si>
  <si>
    <t>Ruiz Mellado Tobias</t>
  </si>
  <si>
    <t>Privada de Belen 58, Hermosa Provincia</t>
  </si>
  <si>
    <t>Ruvalcaba Hernández Omar Jesús</t>
  </si>
  <si>
    <t>Felix Bernardeli, 138, Int. 11, Sn Andres.</t>
  </si>
  <si>
    <t>Salas Arana María Susana</t>
  </si>
  <si>
    <t>Procuradores, 3240, Lagos De Oriente</t>
  </si>
  <si>
    <t>Salas Bañuelos Gabriel</t>
  </si>
  <si>
    <t>Educadores, 3341, Lagos De Oriente</t>
  </si>
  <si>
    <t>Salas Tello Jonatan Jacob</t>
  </si>
  <si>
    <t>Emilio Rabaza 4060, San Francisco</t>
  </si>
  <si>
    <t>Salazar Cabrera Betzabe Elisua</t>
  </si>
  <si>
    <t>Telegrafistas 3487, hermosa provincia</t>
  </si>
  <si>
    <t>1 señoritas EHP Bebai Valle</t>
  </si>
  <si>
    <t>Salazar Gonzalez Juan</t>
  </si>
  <si>
    <t>Jardines Japoneses 3336, Lagos de Oriente</t>
  </si>
  <si>
    <t>5 jovenes EHP Pablo Gomez García</t>
  </si>
  <si>
    <t>Salazar Guevara José de Jesús</t>
  </si>
  <si>
    <t>Lagunitas 948, Jardines de Guadalupe</t>
  </si>
  <si>
    <t>Salazar Villareal Graciela</t>
  </si>
  <si>
    <t>Getzemani 3538, Col Hermosa Provincia</t>
  </si>
  <si>
    <t>Salgado Rosas Juan Eliezer</t>
  </si>
  <si>
    <t>Presa Ahome 814, Aaron Joaquin</t>
  </si>
  <si>
    <t>Salvador Betbirai</t>
  </si>
  <si>
    <t>1 Señoritas solas EHP Ing. Rosa Elisa Sosa</t>
  </si>
  <si>
    <t>Sanchez Cruz Keren</t>
  </si>
  <si>
    <t>Sánchez Flores Georgina</t>
  </si>
  <si>
    <t>Magistrados, 610, Lagos De Oriente</t>
  </si>
  <si>
    <t xml:space="preserve">Sánchez Mendez Aaron Uriel </t>
  </si>
  <si>
    <t xml:space="preserve">Demostenes #3758, Int. 21-B, San Eugenio </t>
  </si>
  <si>
    <t xml:space="preserve">5to de jóvenes EHP José Ángel Pardo Márquez </t>
  </si>
  <si>
    <t>Sánchez Quezada Betsua Sarahi</t>
  </si>
  <si>
    <t>Marruecos, 1408, Beatriz Hernández</t>
  </si>
  <si>
    <t>Presa Laurel, 146, Jardines De San Fco.</t>
  </si>
  <si>
    <t>Sanchez Rosas Misael</t>
  </si>
  <si>
    <t>No anoto</t>
  </si>
  <si>
    <t>4 casados, EHP Josue Navarro Guzmán</t>
  </si>
  <si>
    <t>Sánchez Ruiz Martín</t>
  </si>
  <si>
    <t>Rafael Zayas,3474,Miguel Hidalgo</t>
  </si>
  <si>
    <t>Sánchez Trujillo Noemi</t>
  </si>
  <si>
    <t>Agronomos 3299, Lagos de Oriente</t>
  </si>
  <si>
    <t xml:space="preserve">3 casadas, EHP Elieonai Bravo </t>
  </si>
  <si>
    <t>Sanchez Velazquez Jorge Atlai</t>
  </si>
  <si>
    <t>Jerusalen 3489 Hermosa provincia</t>
  </si>
  <si>
    <t>Santiago Alonso Dania Ahasbai</t>
  </si>
  <si>
    <t>Arquimides 759, col. Hermosa Provincia</t>
  </si>
  <si>
    <t>Santiago Simón Marisol</t>
  </si>
  <si>
    <t xml:space="preserve">Guztavo Baz 2716 </t>
  </si>
  <si>
    <t xml:space="preserve">10 Casadas, EHP Eva García de Joaquín </t>
  </si>
  <si>
    <t>Santos Hernández María</t>
  </si>
  <si>
    <t>Santiago Guzman, 979-A, Col. Miguel Hidalgo</t>
  </si>
  <si>
    <t>Santos Sanchez Abiu</t>
  </si>
  <si>
    <t>Manuel Irigoller 928, Los Arrayanes</t>
  </si>
  <si>
    <t>1 Jovenes EHP Daniel Coronado Pelayo</t>
  </si>
  <si>
    <t>Saucedo Caceres Aura Rebeca</t>
  </si>
  <si>
    <t>Pablo Moreno 1044, 2 sección Hermosa Provincia</t>
  </si>
  <si>
    <t>15 casadas, EHP Adriana Padilla Hernández</t>
  </si>
  <si>
    <t>Segovia Manuel Antonio</t>
  </si>
  <si>
    <t>Sekerci Cruz Adi Janai</t>
  </si>
  <si>
    <t>Gustavo Baz 3545</t>
  </si>
  <si>
    <t>2 señoritas EHP Bethlem Morales Robles</t>
  </si>
  <si>
    <t xml:space="preserve">Sepulveda Cortés Miguel Alejandro  </t>
  </si>
  <si>
    <t xml:space="preserve">Manuel de Gorostiza col. Jardines de San Francisco </t>
  </si>
  <si>
    <t xml:space="preserve">2 adolescentes D.E. Sergio Altamirano </t>
  </si>
  <si>
    <t>Sepulveda Jáuregui Cecilio</t>
  </si>
  <si>
    <t>Nazareth,619 ,Lagos De Oriente</t>
  </si>
  <si>
    <t>Sepulveda Quesada Saul</t>
  </si>
  <si>
    <t>Serna González Ma Del Carmen</t>
  </si>
  <si>
    <t>SaMaría, 923, Hermosa Provincia</t>
  </si>
  <si>
    <t xml:space="preserve">Serrano Altamirano Grecia Thamar </t>
  </si>
  <si>
    <t xml:space="preserve">Maria de los Angeles #49 col. La pila </t>
  </si>
  <si>
    <t>2do Adolescentes EHP Nebaí Zamora Almaguer</t>
  </si>
  <si>
    <t>Serrano Altamirano Mara Eva Betbirai</t>
  </si>
  <si>
    <t>22-06--24</t>
  </si>
  <si>
    <t>Serrano Garibay Beula Samir</t>
  </si>
  <si>
    <t>Jerusalen, 3550, Col. Hermosa Provincia</t>
  </si>
  <si>
    <t xml:space="preserve">Serrano Mora Ishua </t>
  </si>
  <si>
    <t>Esteban A La Torre, 3377, Hermosa Provincia</t>
  </si>
  <si>
    <t>Serrano Navarro Samlai Jeriel</t>
  </si>
  <si>
    <t>Esteban Alatorre 3536, Hermosa Provincia</t>
  </si>
  <si>
    <t>Serrano Navarro Samlai Joacim</t>
  </si>
  <si>
    <t>Esteban Alatorre 3533</t>
  </si>
  <si>
    <t>Serrano Navarro Shamar Jaasaí</t>
  </si>
  <si>
    <t xml:space="preserve">Jesus Reyes #77, Lomas del Gallo </t>
  </si>
  <si>
    <t xml:space="preserve">Serrano Sanchez Suny Sabetai </t>
  </si>
  <si>
    <t>Jerusalen 3561, Hermosa provincia</t>
  </si>
  <si>
    <t xml:space="preserve">Sierra Gallegos Angélica Patricia </t>
  </si>
  <si>
    <t>Argel, 638, Col. Libertad</t>
  </si>
  <si>
    <t>4 solas EHP Margarita Chavez Joaquín</t>
  </si>
  <si>
    <t>Sierra García Jorge Elias</t>
  </si>
  <si>
    <t>Privada de Galilea 14, Hermosa Provincia</t>
  </si>
  <si>
    <t>Canaan,3508,Hermosa Provincia</t>
  </si>
  <si>
    <t>Villagran, Guanajuato</t>
  </si>
  <si>
    <t>Silverio Flores Raquel</t>
  </si>
  <si>
    <t>Educadores, 747, Lagos De Oriente.</t>
  </si>
  <si>
    <t>Solano Hernandez Maria Elena</t>
  </si>
  <si>
    <t>Getsemani 3660A, Hermosa provinica</t>
  </si>
  <si>
    <t>Solimán Mejía Dalila</t>
  </si>
  <si>
    <t>Soliman Pantoja Joseb</t>
  </si>
  <si>
    <t xml:space="preserve">Emilio Rabaza #3413, Miguel Hidalgo </t>
  </si>
  <si>
    <t xml:space="preserve">Solis Pierrez Abisai </t>
  </si>
  <si>
    <t>Jardines de Tivali #453</t>
  </si>
  <si>
    <t xml:space="preserve">EHP Nahari Castañeda Ibarra </t>
  </si>
  <si>
    <t>Solis Sanchez Eva</t>
  </si>
  <si>
    <t>Pablo Valdez 3456, Hermosa provincia</t>
  </si>
  <si>
    <t>3 solas EHP Xochilt Chavez</t>
  </si>
  <si>
    <t>Soto García Paola</t>
  </si>
  <si>
    <t>10° casadas, Drucila Almaguer Esparza</t>
  </si>
  <si>
    <t>StClair Palacios Jean Ariel</t>
  </si>
  <si>
    <t>Educadores 739, Lagos de Oriente</t>
  </si>
  <si>
    <t>Sumba Correa Libni Elizabeth</t>
  </si>
  <si>
    <t>Esteban a la torre 3155A Col. Libertad</t>
  </si>
  <si>
    <t>Tejada Ramírez  Kevin D.</t>
  </si>
  <si>
    <t>Jardines Japoneses,3324,Lagos De Oriente</t>
  </si>
  <si>
    <t>Tejada Ramírez Leónardo</t>
  </si>
  <si>
    <t>Tejeda Cabrera Hinata Sinai</t>
  </si>
  <si>
    <t>Av plutarco Elias Calles 1089-2, san eugenio</t>
  </si>
  <si>
    <t>Arquimides, 667, Hermosa Provincia</t>
  </si>
  <si>
    <t>Tendilla Flores Mariano</t>
  </si>
  <si>
    <t>Caanan 3529, Hermosa provincia</t>
  </si>
  <si>
    <t>Tepatl Castillo Moruama</t>
  </si>
  <si>
    <t>Jerusaen, 3478, Hermosa Provincia</t>
  </si>
  <si>
    <t>Tirado Resendiz Keren Sinai</t>
  </si>
  <si>
    <t>Ramon Silva 2188 Col. Ramon Silva</t>
  </si>
  <si>
    <t>Toral Fragoso Noemi</t>
  </si>
  <si>
    <t>Sudan 1250, Col. Cuauhtemoc</t>
  </si>
  <si>
    <t xml:space="preserve">11 casadas D. Eva Garcia </t>
  </si>
  <si>
    <t>Toris Gonzalez Esequiel</t>
  </si>
  <si>
    <t>Telegrafistas 3671, Lagos de Oriente</t>
  </si>
  <si>
    <t>9 Casados, EHP Octavio F. Navarro Prieto</t>
  </si>
  <si>
    <t>Toro Cruz Omar Daniel</t>
  </si>
  <si>
    <t>Jardín Botánico 3370, Lagos de Oriente</t>
  </si>
  <si>
    <t>Martínez de la Torre, Ver. D.E. Jesús Alfonso Toro López</t>
  </si>
  <si>
    <t>Toro Cruz Uziel Alfonso</t>
  </si>
  <si>
    <t>Jardin Botanico 3370, Lagos de Oriente</t>
  </si>
  <si>
    <t>5 jovenes, EHP José Angel Pardo Marquez</t>
  </si>
  <si>
    <t>Torres Granados Ma Tomasa</t>
  </si>
  <si>
    <t>Priv De Galilea,14, Hermosa Provincia</t>
  </si>
  <si>
    <t>Torres Sandoval Jorge R.</t>
  </si>
  <si>
    <t>Telegrafistas, 3649-A, Lagos De Oriente</t>
  </si>
  <si>
    <t xml:space="preserve">Trujillo Corzo Asuncion </t>
  </si>
  <si>
    <t>Presa Sanalona 942, Lagos De Oriente</t>
  </si>
  <si>
    <t xml:space="preserve">13 Casadas, EHP Rosalía Palomar Soltero </t>
  </si>
  <si>
    <t>Trujillo Hernández Betsua</t>
  </si>
  <si>
    <t>Real Del Mezquites, ?, Camichines Tonala</t>
  </si>
  <si>
    <t>Trujillo Hernández Libni</t>
  </si>
  <si>
    <t>Jordan 770-A col hermosa provincia</t>
  </si>
  <si>
    <t>Trujillo Muñoz Libni Betbirai</t>
  </si>
  <si>
    <t>Presa laurel 146, Jardines de San francisco</t>
  </si>
  <si>
    <t>Trujillo Muñoz Miguel A</t>
  </si>
  <si>
    <t>Av. Presa Laurel, 146, Col. San Francisco</t>
  </si>
  <si>
    <t xml:space="preserve">Trujillo Muñoz Miriam Alejandra </t>
  </si>
  <si>
    <t>Presa Laurel146, Jardines De San Francisco</t>
  </si>
  <si>
    <t>Privada de galilea 11-A, hermosa provincia</t>
  </si>
  <si>
    <t>2 casadas, EHP Rocio Elizabeth Figueroa Vega</t>
  </si>
  <si>
    <t>Trujillo Muñoz Suni Elizabeth</t>
  </si>
  <si>
    <t>Presa Laurel 146, Tetlan</t>
  </si>
  <si>
    <t>1 adolescents, Jahzeel Martinez</t>
  </si>
  <si>
    <t>Trujillo Toral Daniel Isai</t>
  </si>
  <si>
    <t>Tuadilla Calles Lian Eobai</t>
  </si>
  <si>
    <t>Del Senado 3300, Lagos de Oriente</t>
  </si>
  <si>
    <t>Ubaldo De La Cruz María</t>
  </si>
  <si>
    <t>Magistrados, 609, Lagos De Oriente</t>
  </si>
  <si>
    <t>Uribe Ceron Nimra</t>
  </si>
  <si>
    <t>Manuel Santibañez, 3572, Col. Miguel Hidalgo</t>
  </si>
  <si>
    <t>Urrieta Reyes Miguel Ángel</t>
  </si>
  <si>
    <t>Presa Osorio, 3664-A, Lagos De Oriente.</t>
  </si>
  <si>
    <t>Urrutia Ramos Teresa de Jesús</t>
  </si>
  <si>
    <t>Pablo Valdez 4160, Lomas del Gallo</t>
  </si>
  <si>
    <t>Uscanga Cocolah Israel</t>
  </si>
  <si>
    <t>Betlhem 3345, Lagos de Oriente</t>
  </si>
  <si>
    <t>8 casados, EHP Antonio de la Cruz</t>
  </si>
  <si>
    <t>Uscanga Montolla Elizama Jahmai</t>
  </si>
  <si>
    <t>Bethelem, 3345, Lagos de Oriente</t>
  </si>
  <si>
    <t>Uscanga Montolla Zair Israel</t>
  </si>
  <si>
    <t>Uscanga Montoya Elisama Jahmai</t>
  </si>
  <si>
    <t>Uscanga Montoya Jared Kibsaim</t>
  </si>
  <si>
    <t>2 Jovenes, EHP Benjamín Menchaca Tristán</t>
  </si>
  <si>
    <t>Valadez Ortiz Alejandra Noriko</t>
  </si>
  <si>
    <t>Sudan 676, Lagos de Oriente</t>
  </si>
  <si>
    <t>7 Casadas, EHP Estela Perez Canales</t>
  </si>
  <si>
    <t>Valadez Reyes Kenat Sarai</t>
  </si>
  <si>
    <t>Av. Malecón 915 Col. Lomas del Gallo</t>
  </si>
  <si>
    <t>Valadez Zamora Juan Manuel</t>
  </si>
  <si>
    <t>Presa Sanalona 784, San Joaquín</t>
  </si>
  <si>
    <t>Valdenegro Torres Martha</t>
  </si>
  <si>
    <t>Jesús Urueta, 3057, Col. Cuahutemoc</t>
  </si>
  <si>
    <t>Valdez Cruz Caín</t>
  </si>
  <si>
    <t>Canaan, 3507, Hermosa Provincia</t>
  </si>
  <si>
    <t>Valencia Alegria Bany Edrei</t>
  </si>
  <si>
    <t>Turquia 639, Lagos de Oriente</t>
  </si>
  <si>
    <t>Valencia Alegría Elia Esbahi</t>
  </si>
  <si>
    <t>Turquía 639, Lagos de Oriente</t>
  </si>
  <si>
    <t>2° Adolescentes, EHP Nebai Zamora Almaguer</t>
  </si>
  <si>
    <t>Valencia Alegria Jonathan Abraham</t>
  </si>
  <si>
    <t>Turquia, 639, Lagos de Oriente</t>
  </si>
  <si>
    <t>Valle Rodríguez Denisse</t>
  </si>
  <si>
    <t>Arquimides, 662, Hermosa Provincia</t>
  </si>
  <si>
    <t>Valtierra Lozada Tuttia Naomi</t>
  </si>
  <si>
    <t>Geografos 646 Lagos de Oriente</t>
  </si>
  <si>
    <t>1er adolescentes Jazheel Elizabeth Martinez Gonzalez</t>
  </si>
  <si>
    <t>Vargas García Demetrio</t>
  </si>
  <si>
    <t>Telegrafistas 3333, Lagos de Oriente</t>
  </si>
  <si>
    <t>Vargas Ramirez Demetrio</t>
  </si>
  <si>
    <t>Jerusalen 3587 Col. Hermosa Provincia</t>
  </si>
  <si>
    <t>Vargas Ramírez María de Jesús</t>
  </si>
  <si>
    <t>Jerusalen, Hermosa Provincia</t>
  </si>
  <si>
    <t>Varillas Flores Jehieli Natali</t>
  </si>
  <si>
    <t>Canaan, 3642, Hermosa Provincia</t>
  </si>
  <si>
    <t>Varillas Pérez Neftalí</t>
  </si>
  <si>
    <t>Varillas Victoria Ubaldo</t>
  </si>
  <si>
    <t>Procuradores,3287, Libertad</t>
  </si>
  <si>
    <t>Vazques Barillas Samuel</t>
  </si>
  <si>
    <t>Demostenes 4617 hermosa provincia</t>
  </si>
  <si>
    <t>Vázquez Calvillo Uziel</t>
  </si>
  <si>
    <t>55.7063.5632</t>
  </si>
  <si>
    <t>Cirujanos 533, Lagos De Oriente</t>
  </si>
  <si>
    <t>Viene de Texisquiac, Edo.Mex, Enc. Uziel Vázquez Cárdenas</t>
  </si>
  <si>
    <t>Vázquez Castillo Juan</t>
  </si>
  <si>
    <t>Cirujanos,633, Lagos De Oriente</t>
  </si>
  <si>
    <t>Vázquez Hernández Mario</t>
  </si>
  <si>
    <t>Demostenes, 617, Col. Libertad.</t>
  </si>
  <si>
    <t>Vazquez Marquez Dilean Sismai</t>
  </si>
  <si>
    <t>Canaan 3553, Hermosa Provincia</t>
  </si>
  <si>
    <t>Vázquez Meza Luis Manuel</t>
  </si>
  <si>
    <t>Pedro Velez, 992, Miguel Hidaldo.</t>
  </si>
  <si>
    <t>Vázquez Palafox Tabita</t>
  </si>
  <si>
    <t>Manuel Irigollen, 921 Col 2a secc Hermosa provincia</t>
  </si>
  <si>
    <t>Vazquez Romero Nayeli Itzel</t>
  </si>
  <si>
    <t>Presa valsequillo 797 Col. San joaquín</t>
  </si>
  <si>
    <t>2 adolescentes, EHP J. Margarito Chavez</t>
  </si>
  <si>
    <t>Vazquez Salazar Elisa Haanai</t>
  </si>
  <si>
    <t>Gaza, Hermosa provincia</t>
  </si>
  <si>
    <t>Vázquez Vargas Jesse Kibsaim</t>
  </si>
  <si>
    <t>Telegrafistas, 3377, Lagos De Oriente</t>
  </si>
  <si>
    <t>Vazquez Varillas Samuel</t>
  </si>
  <si>
    <t>Demostenes 617 Col. Libertad</t>
  </si>
  <si>
    <t>Vega Beltran José Eduardo</t>
  </si>
  <si>
    <t>SaMaría, 816, Hermosa Provincia</t>
  </si>
  <si>
    <t>SaMaría, Sin Num. Hermosa Provincia</t>
  </si>
  <si>
    <t>Velazco Montes Carlos E.</t>
  </si>
  <si>
    <t>Samaría, 857, Hermosa Provincia</t>
  </si>
  <si>
    <t xml:space="preserve">Velázquez Alvarado Arza Maresa </t>
  </si>
  <si>
    <t>Pablo Valdez 3700 Col San Joaquin</t>
  </si>
  <si>
    <t>Velázquez Arrollo Jesús</t>
  </si>
  <si>
    <t>Ramon Aldama,3116, U.H. López Velarde</t>
  </si>
  <si>
    <t>Velázquez Carrillo Gloria</t>
  </si>
  <si>
    <t>Cirujanos,631-A,Lagos De Oriente</t>
  </si>
  <si>
    <t>Velazquez Castañeda Messi Zair Jetzaim</t>
  </si>
  <si>
    <t>Jordan Norte 711A hermosa provincia</t>
  </si>
  <si>
    <t>Velazquez Davila Princesa Sarai</t>
  </si>
  <si>
    <t xml:space="preserve">Genaro García , col.Miguel Hidalgo y costilla </t>
  </si>
  <si>
    <t xml:space="preserve">Velázquez Díaz María Elena </t>
  </si>
  <si>
    <t>Getzemani, 3657, Col. San Joaquin</t>
  </si>
  <si>
    <t>Velazquez González Daniel</t>
  </si>
  <si>
    <t>Samaria 924, Hermosa Provincia</t>
  </si>
  <si>
    <t>Recomendado</t>
  </si>
  <si>
    <t>Velázquez Luévanos Francisco</t>
  </si>
  <si>
    <t>Jardines Japoneses, 3324, Lagos De Oriente.</t>
  </si>
  <si>
    <t>Velazquez Maldonado Zabdi Jibsam</t>
  </si>
  <si>
    <t>Presa Oviachi #350</t>
  </si>
  <si>
    <t xml:space="preserve">Velázquez Martínez Martha Elisa  </t>
  </si>
  <si>
    <t xml:space="preserve">San Marcos 2452, col. La Esperanza </t>
  </si>
  <si>
    <t>16 grupo de casadas EHP María del Carmen Abarca</t>
  </si>
  <si>
    <t>Velazquez Roblero Apolonio</t>
  </si>
  <si>
    <t>Presa osorio #3780, san joaquin</t>
  </si>
  <si>
    <t>Velázquez Roblero Apolonio</t>
  </si>
  <si>
    <t>Canaan, 3539, Hermosa Provincia</t>
  </si>
  <si>
    <t xml:space="preserve">Ventura Guevara José Eli </t>
  </si>
  <si>
    <t xml:space="preserve">Jerusalén 3556, Hermosa Provincia. </t>
  </si>
  <si>
    <t>Casados EHP Abdiel Galvez M.</t>
  </si>
  <si>
    <t>Vera Gutiérrez Guillermina Adela</t>
  </si>
  <si>
    <t>Arquimides, 708, Col. Hermosa Provincia</t>
  </si>
  <si>
    <t>Vicente López Esther</t>
  </si>
  <si>
    <t>Jerusalen,3456, Hermosa Provincia</t>
  </si>
  <si>
    <t>Victorin Martinez Pedro</t>
  </si>
  <si>
    <t>Jerusalen 3402, Hermosa Provincia</t>
  </si>
  <si>
    <t>Victorin Rosales Pedro</t>
  </si>
  <si>
    <t>Elisa Flores 2152, Col. Mtro. Aaron Joaquin</t>
  </si>
  <si>
    <t>Antioch California, Enc. Gabriel Victorin Robles</t>
  </si>
  <si>
    <t>Vidal Vazquez Rebeca</t>
  </si>
  <si>
    <t>Canaan 3575, Col. Hermosa Provincia</t>
  </si>
  <si>
    <t>3 Solas HP. EHP Martha Lopez</t>
  </si>
  <si>
    <t>Vidal Vázquez Susana</t>
  </si>
  <si>
    <t>Villa Osuna Siquem Diblaim</t>
  </si>
  <si>
    <t>Jerusalen 3495, hermosa provincia</t>
  </si>
  <si>
    <t>Villalón Martínez Eliézer Omar</t>
  </si>
  <si>
    <t>Camino Al Molino, 130-A, Col. El Molino.</t>
  </si>
  <si>
    <t>Villamil Contreras Dara Etan</t>
  </si>
  <si>
    <t>Educadores 3327, Lagos de Oriente</t>
  </si>
  <si>
    <t>Buscar su grupo</t>
  </si>
  <si>
    <t>Villanueva Ochoa Emmanuel</t>
  </si>
  <si>
    <t>Belen 3375, Hermosa Provincia</t>
  </si>
  <si>
    <t>Villasana Juaréz Rachel Zhamash</t>
  </si>
  <si>
    <t>Getsemaní 3580 Hermosa provincia</t>
  </si>
  <si>
    <t>Villasana Juaréz Sabdi Simsai</t>
  </si>
  <si>
    <t>Villeda Aldana Clemente</t>
  </si>
  <si>
    <t>Nazareth, Col. Hermosa Provincia</t>
  </si>
  <si>
    <t>Ecatepec, Edo Mex, D.E. Fernando Larios Gomez</t>
  </si>
  <si>
    <t>Villeda Vizueth Maria Ignacia</t>
  </si>
  <si>
    <t>Presa Solis 3815 Lagos de Oriente</t>
  </si>
  <si>
    <t>Villegas Rodriguez José Juan</t>
  </si>
  <si>
    <t>Arquimides 578A, Lagos de Oriente</t>
  </si>
  <si>
    <t>Virgen Romero Itiel Kimsaim</t>
  </si>
  <si>
    <t>Getsemani 3552, Hermosa Provincia</t>
  </si>
  <si>
    <t>Von Arx Esteban José Manuel</t>
  </si>
  <si>
    <t>Pablo Valdez 3247, int.3,Cuahutemoc</t>
  </si>
  <si>
    <t xml:space="preserve">Von-Arx Bai Mario Hans </t>
  </si>
  <si>
    <t>Zamora Gomez Abraham Atlai</t>
  </si>
  <si>
    <t>Elisa Flores 2173, Mtro Aaron Joaquín</t>
  </si>
  <si>
    <t>Zamora Nuñez Mara Elizabeth</t>
  </si>
  <si>
    <t>Jordan 675, Hermosa Provincia</t>
  </si>
  <si>
    <t>2 Solas, EHP Abigail Lechuga Orozco</t>
  </si>
  <si>
    <t>Zaragoza Arias Raeli</t>
  </si>
  <si>
    <t>San fransico 611, cirujanos</t>
  </si>
  <si>
    <t>Zárate Gutiérrez Miguel Ángel</t>
  </si>
  <si>
    <t>Nazaret, 740, Hermosa Provincia.</t>
  </si>
  <si>
    <t>Zarate Orozco Azriel Isai</t>
  </si>
  <si>
    <t>Nazareth 740</t>
  </si>
  <si>
    <t>Zelaya Alonso Tirsa Athalia</t>
  </si>
  <si>
    <t>Jose Carlos Becerra, 977, Ramon Lopez Velarde</t>
  </si>
  <si>
    <t>Zúñiga Camacho Dina</t>
  </si>
  <si>
    <r>
      <rPr>
        <rFont val="Calibri"/>
        <color theme="0"/>
        <sz val="11.0"/>
      </rPr>
      <t xml:space="preserve">                                                       </t>
    </r>
    <r>
      <rPr>
        <rFont val="Lucida Bright"/>
        <color theme="1"/>
        <sz val="11.0"/>
      </rPr>
      <t>Total de oraciones del mes, a las que asistió cada hermano.</t>
    </r>
  </si>
  <si>
    <t>j</t>
  </si>
  <si>
    <t>RESUMEN MENSUAL</t>
  </si>
  <si>
    <t xml:space="preserve">Total de oraciones asistidas al mes  </t>
  </si>
  <si>
    <t>¿Hoy llegaron mas hermanos a la oración?
Por favor anótalos en el cuadro.</t>
  </si>
  <si>
    <t>C</t>
  </si>
  <si>
    <t>S / J</t>
  </si>
  <si>
    <t>S /  D</t>
  </si>
  <si>
    <t>N   O   M   B   R   E  S</t>
  </si>
  <si>
    <r>
      <rPr>
        <rFont val="Calibri"/>
        <color theme="1"/>
        <sz val="10.0"/>
      </rPr>
      <t>.</t>
    </r>
    <r>
      <rPr>
        <rFont val="Calibri"/>
        <b/>
        <color theme="1"/>
        <sz val="11.0"/>
      </rPr>
      <t>. C</t>
    </r>
    <r>
      <rPr>
        <rFont val="Calibri"/>
        <color theme="1"/>
        <sz val="11.0"/>
      </rPr>
      <t xml:space="preserve">ual será tu record </t>
    </r>
    <r>
      <rPr>
        <rFont val="Calibri"/>
        <b/>
        <color theme="1"/>
        <sz val="12.0"/>
      </rPr>
      <t>?</t>
    </r>
  </si>
  <si>
    <t>Asistencia al día ofrecido para</t>
  </si>
  <si>
    <t>la Obra del Señor</t>
  </si>
  <si>
    <t>CORRESPONDIENTE AL MES DE</t>
  </si>
  <si>
    <t>DÍA:</t>
  </si>
  <si>
    <t>Fecha  de  la  semana  al  mes  correspondiente</t>
  </si>
  <si>
    <t xml:space="preserve">N  O  M  B  R  E  </t>
  </si>
  <si>
    <t>TOTAL DE ASISTENCIAS</t>
  </si>
  <si>
    <t>entrada</t>
  </si>
  <si>
    <t>salida</t>
  </si>
  <si>
    <t>Porque nuestra gloria es esta: el testimonio de nuestra conciencia…       2  Cor. 1 : 12</t>
  </si>
  <si>
    <t xml:space="preserve">Nacimientos_______     Defunciones_______    Matrimonios________     B.  en Esp. Santo________  B. en agua._______    Pres. de niños_______
</t>
  </si>
  <si>
    <t>COORDINADORA  HNA.</t>
  </si>
  <si>
    <t>SÁNCHEZ RAMOS MARÍA EMILIA</t>
  </si>
  <si>
    <t>Aparicio Guatemala Claudia Mireya</t>
  </si>
  <si>
    <t>AL FINAL DEL MES, FAVOR DE INFORMAR SI ALGUNA DE LAS HERMANAS, TUVO ALGUNA BENDICIÓN O EVENTO DE LOS ABAJO DESCRITOS
Dios les pague.</t>
  </si>
  <si>
    <t>E.C.</t>
  </si>
  <si>
    <t>Jacob Alvarado Chavez</t>
  </si>
  <si>
    <t xml:space="preserve"> Cardenas Cervantes Nancy Guadalupe</t>
  </si>
  <si>
    <t>2 de adolescentes</t>
  </si>
  <si>
    <t>Nimra Uribe Ceron</t>
  </si>
  <si>
    <t>Orellada Perez Dalila</t>
  </si>
  <si>
    <t>Los reyes, Michoacan</t>
  </si>
  <si>
    <t>1 señoritas</t>
  </si>
  <si>
    <t>1 adolescentes</t>
  </si>
  <si>
    <t>15 casadas</t>
  </si>
  <si>
    <t>batallaon de comala colima</t>
  </si>
  <si>
    <t>carta pendiente</t>
  </si>
  <si>
    <t>4 jovenes</t>
  </si>
  <si>
    <t>carta entregada meses antes</t>
  </si>
  <si>
    <t>las carolinas, Coahuila</t>
  </si>
  <si>
    <t>Lesslie Ahumada Ibarra</t>
  </si>
  <si>
    <r>
      <rPr>
        <rFont val="Calibri"/>
        <color theme="1"/>
        <sz val="11.0"/>
      </rPr>
      <t xml:space="preserve">Telegrafistas </t>
    </r>
    <r>
      <rPr>
        <rFont val="Calibri"/>
        <i/>
        <color theme="1"/>
        <sz val="11.0"/>
      </rPr>
      <t xml:space="preserve">3483  Col Hermosa Provincia </t>
    </r>
  </si>
  <si>
    <t>Tecoman Colima</t>
  </si>
  <si>
    <t>Naason Neiel Mares Osuna</t>
  </si>
  <si>
    <t>2do de adolecentes</t>
  </si>
  <si>
    <t xml:space="preserve">Clara Hernandez de Garcia </t>
  </si>
  <si>
    <t>18 casadas</t>
  </si>
  <si>
    <t>8vo casados</t>
  </si>
  <si>
    <t>Oaxaca de Juarez, P.E. Benjamin Chavez Joaquin</t>
  </si>
  <si>
    <t>2 de casados, David Pardo Rosales</t>
  </si>
  <si>
    <t>Republica Dominicana, P.E. Ramiro Hernandez</t>
  </si>
  <si>
    <t>sin carta</t>
  </si>
  <si>
    <t>6 señoritas, Rosalisa Sosa</t>
  </si>
  <si>
    <t>las vegas</t>
  </si>
  <si>
    <t>9 casadas, D. Yolanda Esparza</t>
  </si>
  <si>
    <t>2 solos, Abraham Vazquez Carcamo</t>
  </si>
  <si>
    <t>Teotlalco Veracruz, Enc. Alberto Coronel Morales</t>
  </si>
  <si>
    <t>6 casadas,</t>
  </si>
  <si>
    <t>Guzmán Rodriguez Herziba Sabetai</t>
  </si>
  <si>
    <t>Lidia Lopez Aquino</t>
  </si>
  <si>
    <t>16 Casadas EHP Hayde Zamora Flores</t>
  </si>
  <si>
    <t>Dionisio Rodriguez 3810, Col. Jardines de San Francisco</t>
  </si>
  <si>
    <t>Hernandez Isaias Alan</t>
  </si>
  <si>
    <t>Libonati Valdivia Joshua Abdiel</t>
  </si>
  <si>
    <t>Jimenez Arguijo Jose Alferdo</t>
  </si>
  <si>
    <t>Villagran, Guanajuato, D.E. Antonio Padilla</t>
  </si>
  <si>
    <t>Corona Cervantes Alejandra</t>
  </si>
  <si>
    <t>Abarca Chavez Ruben Salvador</t>
  </si>
  <si>
    <t>16 Casadas EHP María del Carmen Abarca Hernandez</t>
  </si>
  <si>
    <t>13 casadas EHP Hna. Alma Zamora de Joaquín</t>
  </si>
  <si>
    <t>Aldair Gutierrez Jafet</t>
  </si>
  <si>
    <t>3 solas EHP Milca Susana Chavez Joaquin</t>
  </si>
  <si>
    <t>Cordero García Feliz Sibram</t>
  </si>
  <si>
    <t>Maestro Aarón Joaquín, Enc. Pedro Martinez López</t>
  </si>
  <si>
    <t>Carmoña Magaña Martha</t>
  </si>
  <si>
    <t>4° Señoritas, EHP Ana Isabel Valenzuela Montaño</t>
  </si>
  <si>
    <t>Vargas Villalvazo Eugenia</t>
  </si>
  <si>
    <t>Obra Santa Maria</t>
  </si>
  <si>
    <t>Presa Oviachic 532</t>
  </si>
  <si>
    <t>Batallones, P.E. Gilberto García Granados</t>
  </si>
  <si>
    <t>volver a dar de alta</t>
  </si>
  <si>
    <t>14 casadas, EHP Rosalía Palomar Soltero *Alta pendiente</t>
  </si>
  <si>
    <t>Batallones, D.D. Daniel Estrada González</t>
  </si>
  <si>
    <t>recibido por testimonio</t>
  </si>
  <si>
    <t>13° casados, EHP David Cuevas Arellano</t>
  </si>
  <si>
    <t>1 adolescentes, EHP Martha Garcia Rodriguez</t>
  </si>
  <si>
    <t>Serrano Luna Froylan</t>
  </si>
  <si>
    <t>Mes de Baja</t>
  </si>
  <si>
    <t>octubre</t>
  </si>
  <si>
    <t>13 casadas HP</t>
  </si>
  <si>
    <t>3 de señoritas hp</t>
  </si>
  <si>
    <t>iglesia urbi</t>
  </si>
  <si>
    <t>DD</t>
  </si>
  <si>
    <t>puebla</t>
  </si>
  <si>
    <t>1 jovenes</t>
  </si>
  <si>
    <t>noviembre</t>
  </si>
  <si>
    <t>4 casados ivan urrutia</t>
  </si>
  <si>
    <t>durmio</t>
  </si>
  <si>
    <t>michoacan por indicacion del Encargado</t>
  </si>
  <si>
    <t>por indicacion del encargado</t>
  </si>
  <si>
    <t>bethel</t>
  </si>
  <si>
    <t>2372-A Col. Libertad</t>
  </si>
  <si>
    <t>obra en Alemania</t>
  </si>
  <si>
    <t>Guayabitos, Tlaquepaque</t>
  </si>
  <si>
    <t xml:space="preserve">  </t>
  </si>
  <si>
    <t>Bethel</t>
  </si>
  <si>
    <t>1er Jovenes</t>
  </si>
  <si>
    <t>P.E Adan armenta col san cayetano pachuca Hidalgo</t>
  </si>
  <si>
    <t>D  D</t>
  </si>
  <si>
    <t>D   D</t>
  </si>
  <si>
    <t xml:space="preserve">D   D </t>
  </si>
  <si>
    <t>El Salvador</t>
  </si>
  <si>
    <t>tapachula chiapas</t>
  </si>
  <si>
    <t>Gpo señoritas</t>
  </si>
  <si>
    <t>Canada</t>
  </si>
  <si>
    <t>3er jovenes</t>
  </si>
  <si>
    <t>marrzo-18</t>
  </si>
  <si>
    <t>3er señoritas</t>
  </si>
  <si>
    <t>2do jovenes</t>
  </si>
  <si>
    <t>14 casadas</t>
  </si>
  <si>
    <t>1 solos Abiatar Montejano</t>
  </si>
  <si>
    <t>Mtro, Aaron Joaquin, Pedro Lopez</t>
  </si>
  <si>
    <t>Lomas del gallo, P.E. Roberto Montiel</t>
  </si>
  <si>
    <t>La Presa</t>
  </si>
  <si>
    <t>13 casados, David Cuevas</t>
  </si>
  <si>
    <t>solas</t>
  </si>
  <si>
    <t>7 casados Bezaleel Carillo</t>
  </si>
  <si>
    <t>Reyes Michoacan</t>
  </si>
  <si>
    <t>2 señoritas Yaret Toriz</t>
  </si>
  <si>
    <t>Villagran Gto, D.E. Antonio Padilla</t>
  </si>
  <si>
    <t>Col. Palmira, Zapopan, Enc. Alejandro Villanueva</t>
  </si>
  <si>
    <t>Km 15, El salto, D.E. Alfonso Gonzalez Hernandez</t>
  </si>
  <si>
    <t>Colonia, Alemania, D.E. Ezequiel Peña</t>
  </si>
  <si>
    <t>4 señoritas, EHP Bethlem Morales</t>
  </si>
  <si>
    <t>Oaxaca, Alberto Coronel</t>
  </si>
  <si>
    <t>Coronel Moreno Alberto Misael</t>
  </si>
  <si>
    <t>California, USA</t>
  </si>
  <si>
    <t>4 casados D.E. A. Ivan Urrutia Diaz</t>
  </si>
  <si>
    <t>12 Casadas, EHP Sara Abarca</t>
  </si>
  <si>
    <t>salida la obra-puebla puebla</t>
  </si>
  <si>
    <t>salida la obra-silao guanajuato</t>
  </si>
  <si>
    <t>salida la obra guanajuato</t>
  </si>
  <si>
    <t>salida la obra michoacan</t>
  </si>
  <si>
    <t>salida la obra Ecuador</t>
  </si>
  <si>
    <t>salida la obra Guatemala</t>
  </si>
  <si>
    <t>salida la obra Panama</t>
  </si>
  <si>
    <t>salida la obra Haiti</t>
  </si>
  <si>
    <t>destino pendiente</t>
  </si>
  <si>
    <t>31-0ct-18</t>
  </si>
  <si>
    <t>4 jalisco</t>
  </si>
  <si>
    <t>salida obra</t>
  </si>
  <si>
    <t>5 jovenes EHP Pablo Gomez</t>
  </si>
  <si>
    <t>Cd. Mante, Tamaulipas, Enc. Abraham Claudio</t>
  </si>
  <si>
    <t>2 adolescentes EHP Sergio Altamirano</t>
  </si>
  <si>
    <t>Coyula, D.E. Sigifredo Marulanda</t>
  </si>
  <si>
    <t xml:space="preserve">REVISAR LA BAJA </t>
  </si>
  <si>
    <t>DURMIO</t>
  </si>
  <si>
    <r>
      <rPr>
        <rFont val="Calibri"/>
        <color theme="1"/>
        <sz val="11.0"/>
      </rPr>
      <t xml:space="preserve">Telegrafistas </t>
    </r>
    <r>
      <rPr>
        <rFont val="Calibri"/>
        <i/>
        <color theme="1"/>
        <sz val="11.0"/>
      </rPr>
      <t xml:space="preserve">3483  Col Hermosa Provincia </t>
    </r>
  </si>
  <si>
    <t>Salida a la obra</t>
  </si>
  <si>
    <t>CDMX</t>
  </si>
  <si>
    <t>4 Casadas, EHP Yolanda Esparza Almaguer</t>
  </si>
  <si>
    <t>8 casados, EHP Octavio Navarro Prieto</t>
  </si>
  <si>
    <t>1 jovenes, EHP Daniel Coronado</t>
  </si>
  <si>
    <t>febrero</t>
  </si>
  <si>
    <t>18-16-19</t>
  </si>
  <si>
    <t>San Diego, California, P.E. Silverio Coronado</t>
  </si>
  <si>
    <t>Col. Arcoiris, Reynosa Tamps. Enc. Josue Rosales M</t>
  </si>
  <si>
    <t>Maestro Aaron Joaquin, Enc. Pedro Martinez López</t>
  </si>
  <si>
    <t>Encargada de grupo</t>
  </si>
  <si>
    <t>Datos Pendientes</t>
  </si>
  <si>
    <t>salida la obra con los padres</t>
  </si>
  <si>
    <t>5 Casadas, EHP Jael Chanez</t>
  </si>
  <si>
    <t>Salida a la obra, Xalapa Veracruz</t>
  </si>
  <si>
    <t xml:space="preserve">12 casadas EHP Sara Abarca </t>
  </si>
  <si>
    <t>5 jovenes EHP Angel Pardo</t>
  </si>
  <si>
    <t>Ampliación Río Nilo, D.E. Carlos Illescas Gomez</t>
  </si>
  <si>
    <t>1 jovenes, EHP Daniel Pelayo</t>
  </si>
  <si>
    <t>4 Jovenes, EHP Josue Coronado</t>
  </si>
  <si>
    <t>Nort Hollywood, P.E. Daniel Osmin</t>
  </si>
  <si>
    <t>Polanquito, Enc. Israel Nuñez</t>
  </si>
  <si>
    <t>Enc. Magdaleno Estrada</t>
  </si>
  <si>
    <t>salida a la obra</t>
  </si>
  <si>
    <t>4 casados, D.E. Ivan Urrutia Diaz</t>
  </si>
  <si>
    <t>1 señoritas, EHP Elizabeth Estrada</t>
  </si>
  <si>
    <t>15 casadas, EHP Adriana Padilla</t>
  </si>
  <si>
    <t>Mtro, Aaron Joaquin, Enc. Pedro Hernández López</t>
  </si>
  <si>
    <t>13 casadas, EHP Hna. Alma Zamora</t>
  </si>
  <si>
    <t>1 solas señoritas, EHP Rosa Elisa Sosa</t>
  </si>
  <si>
    <t>Chicago Illinois, P.E. Jonathan Mendoza Medel</t>
  </si>
  <si>
    <t>Frontera Chiapas, Enc. Joel García Lopez.</t>
  </si>
  <si>
    <t>Loma Bonita, Enc. Javier Rangel Rubio</t>
  </si>
  <si>
    <t>Fresno California, P.E. Louis Alberto Cruz</t>
  </si>
  <si>
    <t>2 adolescentes, EHP Sergio Altamirando</t>
  </si>
  <si>
    <t>3 señoritas, EHP Bethlehem Morales Robles</t>
  </si>
  <si>
    <t>Ampliación Río Nilo, D.E. Ezequiel Zamora</t>
  </si>
  <si>
    <t>Badajoz España, P.E. Antonio Riquelme</t>
  </si>
  <si>
    <t>Durmio</t>
  </si>
  <si>
    <t>1 solas, EHP Rocio Figueroa</t>
  </si>
  <si>
    <t>8 casados, EHP Juan Antonio de la Cruz</t>
  </si>
  <si>
    <t>Osorio Comunal Tonala, D.E. Ezequiel Zamora</t>
  </si>
  <si>
    <t>DD Baja de febrero</t>
  </si>
  <si>
    <t>DD***</t>
  </si>
  <si>
    <t>2 adolescentes, EHP Nebai Zamora Baja de febrero</t>
  </si>
  <si>
    <t>Prados de la Cañanda, Tonala, Jalisco. Enc. Joel Andres Narvaez</t>
  </si>
  <si>
    <t>Mtro. Aaron Joaquin, Jalisco. Enc. Pedro Hernandez</t>
  </si>
  <si>
    <t>Bethel, Gdl, Jalisco. P.E. Leonardo Baltazar</t>
  </si>
  <si>
    <t>Nuevo Casas Grandes, Chihuahua. **</t>
  </si>
  <si>
    <t>Jalisco 4 sección. P.D. Ramiro Hernandez*</t>
  </si>
  <si>
    <t>3 casados, EHP Nahari Castañeda</t>
  </si>
  <si>
    <t>9 casados, EHP Octavio Navarro</t>
  </si>
  <si>
    <t>salida a la obra, la laja</t>
  </si>
  <si>
    <t>Solos *baja para septiembre</t>
  </si>
  <si>
    <t>D.E. José Efrain Ruiz Marulanda, San Salvador, El Salvador</t>
  </si>
  <si>
    <t>E.E. Catarino Hernández, La Estancia, Michoacan</t>
  </si>
  <si>
    <t>Salida a la obra, San Pedro Coahuila</t>
  </si>
  <si>
    <t>Salida a la obra, Parras</t>
  </si>
  <si>
    <t>D.E. Savino Ipiña, San Luis Xochimilco, CDMX</t>
  </si>
  <si>
    <t>batallones</t>
  </si>
  <si>
    <t>Rio Nilo, Tonala, Jalisco D.E. Ezequiel Zamora</t>
  </si>
  <si>
    <t>Rogelio Duran Roman</t>
  </si>
  <si>
    <t>Baja Huentitan</t>
  </si>
  <si>
    <t>Rio Nilo, Tonala, Jalisco</t>
  </si>
  <si>
    <t>Guadalupe Peralta Figueroa</t>
  </si>
  <si>
    <t>Arturo de Jesus Peralta</t>
  </si>
  <si>
    <t>Bahia de Quino, Sonora. Res. Bat Daniel García Ambrosio</t>
  </si>
  <si>
    <t>1 casadas, Libna Pardo</t>
  </si>
  <si>
    <t>Salida obra, Mazatlan, Villa Flores, Oaxaca</t>
  </si>
  <si>
    <t>Hernández León Daniel Jaír</t>
  </si>
  <si>
    <t>Solos, EHP Abraham Vazquez</t>
  </si>
  <si>
    <t>Alicia Garcia</t>
  </si>
  <si>
    <t>obra de huentitan durmio</t>
  </si>
  <si>
    <t>Rio Nilo, Tonala. D.E. Ezequiel Zamora Flores</t>
  </si>
  <si>
    <t>Batallon Guanajuato</t>
  </si>
  <si>
    <t>EHP Carmen Abarca</t>
  </si>
  <si>
    <t>7 casadas, EHP Jael Lupian</t>
  </si>
  <si>
    <t>en mes p</t>
  </si>
  <si>
    <t>Colombia Pereira. D.E. Reynaldo Rosales</t>
  </si>
  <si>
    <t>pendiende</t>
  </si>
  <si>
    <t>2 señoritas EHP Bethlehem Morales Lopez</t>
  </si>
  <si>
    <t>&lt;&lt; *2 solas, EHP Rut Aguilar Solis</t>
  </si>
  <si>
    <t>&lt;&lt;* P.E. Leonardo Baltazar</t>
  </si>
  <si>
    <t>&lt;&lt;* batallones</t>
  </si>
  <si>
    <t>&lt;&lt;* Chicago P.E. Jonathan Mendoza</t>
  </si>
  <si>
    <t>Col. Progreso Gro. P.D. Rigoberto Mata</t>
  </si>
  <si>
    <t>1 casados, EHP José Sanchez Magaña</t>
  </si>
  <si>
    <t>1 Jovenes, EHP Benjamin Menchaca Tristan</t>
  </si>
  <si>
    <t>&lt;&lt; baja en la fecha, solos, Abraham Vazquez</t>
  </si>
  <si>
    <t>Salida a la obra, Nazareth, Israel</t>
  </si>
  <si>
    <t>Chiapas.</t>
  </si>
  <si>
    <t>3 solas, Xochitl Chavez</t>
  </si>
  <si>
    <t>Edo. Mex - esperar</t>
  </si>
  <si>
    <t>Russellville, Arkansas. Enc. Joel Josue Robles</t>
  </si>
  <si>
    <t>nombres</t>
  </si>
  <si>
    <t>Columna1</t>
  </si>
  <si>
    <t>E.C</t>
  </si>
  <si>
    <t>Dia</t>
  </si>
  <si>
    <t>Columna2</t>
  </si>
  <si>
    <t>Columna3</t>
  </si>
  <si>
    <t>Columna4</t>
  </si>
  <si>
    <t>TEL</t>
  </si>
  <si>
    <t>Razones que se conocen en día de guardia</t>
  </si>
  <si>
    <t>Cambio de grupo</t>
  </si>
  <si>
    <t>Se desconoce la razon de su ausencia</t>
  </si>
  <si>
    <t>más de tres meses faltado</t>
  </si>
  <si>
    <t>comportamiento impropio de un obrero, no se sujeta al responsable</t>
  </si>
  <si>
    <t>cambio a grupo de casadas</t>
  </si>
  <si>
    <t>mas de tres meses faltado</t>
  </si>
  <si>
    <t>poca asistencia a la obra</t>
  </si>
  <si>
    <t>9 meses de ausentismo</t>
  </si>
  <si>
    <t>5 a 6 meses de residencia</t>
  </si>
  <si>
    <t>1 año de ausentismo asunto laboral</t>
  </si>
  <si>
    <t>1 mes de ausentismo</t>
  </si>
  <si>
    <t>no se presenta</t>
  </si>
  <si>
    <t>8 a 9 meses ausentismo esta en el coro de jovenes</t>
  </si>
  <si>
    <t>inconstancia por asunto laboral</t>
  </si>
  <si>
    <t>cambio de residencia por asunto laboral</t>
  </si>
  <si>
    <t>Ramires Leon Marcos</t>
  </si>
  <si>
    <t>3 a 4 meses de ausentismo por asunto laboral</t>
  </si>
  <si>
    <t>3 a 4 meses de ausentismo, cambio de residencia por asunto laboral</t>
  </si>
  <si>
    <t>2 años de ausentismo</t>
  </si>
  <si>
    <t>10 a 11 meses de ausentismo por razones de salud</t>
  </si>
  <si>
    <t>2° Adolescentes</t>
  </si>
  <si>
    <t>1° Señoritas</t>
  </si>
  <si>
    <t>2° Señoritas</t>
  </si>
  <si>
    <t>1° Jóvenes</t>
  </si>
  <si>
    <t>3° Señoritas</t>
  </si>
  <si>
    <t>4° Señoritas</t>
  </si>
  <si>
    <t>2° Jóvenes</t>
  </si>
  <si>
    <t>5° Señoritas</t>
  </si>
  <si>
    <t>1o Solas Señoritas</t>
  </si>
  <si>
    <t>3° Jóvenes</t>
  </si>
  <si>
    <t>2° Solas Señoritas</t>
  </si>
  <si>
    <t>2° Casadas</t>
  </si>
  <si>
    <t>4° Jóvenes</t>
  </si>
  <si>
    <t>3° Casadas</t>
  </si>
  <si>
    <t>4° Casadas</t>
  </si>
  <si>
    <t>Lugo Montaño Josuè</t>
  </si>
  <si>
    <t>5° Casadas</t>
  </si>
  <si>
    <t>6° Casadas</t>
  </si>
  <si>
    <t>5° Jóvenes</t>
  </si>
  <si>
    <t>7° Casadas</t>
  </si>
  <si>
    <t>8° Casadas</t>
  </si>
  <si>
    <t>1° Casados</t>
  </si>
  <si>
    <t>9° Casadas</t>
  </si>
  <si>
    <t>2° Casados</t>
  </si>
  <si>
    <t>3° Casados</t>
  </si>
  <si>
    <t>10° Casadas</t>
  </si>
  <si>
    <t>4° Casados</t>
  </si>
  <si>
    <t>11° Casadas</t>
  </si>
  <si>
    <t>5° Casados</t>
  </si>
  <si>
    <t>12° Casadas</t>
  </si>
  <si>
    <t>6° Casados</t>
  </si>
  <si>
    <t>13° Casadas</t>
  </si>
  <si>
    <t>7° Casados</t>
  </si>
  <si>
    <t>8° Casados</t>
  </si>
  <si>
    <t>14° Casadas</t>
  </si>
  <si>
    <t>9° Casados</t>
  </si>
  <si>
    <t>15° Casadas</t>
  </si>
  <si>
    <t>10° Casados</t>
  </si>
  <si>
    <t>16° Casadas</t>
  </si>
  <si>
    <t>11° Casados</t>
  </si>
  <si>
    <t>12° Casados</t>
  </si>
  <si>
    <t>17° Casadas</t>
  </si>
  <si>
    <t>13° Casados</t>
  </si>
  <si>
    <t>2° Solas</t>
  </si>
  <si>
    <t>Solos</t>
  </si>
  <si>
    <t>3° Solas</t>
  </si>
  <si>
    <t>4° Solas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</si>
</sst>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_ ;[Red]\-#,##0\ "/>
    <numFmt numFmtId="165" formatCode="d- mmm-yy"/>
    <numFmt numFmtId="166" formatCode="dd/mm/yy"/>
    <numFmt numFmtId="167" formatCode="dd-mm-yy"/>
    <numFmt numFmtId="168" formatCode="dd-mmm-yy"/>
    <numFmt numFmtId="169" formatCode="d-mmm-yy"/>
    <numFmt numFmtId="170" formatCode="ddd"/>
    <numFmt numFmtId="171" formatCode="d"/>
    <numFmt numFmtId="172" formatCode="mmmm\ \-\ yyyy"/>
    <numFmt numFmtId="173" formatCode="d/m/yyyy"/>
  </numFmts>
  <fonts count="45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b/>
      <sz val="6.0"/>
      <color theme="1"/>
      <name val="Calibri"/>
    </font>
    <font>
      <b/>
      <sz val="8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7.0"/>
      <color theme="0"/>
      <name val="Modern no. 20"/>
    </font>
    <font>
      <sz val="11.0"/>
      <color theme="0"/>
      <name val="Calibri"/>
    </font>
    <font>
      <sz val="1.0"/>
      <color theme="0"/>
      <name val="Raavi"/>
    </font>
    <font>
      <b/>
      <sz val="24.0"/>
      <color theme="1"/>
      <name val="Arial Narrow"/>
    </font>
    <font>
      <sz val="12.0"/>
      <color theme="1"/>
      <name val="Calibri"/>
    </font>
    <font>
      <sz val="8.0"/>
      <color rgb="FF1F497D"/>
      <name val="Calibri"/>
    </font>
    <font>
      <b/>
      <sz val="18.0"/>
      <color theme="1"/>
      <name val="Cambria"/>
    </font>
    <font>
      <sz val="10.0"/>
      <color theme="1"/>
      <name val="Calibri"/>
    </font>
    <font>
      <sz val="14.0"/>
      <color rgb="FFC00000"/>
      <name val="Calibri"/>
    </font>
    <font>
      <b/>
      <sz val="8.0"/>
      <color rgb="FF7F7F7F"/>
      <name val="Calibri"/>
    </font>
    <font>
      <b/>
      <sz val="9.0"/>
      <color rgb="FF7F7F7F"/>
      <name val="Calibri"/>
    </font>
    <font>
      <sz val="8.0"/>
      <color rgb="FF7F7F7F"/>
      <name val="Calibri"/>
    </font>
    <font>
      <sz val="6.0"/>
      <color rgb="FF7F7F7F"/>
      <name val="Calibri"/>
    </font>
    <font>
      <sz val="9.0"/>
      <color rgb="FF7F7F7F"/>
      <name val="Calibri"/>
    </font>
    <font>
      <sz val="6.0"/>
      <color rgb="FF1F497D"/>
      <name val="Calibri"/>
    </font>
    <font>
      <sz val="7.0"/>
      <color theme="1"/>
      <name val="Calibri"/>
    </font>
    <font>
      <sz val="17.0"/>
      <color theme="1"/>
      <name val="Calibri"/>
    </font>
    <font>
      <sz val="16.0"/>
      <color theme="1"/>
      <name val="Calibri"/>
    </font>
    <font>
      <sz val="8.0"/>
      <color theme="8"/>
      <name val="Calibri"/>
    </font>
    <font>
      <sz val="18.0"/>
      <color theme="1"/>
      <name val="Cambria"/>
    </font>
    <font>
      <sz val="22.0"/>
      <color theme="1"/>
      <name val="Script mt bold"/>
    </font>
    <font>
      <sz val="13.0"/>
      <color theme="1"/>
      <name val="Cambria"/>
    </font>
    <font>
      <sz val="16.0"/>
      <color theme="1"/>
      <name val="Kaushan Script"/>
    </font>
    <font>
      <b/>
      <sz val="13.0"/>
      <color theme="1"/>
      <name val="Cambria"/>
    </font>
    <font>
      <b/>
      <u/>
      <sz val="13.0"/>
      <color theme="1"/>
      <name val="Cambria"/>
    </font>
    <font>
      <b/>
      <sz val="14.0"/>
      <color theme="1"/>
      <name val="Cambria"/>
    </font>
    <font>
      <b/>
      <sz val="20.0"/>
      <color rgb="FF0070C0"/>
      <name val="Script mt bold"/>
    </font>
    <font>
      <b/>
      <sz val="11.0"/>
      <color theme="1"/>
      <name val="Cambria"/>
    </font>
    <font>
      <sz val="8.0"/>
      <color theme="1"/>
      <name val="Calibri"/>
    </font>
    <font>
      <sz val="5.0"/>
      <color theme="1"/>
      <name val="Calibri"/>
    </font>
    <font>
      <b/>
      <sz val="12.0"/>
      <color theme="1"/>
      <name val="Cambria"/>
    </font>
    <font>
      <b/>
      <sz val="12.0"/>
      <color rgb="FFE36C09"/>
      <name val="Cambria"/>
    </font>
    <font>
      <b/>
      <sz val="12.0"/>
      <color rgb="FF002060"/>
      <name val="Cambria"/>
    </font>
  </fonts>
  <fills count="19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D99594"/>
        <bgColor rgb="FFD9959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974806"/>
        <bgColor rgb="FF974806"/>
      </patternFill>
    </fill>
    <fill>
      <patternFill patternType="solid">
        <fgColor rgb="FFFABF8F"/>
        <bgColor rgb="FFFABF8F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</fills>
  <borders count="8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</border>
    <border>
      <right/>
      <top/>
    </border>
    <border>
      <top/>
    </border>
    <border>
      <left/>
    </border>
    <border>
      <right/>
    </border>
    <border>
      <left/>
      <bottom/>
    </border>
    <border>
      <right/>
      <bottom/>
    </border>
    <border>
      <bottom/>
    </border>
    <border>
      <left style="thick">
        <color rgb="FF8DB3E2"/>
      </left>
      <top style="thick">
        <color rgb="FF8DB3E2"/>
      </top>
      <bottom style="thick">
        <color rgb="FF8DB3E2"/>
      </bottom>
    </border>
    <border>
      <top style="thick">
        <color rgb="FF8DB3E2"/>
      </top>
      <bottom style="thick">
        <color rgb="FF8DB3E2"/>
      </bottom>
    </border>
    <border>
      <right style="thick">
        <color rgb="FF8DB3E2"/>
      </right>
      <top style="thick">
        <color rgb="FF8DB3E2"/>
      </top>
      <bottom style="thick">
        <color rgb="FF8DB3E2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70C0"/>
      </left>
      <top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 style="medium">
        <color rgb="FF0070C0"/>
      </bottom>
    </border>
    <border>
      <bottom style="medium">
        <color rgb="FF0070C0"/>
      </bottom>
    </border>
    <border>
      <right style="medium">
        <color rgb="FF000000"/>
      </right>
      <bottom style="medium">
        <color rgb="FF0070C0"/>
      </bottom>
    </border>
    <border>
      <left style="medium">
        <color rgb="FF0070C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7F7F7F"/>
      </bottom>
    </border>
    <border>
      <right style="medium">
        <color rgb="FF000000"/>
      </right>
      <top style="medium">
        <color rgb="FF000000"/>
      </top>
      <bottom style="medium">
        <color rgb="FF7F7F7F"/>
      </bottom>
    </border>
    <border>
      <left style="medium">
        <color rgb="FF000000"/>
      </left>
      <top style="medium">
        <color rgb="FF0070C0"/>
      </top>
    </border>
    <border>
      <right style="medium">
        <color rgb="FF0070C0"/>
      </right>
      <top style="medium">
        <color rgb="FF0070C0"/>
      </top>
    </border>
    <border>
      <left style="medium">
        <color rgb="FF0070C0"/>
      </left>
      <top style="medium">
        <color rgb="FF0070C0"/>
      </top>
    </border>
    <border>
      <right style="medium">
        <color rgb="FF000000"/>
      </right>
      <top style="medium">
        <color rgb="FF0070C0"/>
      </top>
    </border>
    <border>
      <left style="medium">
        <color rgb="FF0070C0"/>
      </left>
      <right style="thin">
        <color rgb="FF0070C0"/>
      </right>
      <bottom style="thin">
        <color rgb="FF0070C0"/>
      </bottom>
    </border>
    <border>
      <right style="medium">
        <color rgb="FF0070C0"/>
      </right>
      <bottom style="medium">
        <color rgb="FF0070C0"/>
      </bottom>
    </border>
    <border>
      <left style="medium">
        <color rgb="FF0070C0"/>
      </left>
      <bottom style="medium">
        <color rgb="FF0070C0"/>
      </bottom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/>
      <right/>
      <top/>
      <bottom/>
    </border>
    <border>
      <right/>
      <bottom style="medium">
        <color rgb="FF0070C0"/>
      </bottom>
    </border>
    <border>
      <left style="medium">
        <color rgb="FF0070C0"/>
      </left>
      <top style="thin">
        <color rgb="FF0070C0"/>
      </top>
      <bottom style="medium">
        <color rgb="FF0070C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70C0"/>
      </right>
    </border>
    <border>
      <top style="medium">
        <color rgb="FF0070C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FABF8F"/>
      </left>
      <top style="medium">
        <color rgb="FFFABF8F"/>
      </top>
      <bottom style="medium">
        <color rgb="FFFABF8F"/>
      </bottom>
    </border>
    <border>
      <top style="medium">
        <color rgb="FFFABF8F"/>
      </top>
      <bottom style="medium">
        <color rgb="FFFABF8F"/>
      </bottom>
    </border>
    <border>
      <right style="medium">
        <color rgb="FFFABF8F"/>
      </right>
      <top style="medium">
        <color rgb="FFFABF8F"/>
      </top>
      <bottom style="medium">
        <color rgb="FFFABF8F"/>
      </bottom>
    </border>
    <border>
      <left style="medium">
        <color rgb="FF76923C"/>
      </left>
      <top style="medium">
        <color rgb="FF76923C"/>
      </top>
      <bottom style="medium">
        <color rgb="FF76923C"/>
      </bottom>
    </border>
    <border>
      <top style="medium">
        <color rgb="FF76923C"/>
      </top>
      <bottom style="medium">
        <color rgb="FF76923C"/>
      </bottom>
    </border>
    <border>
      <right style="medium">
        <color rgb="FF76923C"/>
      </right>
      <top style="medium">
        <color rgb="FF76923C"/>
      </top>
      <bottom style="medium">
        <color rgb="FF76923C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3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5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6" fillId="4" fontId="4" numFmtId="0" xfId="0" applyAlignment="1" applyBorder="1" applyFill="1" applyFont="1">
      <alignment horizontal="center"/>
    </xf>
    <xf borderId="7" fillId="0" fontId="3" numFmtId="0" xfId="0" applyBorder="1" applyFont="1"/>
    <xf borderId="8" fillId="4" fontId="4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4" numFmtId="0" xfId="0" applyBorder="1" applyFont="1"/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2" fillId="0" fontId="3" numFmtId="0" xfId="0" applyBorder="1" applyFont="1"/>
    <xf borderId="0" fillId="0" fontId="5" numFmtId="164" xfId="0" applyFont="1" applyNumberFormat="1"/>
    <xf borderId="14" fillId="0" fontId="4" numFmtId="0" xfId="0" applyBorder="1" applyFont="1"/>
    <xf borderId="14" fillId="0" fontId="4" numFmtId="164" xfId="0" applyAlignment="1" applyBorder="1" applyFont="1" applyNumberFormat="1">
      <alignment horizontal="center"/>
    </xf>
    <xf borderId="12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5" numFmtId="1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shrinkToFit="1" vertical="center" wrapText="0"/>
    </xf>
    <xf borderId="1" fillId="5" fontId="5" numFmtId="0" xfId="0" applyAlignment="1" applyBorder="1" applyFill="1" applyFont="1">
      <alignment horizontal="center" vertical="top"/>
    </xf>
    <xf borderId="1" fillId="5" fontId="7" numFmtId="0" xfId="0" applyAlignment="1" applyBorder="1" applyFont="1">
      <alignment horizontal="center" shrinkToFit="1" vertical="top" wrapText="0"/>
    </xf>
    <xf borderId="1" fillId="5" fontId="5" numFmtId="0" xfId="0" applyAlignment="1" applyBorder="1" applyFont="1">
      <alignment horizontal="center" readingOrder="0" vertical="top"/>
    </xf>
    <xf borderId="1" fillId="5" fontId="8" numFmtId="0" xfId="0" applyAlignment="1" applyBorder="1" applyFont="1">
      <alignment horizontal="center" vertical="top"/>
    </xf>
    <xf borderId="1" fillId="5" fontId="9" numFmtId="15" xfId="0" applyAlignment="1" applyBorder="1" applyFont="1" applyNumberFormat="1">
      <alignment horizontal="center" vertical="top"/>
    </xf>
    <xf borderId="1" fillId="5" fontId="9" numFmtId="0" xfId="0" applyAlignment="1" applyBorder="1" applyFont="1">
      <alignment horizontal="center" vertical="top"/>
    </xf>
    <xf borderId="1" fillId="6" fontId="5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readingOrder="0" shrinkToFit="1" vertical="center" wrapText="0"/>
    </xf>
    <xf borderId="1" fillId="6" fontId="5" numFmtId="0" xfId="0" applyAlignment="1" applyBorder="1" applyFont="1">
      <alignment horizontal="center" readingOrder="0" vertical="center"/>
    </xf>
    <xf borderId="1" fillId="6" fontId="5" numFmtId="15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vertical="center"/>
    </xf>
    <xf borderId="1" fillId="6" fontId="5" numFmtId="0" xfId="0" applyAlignment="1" applyBorder="1" applyFont="1">
      <alignment readingOrder="0" vertical="center"/>
    </xf>
    <xf borderId="0" fillId="6" fontId="5" numFmtId="0" xfId="0" applyAlignment="1" applyFont="1">
      <alignment horizontal="center" vertical="center"/>
    </xf>
    <xf borderId="1" fillId="6" fontId="5" numFmtId="0" xfId="0" applyAlignment="1" applyBorder="1" applyFont="1">
      <alignment horizontal="center"/>
    </xf>
    <xf borderId="1" fillId="6" fontId="7" numFmtId="0" xfId="0" applyAlignment="1" applyBorder="1" applyFont="1">
      <alignment readingOrder="0"/>
    </xf>
    <xf borderId="1" fillId="6" fontId="5" numFmtId="0" xfId="0" applyAlignment="1" applyBorder="1" applyFont="1">
      <alignment horizontal="center" readingOrder="0"/>
    </xf>
    <xf borderId="1" fillId="6" fontId="5" numFmtId="15" xfId="0" applyAlignment="1" applyBorder="1" applyFont="1" applyNumberFormat="1">
      <alignment horizontal="center" readingOrder="0"/>
    </xf>
    <xf borderId="1" fillId="6" fontId="5" numFmtId="0" xfId="0" applyAlignment="1" applyBorder="1" applyFont="1">
      <alignment readingOrder="0"/>
    </xf>
    <xf borderId="1" fillId="6" fontId="7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5" numFmtId="1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0" fillId="6" fontId="5" numFmtId="15" xfId="0" applyAlignment="1" applyFont="1" applyNumberFormat="1">
      <alignment horizontal="center" vertical="center"/>
    </xf>
    <xf borderId="1" fillId="6" fontId="10" numFmtId="0" xfId="0" applyAlignment="1" applyBorder="1" applyFont="1">
      <alignment shrinkToFit="1" vertical="center" wrapText="0"/>
    </xf>
    <xf borderId="1" fillId="6" fontId="5" numFmtId="15" xfId="0" applyAlignment="1" applyBorder="1" applyFont="1" applyNumberFormat="1">
      <alignment horizontal="center" readingOrder="0" vertical="center"/>
    </xf>
    <xf borderId="1" fillId="6" fontId="5" numFmtId="165" xfId="0" applyAlignment="1" applyBorder="1" applyFont="1" applyNumberFormat="1">
      <alignment horizontal="center" readingOrder="0" vertical="center"/>
    </xf>
    <xf borderId="1" fillId="6" fontId="5" numFmtId="166" xfId="0" applyAlignment="1" applyBorder="1" applyFont="1" applyNumberFormat="1">
      <alignment horizontal="center" readingOrder="0" vertical="center"/>
    </xf>
    <xf borderId="0" fillId="6" fontId="5" numFmtId="0" xfId="0" applyAlignment="1" applyFont="1">
      <alignment vertical="center"/>
    </xf>
    <xf borderId="1" fillId="6" fontId="5" numFmtId="167" xfId="0" applyAlignment="1" applyBorder="1" applyFont="1" applyNumberFormat="1">
      <alignment horizontal="center" readingOrder="0"/>
    </xf>
    <xf borderId="1" fillId="7" fontId="7" numFmtId="0" xfId="0" applyAlignment="1" applyBorder="1" applyFill="1" applyFont="1">
      <alignment shrinkToFit="1" vertical="center" wrapText="0"/>
    </xf>
    <xf borderId="0" fillId="6" fontId="11" numFmtId="0" xfId="0" applyFont="1"/>
    <xf borderId="1" fillId="6" fontId="5" numFmtId="168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1" vertical="center" wrapText="0"/>
    </xf>
    <xf borderId="1" fillId="0" fontId="5" numFmtId="15" xfId="0" applyAlignment="1" applyBorder="1" applyFont="1" applyNumberFormat="1">
      <alignment horizontal="center" readingOrder="0" vertical="center"/>
    </xf>
    <xf borderId="1" fillId="0" fontId="5" numFmtId="168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1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167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shrinkToFit="1" vertical="center" wrapText="0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167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5" numFmtId="166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 shrinkToFit="1" vertical="center" wrapText="0"/>
    </xf>
    <xf borderId="1" fillId="0" fontId="5" numFmtId="169" xfId="0" applyAlignment="1" applyBorder="1" applyFont="1" applyNumberFormat="1">
      <alignment horizontal="center" readingOrder="0" vertical="center"/>
    </xf>
    <xf borderId="0" fillId="0" fontId="5" numFmtId="1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vertical="center"/>
    </xf>
    <xf borderId="1" fillId="0" fontId="10" numFmtId="0" xfId="0" applyAlignment="1" applyBorder="1" applyFont="1">
      <alignment readingOrder="0" shrinkToFit="1" vertical="center" wrapText="0"/>
    </xf>
    <xf borderId="1" fillId="0" fontId="5" numFmtId="0" xfId="0" applyBorder="1" applyFont="1"/>
    <xf borderId="1" fillId="0" fontId="7" numFmtId="0" xfId="0" applyAlignment="1" applyBorder="1" applyFont="1">
      <alignment readingOrder="0" shrinkToFit="1" vertical="center" wrapText="0"/>
    </xf>
    <xf borderId="1" fillId="0" fontId="5" numFmtId="1" xfId="0" applyAlignment="1" applyBorder="1" applyFont="1" applyNumberFormat="1">
      <alignment horizontal="center" vertical="center"/>
    </xf>
    <xf borderId="0" fillId="6" fontId="5" numFmtId="0" xfId="0" applyFont="1"/>
    <xf borderId="0" fillId="0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15" fillId="8" fontId="12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5" fillId="8" fontId="13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4" numFmtId="0" xfId="0" applyAlignment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0" fontId="3" numFmtId="0" xfId="0" applyBorder="1" applyFont="1"/>
    <xf borderId="22" fillId="0" fontId="3" numFmtId="0" xfId="0" applyBorder="1" applyFont="1"/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right" vertical="center"/>
    </xf>
    <xf borderId="23" fillId="0" fontId="18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9" fontId="5" numFmtId="0" xfId="0" applyAlignment="1" applyBorder="1" applyFill="1" applyFont="1">
      <alignment vertical="center"/>
    </xf>
    <xf borderId="27" fillId="9" fontId="1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0" fontId="20" numFmtId="0" xfId="0" applyAlignment="1" applyBorder="1" applyFill="1" applyFont="1">
      <alignment horizontal="left" shrinkToFit="0" vertical="center" wrapText="1"/>
    </xf>
    <xf borderId="31" fillId="0" fontId="5" numFmtId="170" xfId="0" applyAlignment="1" applyBorder="1" applyFont="1" applyNumberFormat="1">
      <alignment horizontal="center" vertical="center"/>
    </xf>
    <xf borderId="32" fillId="9" fontId="5" numFmtId="0" xfId="0" applyAlignment="1" applyBorder="1" applyFont="1">
      <alignment vertical="center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5" numFmtId="171" xfId="0" applyAlignment="1" applyBorder="1" applyFont="1" applyNumberFormat="1">
      <alignment horizontal="center" vertical="center"/>
    </xf>
    <xf borderId="38" fillId="0" fontId="5" numFmtId="171" xfId="0" applyAlignment="1" applyBorder="1" applyFont="1" applyNumberFormat="1">
      <alignment horizontal="center" vertical="center"/>
    </xf>
    <xf borderId="39" fillId="0" fontId="21" numFmtId="0" xfId="0" applyAlignment="1" applyBorder="1" applyFont="1">
      <alignment horizontal="left" vertical="center"/>
    </xf>
    <xf borderId="40" fillId="0" fontId="21" numFmtId="0" xfId="0" applyAlignment="1" applyBorder="1" applyFont="1">
      <alignment horizontal="left" vertical="center"/>
    </xf>
    <xf borderId="41" fillId="0" fontId="22" numFmtId="0" xfId="0" applyAlignment="1" applyBorder="1" applyFont="1">
      <alignment horizontal="center" vertical="center"/>
    </xf>
    <xf borderId="40" fillId="0" fontId="22" numFmtId="0" xfId="0" applyAlignment="1" applyBorder="1" applyFont="1">
      <alignment horizontal="center" vertical="center"/>
    </xf>
    <xf borderId="41" fillId="0" fontId="23" numFmtId="0" xfId="0" applyAlignment="1" applyBorder="1" applyFont="1">
      <alignment horizontal="left" vertical="center"/>
    </xf>
    <xf borderId="42" fillId="0" fontId="23" numFmtId="0" xfId="0" applyAlignment="1" applyBorder="1" applyFont="1">
      <alignment horizontal="left" vertical="center"/>
    </xf>
    <xf borderId="43" fillId="0" fontId="24" numFmtId="0" xfId="0" applyAlignment="1" applyBorder="1" applyFont="1">
      <alignment horizontal="left" vertical="center"/>
    </xf>
    <xf borderId="33" fillId="0" fontId="21" numFmtId="0" xfId="0" applyAlignment="1" applyBorder="1" applyFont="1">
      <alignment horizontal="left" vertical="center"/>
    </xf>
    <xf borderId="44" fillId="0" fontId="21" numFmtId="0" xfId="0" applyAlignment="1" applyBorder="1" applyFont="1">
      <alignment horizontal="left" vertical="center"/>
    </xf>
    <xf borderId="45" fillId="0" fontId="22" numFmtId="0" xfId="0" applyAlignment="1" applyBorder="1" applyFont="1">
      <alignment horizontal="center" vertical="center"/>
    </xf>
    <xf borderId="44" fillId="0" fontId="22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left" vertical="center"/>
    </xf>
    <xf borderId="35" fillId="0" fontId="23" numFmtId="0" xfId="0" applyAlignment="1" applyBorder="1" applyFont="1">
      <alignment horizontal="left" vertical="center"/>
    </xf>
    <xf borderId="46" fillId="0" fontId="24" numFmtId="0" xfId="0" applyAlignment="1" applyBorder="1" applyFont="1">
      <alignment horizontal="left" vertical="center"/>
    </xf>
    <xf borderId="39" fillId="0" fontId="23" numFmtId="0" xfId="0" applyAlignment="1" applyBorder="1" applyFont="1">
      <alignment horizontal="left" vertical="center"/>
    </xf>
    <xf borderId="40" fillId="0" fontId="23" numFmtId="0" xfId="0" applyAlignment="1" applyBorder="1" applyFont="1">
      <alignment horizontal="left" vertical="center"/>
    </xf>
    <xf borderId="41" fillId="0" fontId="25" numFmtId="0" xfId="0" applyAlignment="1" applyBorder="1" applyFont="1">
      <alignment horizontal="center" vertical="center"/>
    </xf>
    <xf borderId="40" fillId="0" fontId="25" numFmtId="0" xfId="0" applyAlignment="1" applyBorder="1" applyFont="1">
      <alignment horizontal="center" vertical="center"/>
    </xf>
    <xf borderId="47" fillId="11" fontId="5" numFmtId="0" xfId="0" applyAlignment="1" applyBorder="1" applyFill="1" applyFont="1">
      <alignment vertical="center"/>
    </xf>
    <xf borderId="26" fillId="11" fontId="5" numFmtId="0" xfId="0" applyAlignment="1" applyBorder="1" applyFont="1">
      <alignment vertical="center"/>
    </xf>
    <xf borderId="33" fillId="0" fontId="23" numFmtId="0" xfId="0" applyAlignment="1" applyBorder="1" applyFont="1">
      <alignment horizontal="left" vertical="center"/>
    </xf>
    <xf borderId="44" fillId="0" fontId="23" numFmtId="0" xfId="0" applyAlignment="1" applyBorder="1" applyFont="1">
      <alignment horizontal="left" vertical="center"/>
    </xf>
    <xf borderId="45" fillId="0" fontId="25" numFmtId="0" xfId="0" applyAlignment="1" applyBorder="1" applyFont="1">
      <alignment horizontal="center" vertical="center"/>
    </xf>
    <xf borderId="44" fillId="0" fontId="25" numFmtId="0" xfId="0" applyAlignment="1" applyBorder="1" applyFont="1">
      <alignment horizontal="center" vertical="center"/>
    </xf>
    <xf borderId="26" fillId="11" fontId="26" numFmtId="0" xfId="0" applyAlignment="1" applyBorder="1" applyFont="1">
      <alignment horizontal="left" vertical="center"/>
    </xf>
    <xf borderId="45" fillId="0" fontId="3" numFmtId="0" xfId="0" applyBorder="1" applyFont="1"/>
    <xf borderId="48" fillId="0" fontId="3" numFmtId="0" xfId="0" applyBorder="1" applyFont="1"/>
    <xf borderId="49" fillId="0" fontId="24" numFmtId="0" xfId="0" applyAlignment="1" applyBorder="1" applyFont="1">
      <alignment horizontal="left" vertical="center"/>
    </xf>
    <xf borderId="41" fillId="0" fontId="25" numFmtId="0" xfId="0" applyAlignment="1" applyBorder="1" applyFont="1">
      <alignment horizontal="left" vertical="center"/>
    </xf>
    <xf borderId="40" fillId="0" fontId="25" numFmtId="0" xfId="0" applyAlignment="1" applyBorder="1" applyFont="1">
      <alignment horizontal="left" vertical="center"/>
    </xf>
    <xf borderId="50" fillId="0" fontId="5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51" fillId="0" fontId="24" numFmtId="0" xfId="0" applyAlignment="1" applyBorder="1" applyFont="1">
      <alignment vertical="center"/>
    </xf>
    <xf borderId="52" fillId="0" fontId="23" numFmtId="0" xfId="0" applyAlignment="1" applyBorder="1" applyFont="1">
      <alignment horizontal="left" vertical="center"/>
    </xf>
    <xf borderId="53" fillId="0" fontId="23" numFmtId="0" xfId="0" applyAlignment="1" applyBorder="1" applyFont="1">
      <alignment horizontal="left" vertical="center"/>
    </xf>
    <xf borderId="36" fillId="0" fontId="25" numFmtId="0" xfId="0" applyAlignment="1" applyBorder="1" applyFont="1">
      <alignment horizontal="left" vertical="center"/>
    </xf>
    <xf borderId="53" fillId="0" fontId="25" numFmtId="0" xfId="0" applyAlignment="1" applyBorder="1" applyFont="1">
      <alignment horizontal="left" vertical="center"/>
    </xf>
    <xf borderId="51" fillId="0" fontId="5" numFmtId="0" xfId="0" applyAlignment="1" applyBorder="1" applyFont="1">
      <alignment vertical="center"/>
    </xf>
    <xf borderId="39" fillId="0" fontId="27" numFmtId="0" xfId="0" applyAlignment="1" applyBorder="1" applyFont="1">
      <alignment horizontal="center" shrinkToFit="0" vertical="center" wrapText="1"/>
    </xf>
    <xf borderId="54" fillId="0" fontId="27" numFmtId="0" xfId="0" applyAlignment="1" applyBorder="1" applyFont="1">
      <alignment horizontal="center" shrinkToFit="0" vertical="center" wrapText="1"/>
    </xf>
    <xf borderId="42" fillId="0" fontId="27" numFmtId="0" xfId="0" applyAlignment="1" applyBorder="1" applyFont="1">
      <alignment horizontal="center" shrinkToFit="0" vertical="center" wrapText="1"/>
    </xf>
    <xf borderId="55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2" fillId="0" fontId="17" numFmtId="0" xfId="0" applyAlignment="1" applyBorder="1" applyFont="1">
      <alignment vertical="center"/>
    </xf>
    <xf borderId="56" fillId="0" fontId="17" numFmtId="0" xfId="0" applyAlignment="1" applyBorder="1" applyFont="1">
      <alignment vertical="center"/>
    </xf>
    <xf borderId="33" fillId="0" fontId="27" numFmtId="0" xfId="0" applyAlignment="1" applyBorder="1" applyFont="1">
      <alignment horizontal="center" shrinkToFit="0" vertical="center" wrapText="1"/>
    </xf>
    <xf borderId="34" fillId="0" fontId="27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7" fillId="9" fontId="29" numFmtId="0" xfId="0" applyAlignment="1" applyBorder="1" applyFont="1">
      <alignment horizontal="center" vertical="center"/>
    </xf>
    <xf borderId="1" fillId="0" fontId="5" numFmtId="170" xfId="0" applyAlignment="1" applyBorder="1" applyFont="1" applyNumberFormat="1">
      <alignment horizontal="center" vertical="center"/>
    </xf>
    <xf borderId="2" fillId="9" fontId="19" numFmtId="0" xfId="0" applyAlignment="1" applyBorder="1" applyFont="1">
      <alignment horizontal="right" shrinkToFit="0" vertical="center" wrapText="1"/>
    </xf>
    <xf borderId="58" fillId="9" fontId="29" numFmtId="0" xfId="0" applyAlignment="1" applyBorder="1" applyFont="1">
      <alignment horizontal="center" vertical="center"/>
    </xf>
    <xf borderId="1" fillId="0" fontId="5" numFmtId="171" xfId="0" applyAlignment="1" applyBorder="1" applyFont="1" applyNumberFormat="1">
      <alignment horizontal="center" readingOrder="0" vertical="center"/>
    </xf>
    <xf borderId="1" fillId="0" fontId="5" numFmtId="171" xfId="0" applyAlignment="1" applyBorder="1" applyFont="1" applyNumberFormat="1">
      <alignment horizontal="center" vertical="center"/>
    </xf>
    <xf borderId="47" fillId="9" fontId="5" numFmtId="0" xfId="0" applyAlignment="1" applyBorder="1" applyFont="1">
      <alignment vertical="center"/>
    </xf>
    <xf borderId="1" fillId="0" fontId="16" numFmtId="0" xfId="0" applyAlignment="1" applyBorder="1" applyFont="1">
      <alignment shrinkToFit="1" vertical="center" wrapText="0"/>
    </xf>
    <xf borderId="1" fillId="0" fontId="30" numFmtId="0" xfId="0" applyAlignment="1" applyBorder="1" applyFont="1">
      <alignment horizontal="left" vertical="center"/>
    </xf>
    <xf borderId="1" fillId="0" fontId="17" numFmtId="0" xfId="0" applyAlignment="1" applyBorder="1" applyFont="1">
      <alignment vertical="center"/>
    </xf>
    <xf borderId="47" fillId="9" fontId="17" numFmtId="0" xfId="0" applyAlignment="1" applyBorder="1" applyFont="1">
      <alignment vertical="center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horizont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horizontal="center" vertical="top"/>
    </xf>
    <xf borderId="0" fillId="0" fontId="33" numFmtId="0" xfId="0" applyAlignment="1" applyFont="1">
      <alignment vertical="center"/>
    </xf>
    <xf borderId="0" fillId="0" fontId="33" numFmtId="0" xfId="0" applyAlignment="1" applyFont="1">
      <alignment horizontal="right" vertical="center"/>
    </xf>
    <xf borderId="12" fillId="0" fontId="34" numFmtId="172" xfId="0" applyAlignment="1" applyBorder="1" applyFont="1" applyNumberFormat="1">
      <alignment horizontal="center" vertical="center"/>
    </xf>
    <xf borderId="0" fillId="0" fontId="35" numFmtId="0" xfId="0" applyAlignment="1" applyFont="1">
      <alignment horizontal="right"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12" fillId="0" fontId="38" numFmtId="0" xfId="0" applyAlignment="1" applyBorder="1" applyFont="1">
      <alignment vertical="center"/>
    </xf>
    <xf borderId="0" fillId="0" fontId="29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59" fillId="2" fontId="33" numFmtId="0" xfId="0" applyAlignment="1" applyBorder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62" fillId="0" fontId="39" numFmtId="0" xfId="0" applyAlignment="1" applyBorder="1" applyFont="1">
      <alignment horizontal="center" textRotation="89" vertical="center"/>
    </xf>
    <xf borderId="63" fillId="2" fontId="10" numFmtId="0" xfId="0" applyAlignment="1" applyBorder="1" applyFont="1">
      <alignment horizontal="center" vertical="center"/>
    </xf>
    <xf borderId="64" fillId="0" fontId="37" numFmtId="16" xfId="0" applyAlignment="1" applyBorder="1" applyFont="1" applyNumberFormat="1">
      <alignment horizontal="center" vertical="center"/>
    </xf>
    <xf borderId="65" fillId="0" fontId="3" numFmtId="0" xfId="0" applyBorder="1" applyFont="1"/>
    <xf borderId="62" fillId="2" fontId="40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66" fillId="2" fontId="10" numFmtId="0" xfId="0" applyAlignment="1" applyBorder="1" applyFont="1">
      <alignment horizontal="center" vertical="center"/>
    </xf>
    <xf borderId="67" fillId="2" fontId="5" numFmtId="0" xfId="0" applyAlignment="1" applyBorder="1" applyFont="1">
      <alignment horizontal="center"/>
    </xf>
    <xf borderId="68" fillId="2" fontId="5" numFmtId="0" xfId="0" applyAlignment="1" applyBorder="1" applyFont="1">
      <alignment horizontal="center"/>
    </xf>
    <xf borderId="69" fillId="0" fontId="5" numFmtId="0" xfId="0" applyAlignment="1" applyBorder="1" applyFont="1">
      <alignment vertical="center"/>
    </xf>
    <xf borderId="70" fillId="0" fontId="5" numFmtId="0" xfId="0" applyAlignment="1" applyBorder="1" applyFont="1">
      <alignment vertical="center"/>
    </xf>
    <xf borderId="71" fillId="0" fontId="5" numFmtId="0" xfId="0" applyAlignment="1" applyBorder="1" applyFont="1">
      <alignment vertical="center"/>
    </xf>
    <xf borderId="72" fillId="0" fontId="17" numFmtId="0" xfId="0" applyAlignment="1" applyBorder="1" applyFont="1">
      <alignment vertical="center"/>
    </xf>
    <xf borderId="73" fillId="0" fontId="17" numFmtId="0" xfId="0" applyAlignment="1" applyBorder="1" applyFont="1">
      <alignment vertical="center"/>
    </xf>
    <xf borderId="74" fillId="0" fontId="17" numFmtId="0" xfId="0" applyAlignment="1" applyBorder="1" applyFont="1">
      <alignment vertical="center"/>
    </xf>
    <xf borderId="72" fillId="0" fontId="5" numFmtId="0" xfId="0" applyAlignment="1" applyBorder="1" applyFont="1">
      <alignment vertical="center"/>
    </xf>
    <xf borderId="73" fillId="0" fontId="5" numFmtId="0" xfId="0" applyAlignment="1" applyBorder="1" applyFont="1">
      <alignment vertical="center"/>
    </xf>
    <xf borderId="74" fillId="0" fontId="5" numFmtId="0" xfId="0" applyAlignment="1" applyBorder="1" applyFont="1">
      <alignment vertical="center"/>
    </xf>
    <xf borderId="47" fillId="12" fontId="5" numFmtId="0" xfId="0" applyAlignment="1" applyBorder="1" applyFill="1" applyFont="1">
      <alignment vertical="center"/>
    </xf>
    <xf borderId="47" fillId="12" fontId="41" numFmtId="0" xfId="0" applyAlignment="1" applyBorder="1" applyFont="1">
      <alignment vertical="center"/>
    </xf>
    <xf borderId="0" fillId="0" fontId="4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75" fillId="0" fontId="16" numFmtId="0" xfId="0" applyAlignment="1" applyBorder="1" applyFont="1">
      <alignment shrinkToFit="0" vertical="center" wrapText="1"/>
    </xf>
    <xf borderId="76" fillId="0" fontId="5" numFmtId="0" xfId="0" applyAlignment="1" applyBorder="1" applyFont="1">
      <alignment horizontal="center" shrinkToFit="0" vertical="center" wrapText="1"/>
    </xf>
    <xf borderId="76" fillId="0" fontId="5" numFmtId="0" xfId="0" applyAlignment="1" applyBorder="1" applyFont="1">
      <alignment horizontal="center" vertical="center"/>
    </xf>
    <xf borderId="77" fillId="0" fontId="5" numFmtId="0" xfId="0" applyAlignment="1" applyBorder="1" applyFont="1">
      <alignment horizontal="center" vertical="center"/>
    </xf>
    <xf borderId="78" fillId="0" fontId="5" numFmtId="0" xfId="0" applyAlignment="1" applyBorder="1" applyFont="1">
      <alignment horizontal="center" shrinkToFit="0" vertical="center" wrapText="1"/>
    </xf>
    <xf borderId="79" fillId="0" fontId="5" numFmtId="0" xfId="0" applyAlignment="1" applyBorder="1" applyFont="1">
      <alignment horizontal="left" vertical="center"/>
    </xf>
    <xf borderId="79" fillId="0" fontId="5" numFmtId="0" xfId="0" applyAlignment="1" applyBorder="1" applyFont="1">
      <alignment horizontal="center" vertical="center"/>
    </xf>
    <xf borderId="80" fillId="0" fontId="5" numFmtId="0" xfId="0" applyAlignment="1" applyBorder="1" applyFont="1">
      <alignment horizontal="center" vertical="center"/>
    </xf>
    <xf borderId="62" fillId="2" fontId="10" numFmtId="0" xfId="0" applyAlignment="1" applyBorder="1" applyFont="1">
      <alignment horizontal="center" vertical="center"/>
    </xf>
    <xf borderId="76" fillId="0" fontId="3" numFmtId="0" xfId="0" applyBorder="1" applyFont="1"/>
    <xf borderId="77" fillId="0" fontId="3" numFmtId="0" xfId="0" applyBorder="1" applyFont="1"/>
    <xf borderId="1" fillId="13" fontId="5" numFmtId="0" xfId="0" applyAlignment="1" applyBorder="1" applyFill="1" applyFont="1">
      <alignment horizontal="center" vertical="top"/>
    </xf>
    <xf borderId="1" fillId="13" fontId="7" numFmtId="0" xfId="0" applyAlignment="1" applyBorder="1" applyFont="1">
      <alignment horizontal="center" shrinkToFit="1" vertical="top" wrapText="0"/>
    </xf>
    <xf borderId="1" fillId="13" fontId="8" numFmtId="0" xfId="0" applyAlignment="1" applyBorder="1" applyFont="1">
      <alignment horizontal="center" vertical="top"/>
    </xf>
    <xf borderId="1" fillId="13" fontId="9" numFmtId="15" xfId="0" applyAlignment="1" applyBorder="1" applyFont="1" applyNumberFormat="1">
      <alignment horizontal="center" vertical="top"/>
    </xf>
    <xf borderId="1" fillId="13" fontId="9" numFmtId="0" xfId="0" applyAlignment="1" applyBorder="1" applyFont="1">
      <alignment horizontal="center" vertical="top"/>
    </xf>
    <xf borderId="1" fillId="14" fontId="7" numFmtId="0" xfId="0" applyAlignment="1" applyBorder="1" applyFill="1" applyFont="1">
      <alignment shrinkToFit="1" vertical="center" wrapText="0"/>
    </xf>
    <xf borderId="1" fillId="14" fontId="5" numFmtId="0" xfId="0" applyAlignment="1" applyBorder="1" applyFont="1">
      <alignment horizontal="center" vertical="center"/>
    </xf>
    <xf borderId="1" fillId="14" fontId="5" numFmtId="15" xfId="0" applyAlignment="1" applyBorder="1" applyFont="1" applyNumberFormat="1">
      <alignment horizontal="center" vertical="center"/>
    </xf>
    <xf borderId="1" fillId="14" fontId="5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15" fontId="5" numFmtId="0" xfId="0" applyAlignment="1" applyBorder="1" applyFill="1" applyFont="1">
      <alignment horizontal="center" shrinkToFit="0" vertical="top" wrapText="1"/>
    </xf>
    <xf borderId="1" fillId="15" fontId="5" numFmtId="0" xfId="0" applyAlignment="1" applyBorder="1" applyFont="1">
      <alignment horizontal="center" vertical="top"/>
    </xf>
    <xf borderId="1" fillId="15" fontId="8" numFmtId="0" xfId="0" applyAlignment="1" applyBorder="1" applyFont="1">
      <alignment horizontal="center" shrinkToFit="0" vertical="top" wrapText="1"/>
    </xf>
    <xf borderId="1" fillId="15" fontId="9" numFmtId="15" xfId="0" applyAlignment="1" applyBorder="1" applyFont="1" applyNumberFormat="1">
      <alignment horizontal="center" shrinkToFit="0" vertical="top" wrapText="1"/>
    </xf>
    <xf borderId="1" fillId="15" fontId="9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7" xfId="0" applyAlignment="1" applyBorder="1" applyFont="1" applyNumberFormat="1">
      <alignment horizontal="center" shrinkToFit="0" vertical="center" wrapText="1"/>
    </xf>
    <xf borderId="0" fillId="0" fontId="5" numFmtId="173" xfId="0" applyAlignment="1" applyFont="1" applyNumberFormat="1">
      <alignment shrinkToFit="0" vertical="center" wrapText="1"/>
    </xf>
    <xf borderId="0" fillId="0" fontId="5" numFmtId="15" xfId="0" applyAlignment="1" applyFont="1" applyNumberFormat="1">
      <alignment shrinkToFit="0" vertical="center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textRotation="255"/>
    </xf>
    <xf borderId="2" fillId="0" fontId="5" numFmtId="0" xfId="0" applyAlignment="1" applyBorder="1" applyFont="1">
      <alignment horizontal="center" vertical="center"/>
    </xf>
    <xf borderId="0" fillId="0" fontId="7" numFmtId="0" xfId="0" applyAlignment="1" applyFont="1">
      <alignment shrinkToFit="1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5" xfId="0" applyAlignment="1" applyFont="1" applyNumberFormat="1">
      <alignment horizontal="center" vertical="center"/>
    </xf>
    <xf borderId="0" fillId="0" fontId="5" numFmtId="0" xfId="0" applyAlignment="1" applyFont="1">
      <alignment shrinkToFit="0" wrapText="1"/>
    </xf>
    <xf borderId="1" fillId="16" fontId="42" numFmtId="0" xfId="0" applyAlignment="1" applyBorder="1" applyFill="1" applyFont="1">
      <alignment horizontal="left" vertical="center"/>
    </xf>
    <xf borderId="81" fillId="17" fontId="42" numFmtId="0" xfId="0" applyAlignment="1" applyBorder="1" applyFill="1" applyFont="1">
      <alignment horizontal="center" vertical="center"/>
    </xf>
    <xf borderId="47" fillId="17" fontId="42" numFmtId="0" xfId="0" applyAlignment="1" applyBorder="1" applyFont="1">
      <alignment horizontal="center" vertical="center"/>
    </xf>
    <xf borderId="1" fillId="18" fontId="43" numFmtId="0" xfId="0" applyAlignment="1" applyBorder="1" applyFill="1" applyFont="1">
      <alignment horizontal="left" vertical="center"/>
    </xf>
    <xf borderId="1" fillId="4" fontId="44" numFmtId="0" xfId="0" applyAlignment="1" applyBorder="1" applyFont="1">
      <alignment horizontal="left" vertical="center"/>
    </xf>
    <xf borderId="1" fillId="18" fontId="42" numFmtId="0" xfId="0" applyAlignment="1" applyBorder="1" applyFont="1">
      <alignment horizontal="left" vertical="center"/>
    </xf>
    <xf borderId="81" fillId="17" fontId="44" numFmtId="0" xfId="0" applyAlignment="1" applyBorder="1" applyFont="1">
      <alignment horizontal="center" vertical="center"/>
    </xf>
    <xf borderId="47" fillId="17" fontId="44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1" vertical="center" wrapText="0"/>
    </xf>
  </cellXfs>
  <cellStyles count="1">
    <cellStyle xfId="0" name="Normal" builtinId="0"/>
  </cellStyles>
  <dxfs count="11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>
        <b/>
        <color theme="0"/>
      </font>
      <fill>
        <patternFill patternType="solid">
          <fgColor rgb="FF8DB3E2"/>
          <bgColor rgb="FF8DB3E2"/>
        </patternFill>
      </fill>
      <border>
        <left style="thin">
          <color rgb="FF366092"/>
        </left>
        <right style="thin">
          <color rgb="FF366092"/>
        </right>
        <top style="thin">
          <color rgb="FF366092"/>
        </top>
        <bottom style="thin">
          <color rgb="FF366092"/>
        </bottom>
      </border>
    </dxf>
    <dxf>
      <font>
        <b/>
        <color theme="0"/>
      </font>
      <fill>
        <patternFill patternType="solid">
          <fgColor rgb="FFFF99CC"/>
          <bgColor rgb="FFFF99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Revisión-style">
      <tableStyleElement dxfId="8" type="headerRow"/>
      <tableStyleElement dxfId="9" type="firstRowStripe"/>
      <tableStyleElement dxfId="10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6905625" cy="447675"/>
    <xdr:sp>
      <xdr:nvSpPr>
        <xdr:cNvPr id="3" name="Shape 3"/>
        <xdr:cNvSpPr/>
      </xdr:nvSpPr>
      <xdr:spPr>
        <a:xfrm>
          <a:off x="1897950" y="3560925"/>
          <a:ext cx="6896100" cy="438150"/>
        </a:xfrm>
        <a:prstGeom prst="rect">
          <a:avLst/>
        </a:prstGeom>
        <a:solidFill>
          <a:srgbClr val="B6DDE7"/>
        </a:solidFill>
        <a:ln cap="flat" cmpd="sng" w="9525">
          <a:solidFill>
            <a:schemeClr val="accent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2060"/>
            </a:buClr>
            <a:buSzPts val="4400"/>
            <a:buFont typeface="Arial"/>
            <a:buNone/>
          </a:pPr>
          <a:r>
            <a:rPr b="1" lang="en-US" sz="4400" cap="non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Grupo</a:t>
          </a:r>
          <a:r>
            <a:rPr b="1" lang="en-US" sz="4000" cap="non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   de   Obreros de H. P</a:t>
          </a:r>
          <a:r>
            <a:rPr b="1" lang="en-US" sz="3600" cap="none">
              <a:solidFill>
                <a:srgbClr val="002060"/>
              </a:solidFill>
              <a:latin typeface="Arial"/>
              <a:ea typeface="Arial"/>
              <a:cs typeface="Arial"/>
              <a:sym typeface="Arial"/>
            </a:rPr>
            <a:t>.</a:t>
          </a:r>
          <a:endParaRPr b="1" sz="3600" cap="none">
            <a:solidFill>
              <a:srgbClr val="00206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00150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0</xdr:row>
      <xdr:rowOff>0</xdr:rowOff>
    </xdr:from>
    <xdr:ext cx="971550" cy="628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180975</xdr:rowOff>
    </xdr:from>
    <xdr:ext cx="9620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0</xdr:row>
      <xdr:rowOff>0</xdr:rowOff>
    </xdr:from>
    <xdr:ext cx="1343025" cy="971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1:M20" displayName="Table_1" name="Table_1" id="1">
  <tableColumns count="11">
    <tableColumn name="nombres" id="1"/>
    <tableColumn name="Columna1" id="2"/>
    <tableColumn name="E.C" id="3"/>
    <tableColumn name="Dia" id="4"/>
    <tableColumn name="Columna2" id="5"/>
    <tableColumn name="Columna3" id="6"/>
    <tableColumn name="Columna4" id="7"/>
    <tableColumn name="EDAD" id="8"/>
    <tableColumn name="TEL" id="9"/>
    <tableColumn name="DIRECCION" id="10"/>
    <tableColumn name="Razones que se conocen en día de guardia" id="11"/>
  </tableColumns>
  <tableStyleInfo name="Revis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57"/>
    <col customWidth="1" min="3" max="3" width="29.14"/>
    <col customWidth="1" min="4" max="4" width="30.57"/>
    <col customWidth="1" min="5" max="6" width="11.43"/>
    <col customWidth="1" min="7" max="8" width="5.71"/>
    <col customWidth="1" min="9" max="9" width="7.43"/>
    <col customWidth="1" min="10" max="10" width="32.57"/>
    <col customWidth="1" min="11" max="12" width="11.43"/>
    <col customWidth="1" min="13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4" t="s">
        <v>4</v>
      </c>
      <c r="H1" s="5"/>
      <c r="I1" s="6" t="s">
        <v>5</v>
      </c>
      <c r="J1" s="6" t="s">
        <v>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7</v>
      </c>
      <c r="B2" s="8" t="s">
        <v>8</v>
      </c>
      <c r="C2" s="8" t="s">
        <v>9</v>
      </c>
      <c r="D2" s="8" t="s">
        <v>9</v>
      </c>
      <c r="E2" s="3"/>
      <c r="F2" s="3"/>
      <c r="G2" s="9" t="s">
        <v>10</v>
      </c>
      <c r="H2" s="9" t="s">
        <v>11</v>
      </c>
      <c r="I2" s="10"/>
      <c r="J2" s="1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12</v>
      </c>
      <c r="B3" s="8" t="s">
        <v>13</v>
      </c>
      <c r="C3" s="8" t="s">
        <v>14</v>
      </c>
      <c r="D3" s="8" t="s">
        <v>15</v>
      </c>
      <c r="E3" s="3"/>
      <c r="F3" s="3"/>
      <c r="G3" s="7">
        <v>45.0</v>
      </c>
      <c r="H3" s="7">
        <v>120.0</v>
      </c>
      <c r="I3" s="7" t="s">
        <v>16</v>
      </c>
      <c r="J3" s="8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18</v>
      </c>
      <c r="B4" s="8" t="s">
        <v>19</v>
      </c>
      <c r="C4" s="8" t="s">
        <v>20</v>
      </c>
      <c r="D4" s="8" t="s">
        <v>21</v>
      </c>
      <c r="E4" s="3"/>
      <c r="F4" s="3"/>
      <c r="G4" s="7">
        <v>30.0</v>
      </c>
      <c r="H4" s="7">
        <f t="shared" ref="H4:H5" si="1">G3-1</f>
        <v>44</v>
      </c>
      <c r="I4" s="7" t="s">
        <v>22</v>
      </c>
      <c r="J4" s="8" t="s">
        <v>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24</v>
      </c>
      <c r="B5" s="8" t="s">
        <v>25</v>
      </c>
      <c r="C5" s="8" t="s">
        <v>26</v>
      </c>
      <c r="D5" s="8" t="s">
        <v>27</v>
      </c>
      <c r="E5" s="3"/>
      <c r="F5" s="3"/>
      <c r="G5" s="7">
        <v>18.0</v>
      </c>
      <c r="H5" s="7">
        <f t="shared" si="1"/>
        <v>29</v>
      </c>
      <c r="I5" s="7" t="s">
        <v>28</v>
      </c>
      <c r="J5" s="8" t="s">
        <v>29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30</v>
      </c>
      <c r="B6" s="8" t="s">
        <v>31</v>
      </c>
      <c r="C6" s="8" t="s">
        <v>32</v>
      </c>
      <c r="D6" s="8" t="s">
        <v>33</v>
      </c>
      <c r="E6" s="3"/>
      <c r="F6" s="3"/>
      <c r="G6" s="7">
        <f>G5</f>
        <v>18</v>
      </c>
      <c r="H6" s="7">
        <f>H3</f>
        <v>120</v>
      </c>
      <c r="I6" s="7" t="s">
        <v>34</v>
      </c>
      <c r="J6" s="8" t="s">
        <v>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36</v>
      </c>
      <c r="B7" s="8" t="s">
        <v>37</v>
      </c>
      <c r="C7" s="8" t="s">
        <v>38</v>
      </c>
      <c r="D7" s="8" t="s">
        <v>39</v>
      </c>
      <c r="E7" s="3"/>
      <c r="F7" s="3"/>
      <c r="G7" s="7">
        <v>14.0</v>
      </c>
      <c r="H7" s="7">
        <f>H3</f>
        <v>120</v>
      </c>
      <c r="I7" s="7" t="s">
        <v>40</v>
      </c>
      <c r="J7" s="8" t="s">
        <v>41</v>
      </c>
      <c r="K7" s="3"/>
      <c r="L7" s="3" t="s">
        <v>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43</v>
      </c>
      <c r="B8" s="8" t="s">
        <v>44</v>
      </c>
      <c r="C8" s="8" t="s">
        <v>45</v>
      </c>
      <c r="D8" s="8" t="s">
        <v>46</v>
      </c>
      <c r="E8" s="3"/>
      <c r="F8" s="3"/>
      <c r="G8" s="7">
        <v>0.0</v>
      </c>
      <c r="H8" s="7">
        <f>G7-1</f>
        <v>13</v>
      </c>
      <c r="I8" s="7" t="s">
        <v>47</v>
      </c>
      <c r="J8" s="8" t="s">
        <v>48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49</v>
      </c>
      <c r="B9" s="8" t="s">
        <v>50</v>
      </c>
      <c r="C9" s="8" t="s">
        <v>51</v>
      </c>
      <c r="D9" s="8" t="s">
        <v>52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G1:H1"/>
    <mergeCell ref="I1:I2"/>
    <mergeCell ref="J1:J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3" width="10.71"/>
    <col customWidth="1" min="4" max="4" width="10.57"/>
    <col customWidth="1" min="5" max="6" width="10.71"/>
    <col customWidth="1" min="7" max="7" width="18.14"/>
    <col customWidth="1" min="8" max="8" width="5.86"/>
    <col customWidth="1" min="9" max="12" width="10.71"/>
    <col customWidth="1" min="13" max="13" width="23.71"/>
    <col customWidth="1" min="14" max="14" width="10.71"/>
    <col customWidth="1" min="15" max="15" width="17.57"/>
    <col customWidth="1" min="16" max="26" width="10.71"/>
  </cols>
  <sheetData>
    <row r="1">
      <c r="A1" s="11" t="s">
        <v>53</v>
      </c>
    </row>
    <row r="3">
      <c r="A3" s="12" t="s">
        <v>54</v>
      </c>
      <c r="B3" s="13">
        <v>424.0</v>
      </c>
      <c r="H3" s="14" t="s">
        <v>16</v>
      </c>
      <c r="I3" s="15">
        <f>COUNTIFS('Lista General'!$D$4:$D$723,LEFT(I$5,1),'Lista General'!$E$4:$E$723,$H3)</f>
        <v>43</v>
      </c>
      <c r="J3" s="15">
        <f>COUNTIFS('Lista General'!$D:$D,LEFT(J$5,1),'Lista General'!$E:$E,$H3)</f>
        <v>49</v>
      </c>
    </row>
    <row r="4">
      <c r="A4" s="16" t="s">
        <v>55</v>
      </c>
      <c r="B4" s="17"/>
      <c r="D4" s="16" t="s">
        <v>56</v>
      </c>
      <c r="E4" s="17"/>
      <c r="G4" s="18" t="s">
        <v>57</v>
      </c>
      <c r="H4" s="19"/>
      <c r="I4" s="19"/>
      <c r="J4" s="19"/>
      <c r="K4" s="20"/>
      <c r="M4" s="16" t="s">
        <v>58</v>
      </c>
      <c r="N4" s="21"/>
      <c r="O4" s="21"/>
      <c r="P4" s="17"/>
    </row>
    <row r="5">
      <c r="A5" s="12" t="s">
        <v>59</v>
      </c>
      <c r="B5" s="15">
        <f>B3+N11-P11</f>
        <v>389</v>
      </c>
      <c r="D5" s="12" t="s">
        <v>60</v>
      </c>
      <c r="E5" s="15"/>
      <c r="G5" s="22" t="s">
        <v>6</v>
      </c>
      <c r="H5" s="22" t="s">
        <v>5</v>
      </c>
      <c r="I5" s="23" t="s">
        <v>61</v>
      </c>
      <c r="J5" s="23" t="s">
        <v>62</v>
      </c>
      <c r="K5" s="24" t="s">
        <v>63</v>
      </c>
      <c r="M5" s="23" t="s">
        <v>64</v>
      </c>
      <c r="N5" s="25"/>
      <c r="O5" s="23" t="s">
        <v>65</v>
      </c>
      <c r="P5" s="25"/>
    </row>
    <row r="6">
      <c r="A6" s="12" t="s">
        <v>66</v>
      </c>
      <c r="B6" s="15"/>
      <c r="D6" s="12" t="s">
        <v>67</v>
      </c>
      <c r="E6" s="15"/>
      <c r="G6" s="12" t="s">
        <v>17</v>
      </c>
      <c r="H6" s="13" t="s">
        <v>16</v>
      </c>
      <c r="I6" s="15">
        <v>56.0</v>
      </c>
      <c r="J6" s="15">
        <v>52.0</v>
      </c>
      <c r="K6" s="15">
        <f t="shared" ref="K6:K10" si="1">SUM(I6:J6)</f>
        <v>108</v>
      </c>
      <c r="M6" s="12" t="s">
        <v>68</v>
      </c>
      <c r="N6" s="15"/>
      <c r="O6" s="26" t="s">
        <v>69</v>
      </c>
      <c r="P6" s="15">
        <v>35.0</v>
      </c>
    </row>
    <row r="7">
      <c r="A7" s="12" t="s">
        <v>70</v>
      </c>
      <c r="B7" s="15"/>
      <c r="D7" s="12" t="s">
        <v>71</v>
      </c>
      <c r="E7" s="15"/>
      <c r="G7" s="12" t="s">
        <v>23</v>
      </c>
      <c r="H7" s="13" t="s">
        <v>22</v>
      </c>
      <c r="I7" s="15">
        <v>38.0</v>
      </c>
      <c r="J7" s="15">
        <v>26.0</v>
      </c>
      <c r="K7" s="15">
        <f t="shared" si="1"/>
        <v>64</v>
      </c>
      <c r="M7" s="12" t="s">
        <v>72</v>
      </c>
      <c r="N7" s="15">
        <v>2.0</v>
      </c>
      <c r="O7" s="26" t="s">
        <v>73</v>
      </c>
      <c r="P7" s="15"/>
    </row>
    <row r="8">
      <c r="A8" s="12" t="s">
        <v>74</v>
      </c>
      <c r="B8" s="15"/>
      <c r="D8" s="12" t="s">
        <v>75</v>
      </c>
      <c r="E8" s="15"/>
      <c r="G8" s="12" t="s">
        <v>76</v>
      </c>
      <c r="H8" s="13" t="s">
        <v>28</v>
      </c>
      <c r="I8" s="15">
        <v>11.0</v>
      </c>
      <c r="J8" s="15">
        <v>13.0</v>
      </c>
      <c r="K8" s="15">
        <f t="shared" si="1"/>
        <v>24</v>
      </c>
      <c r="M8" s="12" t="s">
        <v>77</v>
      </c>
      <c r="N8" s="15"/>
      <c r="O8" s="26" t="s">
        <v>78</v>
      </c>
      <c r="P8" s="15">
        <v>2.0</v>
      </c>
    </row>
    <row r="9">
      <c r="A9" s="27" t="s">
        <v>79</v>
      </c>
      <c r="B9" s="28"/>
      <c r="D9" s="12" t="s">
        <v>80</v>
      </c>
      <c r="E9" s="15"/>
      <c r="G9" s="12" t="s">
        <v>35</v>
      </c>
      <c r="H9" s="13" t="s">
        <v>34</v>
      </c>
      <c r="I9" s="15">
        <v>80.0</v>
      </c>
      <c r="J9" s="15">
        <v>16.0</v>
      </c>
      <c r="K9" s="15">
        <f t="shared" si="1"/>
        <v>96</v>
      </c>
      <c r="M9" s="12" t="s">
        <v>81</v>
      </c>
      <c r="N9" s="15"/>
      <c r="O9" s="26" t="s">
        <v>82</v>
      </c>
      <c r="P9" s="15"/>
    </row>
    <row r="10">
      <c r="A10" s="11"/>
      <c r="B10" s="13"/>
      <c r="D10" s="12" t="s">
        <v>83</v>
      </c>
      <c r="E10" s="15"/>
      <c r="G10" s="12" t="s">
        <v>84</v>
      </c>
      <c r="H10" s="29" t="s">
        <v>40</v>
      </c>
      <c r="I10" s="15">
        <v>50.0</v>
      </c>
      <c r="J10" s="15">
        <v>47.0</v>
      </c>
      <c r="K10" s="15">
        <f t="shared" si="1"/>
        <v>97</v>
      </c>
      <c r="M10" s="12" t="s">
        <v>85</v>
      </c>
      <c r="N10" s="15"/>
      <c r="O10" s="26"/>
      <c r="P10" s="15"/>
    </row>
    <row r="11">
      <c r="A11" s="16" t="s">
        <v>86</v>
      </c>
      <c r="B11" s="17"/>
      <c r="D11" s="27" t="s">
        <v>63</v>
      </c>
      <c r="E11" s="28">
        <f>SUM(E5:E10)</f>
        <v>0</v>
      </c>
      <c r="G11" s="27" t="s">
        <v>63</v>
      </c>
      <c r="H11" s="11"/>
      <c r="I11" s="28">
        <f t="shared" ref="I11:K11" si="2">SUM(I6:I10)</f>
        <v>235</v>
      </c>
      <c r="J11" s="28">
        <f t="shared" si="2"/>
        <v>154</v>
      </c>
      <c r="K11" s="28">
        <f t="shared" si="2"/>
        <v>389</v>
      </c>
      <c r="M11" s="27" t="s">
        <v>63</v>
      </c>
      <c r="N11" s="28">
        <f>SUM(N6:N10)</f>
        <v>2</v>
      </c>
      <c r="O11" s="28"/>
      <c r="P11" s="28">
        <f>SUM(P6:P10)</f>
        <v>37</v>
      </c>
    </row>
    <row r="12">
      <c r="A12" s="12" t="s">
        <v>87</v>
      </c>
      <c r="B12" s="15">
        <v>1.0</v>
      </c>
      <c r="G12" s="12" t="s">
        <v>88</v>
      </c>
      <c r="H12" s="13" t="s">
        <v>47</v>
      </c>
      <c r="I12" s="15">
        <f>COUNTIFS('Lista General'!$D:$D,LEFT(I$5,1),'Lista General'!$E:$E,$H12)</f>
        <v>0</v>
      </c>
      <c r="J12" s="15">
        <f>COUNTIFS('Lista General'!$D:$D,LEFT(J$5,1),'Lista General'!$E:$E,$H12)</f>
        <v>0</v>
      </c>
      <c r="K12" s="15">
        <f>SUM(I12:J12)</f>
        <v>0</v>
      </c>
    </row>
    <row r="13">
      <c r="A13" s="12" t="s">
        <v>89</v>
      </c>
      <c r="B13" s="15">
        <v>2.0</v>
      </c>
      <c r="G13" s="27" t="s">
        <v>90</v>
      </c>
      <c r="H13" s="27"/>
      <c r="I13" s="28">
        <f t="shared" ref="I13:K13" si="3">SUM(I11:I12)</f>
        <v>235</v>
      </c>
      <c r="J13" s="28">
        <f t="shared" si="3"/>
        <v>154</v>
      </c>
      <c r="K13" s="28">
        <f t="shared" si="3"/>
        <v>389</v>
      </c>
    </row>
    <row r="14">
      <c r="A14" s="12" t="s">
        <v>91</v>
      </c>
      <c r="B14" s="15"/>
    </row>
    <row r="15">
      <c r="A15" s="27" t="s">
        <v>63</v>
      </c>
      <c r="B15" s="28">
        <f>SUM(B12:B14)</f>
        <v>3</v>
      </c>
    </row>
    <row r="16">
      <c r="G16" s="30" t="str">
        <f>"Hnas.: "&amp;SUM(G17:G23)</f>
        <v>Hnas.: 247</v>
      </c>
      <c r="H16" s="30">
        <f>SUM(G17:G23,I17:I23)</f>
        <v>386</v>
      </c>
      <c r="I16" s="30" t="str">
        <f>"Hnos.: "&amp;SUM(I17:I23)</f>
        <v>Hnos.: 139</v>
      </c>
    </row>
    <row r="17">
      <c r="A17" s="16" t="s">
        <v>92</v>
      </c>
      <c r="B17" s="17"/>
      <c r="G17" s="13">
        <v>28.0</v>
      </c>
      <c r="H17" s="30" t="s">
        <v>93</v>
      </c>
      <c r="I17" s="13">
        <v>27.0</v>
      </c>
    </row>
    <row r="18">
      <c r="A18" s="12" t="s">
        <v>94</v>
      </c>
      <c r="B18" s="15"/>
      <c r="G18" s="13">
        <v>36.0</v>
      </c>
      <c r="H18" s="30" t="s">
        <v>95</v>
      </c>
      <c r="I18" s="13">
        <v>18.0</v>
      </c>
    </row>
    <row r="19">
      <c r="A19" s="12" t="s">
        <v>96</v>
      </c>
      <c r="B19" s="15"/>
      <c r="G19" s="13">
        <v>24.0</v>
      </c>
      <c r="H19" s="30" t="s">
        <v>97</v>
      </c>
      <c r="I19" s="13">
        <v>16.0</v>
      </c>
    </row>
    <row r="20">
      <c r="A20" s="27" t="s">
        <v>63</v>
      </c>
      <c r="B20" s="28">
        <f>SUM(B18:B19)</f>
        <v>0</v>
      </c>
      <c r="G20" s="13">
        <v>31.0</v>
      </c>
      <c r="H20" s="30" t="s">
        <v>98</v>
      </c>
      <c r="I20" s="13">
        <v>26.0</v>
      </c>
    </row>
    <row r="21" ht="15.75" customHeight="1">
      <c r="G21" s="13">
        <v>31.0</v>
      </c>
      <c r="H21" s="30" t="s">
        <v>99</v>
      </c>
      <c r="I21" s="13">
        <v>20.0</v>
      </c>
    </row>
    <row r="22" ht="15.75" customHeight="1">
      <c r="G22" s="13">
        <v>61.0</v>
      </c>
      <c r="H22" s="30" t="s">
        <v>100</v>
      </c>
      <c r="I22" s="13">
        <v>32.0</v>
      </c>
    </row>
    <row r="23" ht="15.75" customHeight="1">
      <c r="G23" s="13">
        <v>36.0</v>
      </c>
      <c r="H23" s="30" t="s">
        <v>101</v>
      </c>
      <c r="I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4.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B4"/>
    <mergeCell ref="D4:E4"/>
    <mergeCell ref="G4:K4"/>
    <mergeCell ref="M4:P4"/>
    <mergeCell ref="M5:N5"/>
    <mergeCell ref="O5:P5"/>
    <mergeCell ref="A11:B11"/>
    <mergeCell ref="A17:B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10.14"/>
    <col customWidth="1" min="3" max="3" width="47.0"/>
    <col customWidth="1" min="4" max="4" width="6.86"/>
    <col customWidth="1" min="5" max="5" width="8.86"/>
    <col customWidth="1" min="6" max="6" width="8.29"/>
    <col customWidth="1" min="7" max="7" width="10.71"/>
    <col customWidth="1" min="8" max="8" width="9.14"/>
    <col customWidth="1" min="9" max="9" width="10.29"/>
    <col customWidth="1" min="10" max="10" width="9.29"/>
    <col customWidth="1" min="11" max="11" width="21.86"/>
    <col customWidth="1" min="12" max="12" width="69.71"/>
    <col customWidth="1" min="13" max="13" width="10.29"/>
    <col customWidth="1" min="14" max="14" width="70.57"/>
    <col customWidth="1" min="15" max="26" width="10.71"/>
  </cols>
  <sheetData>
    <row r="1" ht="18.75" customHeight="1">
      <c r="A1" s="31"/>
      <c r="B1" s="32"/>
      <c r="C1" s="33" t="str">
        <f>"Total: "&amp;SUBTOTAL(3,$C$4:$C$723)</f>
        <v>Total: 354</v>
      </c>
      <c r="D1" s="31"/>
      <c r="E1" s="31"/>
      <c r="F1" s="31"/>
      <c r="G1" s="31"/>
      <c r="H1" s="31"/>
      <c r="I1" s="34"/>
      <c r="J1" s="31" t="s">
        <v>102</v>
      </c>
      <c r="K1" s="31"/>
      <c r="L1" s="35"/>
      <c r="M1" s="34"/>
      <c r="N1" s="35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8.75" customHeight="1">
      <c r="A2" s="31"/>
      <c r="B2" s="31"/>
      <c r="C2" s="36"/>
      <c r="D2" s="31"/>
      <c r="E2" s="31"/>
      <c r="F2" s="31"/>
      <c r="G2" s="31"/>
      <c r="H2" s="31"/>
      <c r="I2" s="34"/>
      <c r="J2" s="31"/>
      <c r="K2" s="31"/>
      <c r="L2" s="35"/>
      <c r="M2" s="34"/>
      <c r="N2" s="3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37" t="s">
        <v>103</v>
      </c>
      <c r="B3" s="37" t="s">
        <v>104</v>
      </c>
      <c r="C3" s="38" t="s">
        <v>105</v>
      </c>
      <c r="D3" s="37" t="s">
        <v>106</v>
      </c>
      <c r="E3" s="39"/>
      <c r="F3" s="40" t="s">
        <v>107</v>
      </c>
      <c r="G3" s="40" t="s">
        <v>108</v>
      </c>
      <c r="H3" s="40" t="s">
        <v>109</v>
      </c>
      <c r="I3" s="41" t="s">
        <v>110</v>
      </c>
      <c r="J3" s="42" t="s">
        <v>111</v>
      </c>
      <c r="K3" s="42" t="s">
        <v>112</v>
      </c>
      <c r="L3" s="42" t="s">
        <v>113</v>
      </c>
      <c r="M3" s="41" t="s">
        <v>114</v>
      </c>
      <c r="N3" s="40" t="s">
        <v>115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8.75" customHeight="1">
      <c r="A4" s="43">
        <f t="shared" ref="A4:A314" si="1">IF(D4="","",COUNTA($D$4:$D4))</f>
        <v>1</v>
      </c>
      <c r="B4" s="43" t="str">
        <f t="shared" ref="B4:B169" si="2">IF(C4="","",D4&amp;F4&amp;COUNTIFS($D$4:D4,D4,$F$4:F4,F4))</f>
        <v>HS1</v>
      </c>
      <c r="C4" s="44" t="s">
        <v>116</v>
      </c>
      <c r="D4" s="43" t="s">
        <v>117</v>
      </c>
      <c r="E4" s="43" t="s">
        <v>40</v>
      </c>
      <c r="F4" s="43" t="s">
        <v>43</v>
      </c>
      <c r="G4" s="45" t="s">
        <v>118</v>
      </c>
      <c r="H4" s="43" t="s">
        <v>118</v>
      </c>
      <c r="I4" s="46">
        <v>37481.0</v>
      </c>
      <c r="J4" s="43">
        <f t="shared" ref="J4:J113" si="3">IF(C4="","",DATEDIF(I4,TODAY(),"Y"))</f>
        <v>23</v>
      </c>
      <c r="K4" s="43">
        <v>3.32658721E9</v>
      </c>
      <c r="L4" s="47" t="s">
        <v>119</v>
      </c>
      <c r="M4" s="46">
        <v>43468.0</v>
      </c>
      <c r="N4" s="48" t="s">
        <v>120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8.75" customHeight="1">
      <c r="A5" s="50">
        <f t="shared" si="1"/>
        <v>2</v>
      </c>
      <c r="B5" s="50" t="str">
        <f t="shared" si="2"/>
        <v>HV1</v>
      </c>
      <c r="C5" s="51" t="s">
        <v>121</v>
      </c>
      <c r="D5" s="52" t="s">
        <v>117</v>
      </c>
      <c r="E5" s="52" t="s">
        <v>34</v>
      </c>
      <c r="F5" s="52" t="s">
        <v>36</v>
      </c>
      <c r="G5" s="50"/>
      <c r="H5" s="50" t="s">
        <v>118</v>
      </c>
      <c r="I5" s="53">
        <v>38995.0</v>
      </c>
      <c r="J5" s="50">
        <f t="shared" si="3"/>
        <v>19</v>
      </c>
      <c r="K5" s="52">
        <v>3.31941742E9</v>
      </c>
      <c r="L5" s="54" t="s">
        <v>122</v>
      </c>
      <c r="M5" s="53">
        <v>45339.0</v>
      </c>
      <c r="N5" s="48" t="s">
        <v>123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8.75" customHeight="1">
      <c r="A6" s="43">
        <f t="shared" si="1"/>
        <v>3</v>
      </c>
      <c r="B6" s="43" t="str">
        <f t="shared" si="2"/>
        <v>HL1</v>
      </c>
      <c r="C6" s="55" t="s">
        <v>124</v>
      </c>
      <c r="D6" s="43" t="s">
        <v>117</v>
      </c>
      <c r="E6" s="43" t="s">
        <v>16</v>
      </c>
      <c r="F6" s="43" t="s">
        <v>12</v>
      </c>
      <c r="G6" s="43"/>
      <c r="H6" s="43" t="s">
        <v>118</v>
      </c>
      <c r="I6" s="46">
        <v>20188.0</v>
      </c>
      <c r="J6" s="43">
        <f t="shared" si="3"/>
        <v>71</v>
      </c>
      <c r="K6" s="43">
        <v>3.322199062E9</v>
      </c>
      <c r="L6" s="47" t="s">
        <v>125</v>
      </c>
      <c r="M6" s="46">
        <v>43434.0</v>
      </c>
      <c r="N6" s="47" t="s">
        <v>126</v>
      </c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8.75" hidden="1" customHeight="1">
      <c r="A7" s="56">
        <f t="shared" si="1"/>
        <v>4</v>
      </c>
      <c r="B7" s="56" t="str">
        <f t="shared" si="2"/>
        <v>MB1</v>
      </c>
      <c r="C7" s="57" t="s">
        <v>127</v>
      </c>
      <c r="D7" s="56" t="s">
        <v>128</v>
      </c>
      <c r="E7" s="56" t="s">
        <v>40</v>
      </c>
      <c r="F7" s="58" t="s">
        <v>7</v>
      </c>
      <c r="G7" s="56" t="s">
        <v>118</v>
      </c>
      <c r="H7" s="56" t="s">
        <v>118</v>
      </c>
      <c r="I7" s="59">
        <v>37713.0</v>
      </c>
      <c r="J7" s="56">
        <f t="shared" si="3"/>
        <v>23</v>
      </c>
      <c r="K7" s="56">
        <v>3.316716256E9</v>
      </c>
      <c r="L7" s="60" t="s">
        <v>129</v>
      </c>
      <c r="M7" s="59">
        <v>39264.0</v>
      </c>
      <c r="N7" s="6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8.75" customHeight="1">
      <c r="A8" s="43">
        <f t="shared" si="1"/>
        <v>5</v>
      </c>
      <c r="B8" s="43" t="str">
        <f t="shared" si="2"/>
        <v>MV1</v>
      </c>
      <c r="C8" s="55" t="s">
        <v>130</v>
      </c>
      <c r="D8" s="43" t="s">
        <v>128</v>
      </c>
      <c r="E8" s="43" t="s">
        <v>22</v>
      </c>
      <c r="F8" s="43" t="s">
        <v>36</v>
      </c>
      <c r="G8" s="43"/>
      <c r="H8" s="43" t="s">
        <v>118</v>
      </c>
      <c r="I8" s="46">
        <v>28477.0</v>
      </c>
      <c r="J8" s="43">
        <f t="shared" si="3"/>
        <v>48</v>
      </c>
      <c r="K8" s="43" t="s">
        <v>131</v>
      </c>
      <c r="L8" s="47" t="s">
        <v>132</v>
      </c>
      <c r="M8" s="46">
        <v>42690.0</v>
      </c>
      <c r="N8" s="48" t="s">
        <v>133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8.75" hidden="1" customHeight="1">
      <c r="A9" s="56">
        <f t="shared" si="1"/>
        <v>6</v>
      </c>
      <c r="B9" s="56" t="str">
        <f t="shared" si="2"/>
        <v>MB2</v>
      </c>
      <c r="C9" s="57" t="s">
        <v>134</v>
      </c>
      <c r="D9" s="56" t="s">
        <v>128</v>
      </c>
      <c r="E9" s="56" t="s">
        <v>40</v>
      </c>
      <c r="F9" s="58" t="s">
        <v>7</v>
      </c>
      <c r="G9" s="56" t="s">
        <v>118</v>
      </c>
      <c r="H9" s="56" t="s">
        <v>118</v>
      </c>
      <c r="I9" s="59">
        <v>38541.0</v>
      </c>
      <c r="J9" s="56">
        <f t="shared" si="3"/>
        <v>20</v>
      </c>
      <c r="K9" s="56">
        <v>3.325006442E9</v>
      </c>
      <c r="L9" s="60" t="s">
        <v>135</v>
      </c>
      <c r="M9" s="59">
        <v>44643.0</v>
      </c>
      <c r="N9" s="60" t="s">
        <v>136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8.75" customHeight="1">
      <c r="A10" s="43">
        <f t="shared" si="1"/>
        <v>7</v>
      </c>
      <c r="B10" s="43" t="str">
        <f t="shared" si="2"/>
        <v>MJ1</v>
      </c>
      <c r="C10" s="55" t="s">
        <v>137</v>
      </c>
      <c r="D10" s="43" t="s">
        <v>128</v>
      </c>
      <c r="E10" s="43" t="s">
        <v>34</v>
      </c>
      <c r="F10" s="43" t="s">
        <v>30</v>
      </c>
      <c r="G10" s="45" t="s">
        <v>118</v>
      </c>
      <c r="H10" s="43" t="s">
        <v>118</v>
      </c>
      <c r="I10" s="46">
        <v>18829.0</v>
      </c>
      <c r="J10" s="43">
        <f t="shared" si="3"/>
        <v>74</v>
      </c>
      <c r="K10" s="43">
        <v>3.310421508E9</v>
      </c>
      <c r="L10" s="47" t="s">
        <v>138</v>
      </c>
      <c r="M10" s="46"/>
      <c r="N10" s="48" t="s">
        <v>139</v>
      </c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8.75" customHeight="1">
      <c r="A11" s="43">
        <f t="shared" si="1"/>
        <v>8</v>
      </c>
      <c r="B11" s="43" t="str">
        <f t="shared" si="2"/>
        <v>MJ2</v>
      </c>
      <c r="C11" s="62" t="s">
        <v>33</v>
      </c>
      <c r="D11" s="43" t="s">
        <v>128</v>
      </c>
      <c r="E11" s="43" t="s">
        <v>140</v>
      </c>
      <c r="F11" s="43" t="s">
        <v>30</v>
      </c>
      <c r="G11" s="45" t="s">
        <v>118</v>
      </c>
      <c r="H11" s="43" t="s">
        <v>118</v>
      </c>
      <c r="I11" s="46">
        <v>22985.0</v>
      </c>
      <c r="J11" s="43">
        <f t="shared" si="3"/>
        <v>63</v>
      </c>
      <c r="K11" s="43">
        <v>4.4440977E7</v>
      </c>
      <c r="L11" s="47" t="s">
        <v>141</v>
      </c>
      <c r="M11" s="46"/>
      <c r="N11" s="48" t="s">
        <v>142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8.75" hidden="1" customHeight="1">
      <c r="A12" s="56">
        <f t="shared" si="1"/>
        <v>9</v>
      </c>
      <c r="B12" s="56" t="str">
        <f t="shared" si="2"/>
        <v>HB1</v>
      </c>
      <c r="C12" s="57" t="s">
        <v>143</v>
      </c>
      <c r="D12" s="56" t="s">
        <v>117</v>
      </c>
      <c r="E12" s="56" t="s">
        <v>22</v>
      </c>
      <c r="F12" s="56" t="s">
        <v>7</v>
      </c>
      <c r="G12" s="56" t="s">
        <v>118</v>
      </c>
      <c r="H12" s="56" t="s">
        <v>118</v>
      </c>
      <c r="I12" s="59">
        <v>31199.0</v>
      </c>
      <c r="J12" s="56">
        <f t="shared" si="3"/>
        <v>40</v>
      </c>
      <c r="K12" s="56">
        <v>3.318418198E9</v>
      </c>
      <c r="L12" s="60" t="s">
        <v>144</v>
      </c>
      <c r="M12" s="59"/>
      <c r="N12" s="60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8.75" hidden="1" customHeight="1">
      <c r="A13" s="56">
        <f t="shared" si="1"/>
        <v>10</v>
      </c>
      <c r="B13" s="56" t="str">
        <f t="shared" si="2"/>
        <v>MB3</v>
      </c>
      <c r="C13" s="57" t="s">
        <v>145</v>
      </c>
      <c r="D13" s="56" t="s">
        <v>128</v>
      </c>
      <c r="E13" s="56" t="s">
        <v>40</v>
      </c>
      <c r="F13" s="56" t="s">
        <v>7</v>
      </c>
      <c r="G13" s="56" t="s">
        <v>118</v>
      </c>
      <c r="H13" s="56" t="s">
        <v>118</v>
      </c>
      <c r="I13" s="59">
        <v>35717.0</v>
      </c>
      <c r="J13" s="56">
        <f t="shared" si="3"/>
        <v>28</v>
      </c>
      <c r="K13" s="56">
        <v>3.335902493E9</v>
      </c>
      <c r="L13" s="60" t="s">
        <v>146</v>
      </c>
      <c r="M13" s="59"/>
      <c r="N13" s="60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8.75" customHeight="1">
      <c r="A14" s="43">
        <f t="shared" si="1"/>
        <v>11</v>
      </c>
      <c r="B14" s="43" t="str">
        <f t="shared" si="2"/>
        <v>MS1</v>
      </c>
      <c r="C14" s="55" t="s">
        <v>147</v>
      </c>
      <c r="D14" s="43" t="s">
        <v>128</v>
      </c>
      <c r="E14" s="43" t="s">
        <v>16</v>
      </c>
      <c r="F14" s="43" t="s">
        <v>43</v>
      </c>
      <c r="G14" s="45" t="s">
        <v>118</v>
      </c>
      <c r="H14" s="43" t="s">
        <v>118</v>
      </c>
      <c r="I14" s="46">
        <v>27451.0</v>
      </c>
      <c r="J14" s="43">
        <f t="shared" si="3"/>
        <v>51</v>
      </c>
      <c r="K14" s="43">
        <v>3.3184081E9</v>
      </c>
      <c r="L14" s="47" t="s">
        <v>148</v>
      </c>
      <c r="M14" s="46"/>
      <c r="N14" s="48" t="s">
        <v>149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8.75" customHeight="1">
      <c r="A15" s="43">
        <f t="shared" si="1"/>
        <v>12</v>
      </c>
      <c r="B15" s="43" t="str">
        <f t="shared" si="2"/>
        <v>MS2</v>
      </c>
      <c r="C15" s="55" t="s">
        <v>150</v>
      </c>
      <c r="D15" s="43" t="s">
        <v>128</v>
      </c>
      <c r="E15" s="43" t="s">
        <v>22</v>
      </c>
      <c r="F15" s="43" t="s">
        <v>43</v>
      </c>
      <c r="G15" s="45" t="s">
        <v>118</v>
      </c>
      <c r="H15" s="43" t="s">
        <v>118</v>
      </c>
      <c r="I15" s="46">
        <v>28387.0</v>
      </c>
      <c r="J15" s="43">
        <f t="shared" si="3"/>
        <v>48</v>
      </c>
      <c r="K15" s="43">
        <v>3.321854803E9</v>
      </c>
      <c r="L15" s="47" t="s">
        <v>151</v>
      </c>
      <c r="M15" s="46"/>
      <c r="N15" s="48" t="s">
        <v>152</v>
      </c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8.75" hidden="1" customHeight="1">
      <c r="A16" s="56">
        <f t="shared" si="1"/>
        <v>13</v>
      </c>
      <c r="B16" s="56" t="str">
        <f t="shared" si="2"/>
        <v>MB4</v>
      </c>
      <c r="C16" s="57" t="s">
        <v>153</v>
      </c>
      <c r="D16" s="56" t="s">
        <v>128</v>
      </c>
      <c r="E16" s="56" t="s">
        <v>28</v>
      </c>
      <c r="F16" s="56" t="s">
        <v>7</v>
      </c>
      <c r="G16" s="56" t="s">
        <v>118</v>
      </c>
      <c r="H16" s="56" t="s">
        <v>118</v>
      </c>
      <c r="I16" s="59">
        <v>33129.0</v>
      </c>
      <c r="J16" s="56">
        <f t="shared" si="3"/>
        <v>35</v>
      </c>
      <c r="K16" s="56">
        <v>3.313833507E9</v>
      </c>
      <c r="L16" s="60" t="s">
        <v>154</v>
      </c>
      <c r="M16" s="59">
        <v>39264.0</v>
      </c>
      <c r="N16" s="60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8.75" customHeight="1">
      <c r="A17" s="43">
        <f t="shared" si="1"/>
        <v>14</v>
      </c>
      <c r="B17" s="43" t="str">
        <f t="shared" si="2"/>
        <v>MJ3</v>
      </c>
      <c r="C17" s="44" t="s">
        <v>155</v>
      </c>
      <c r="D17" s="45" t="s">
        <v>128</v>
      </c>
      <c r="E17" s="45" t="s">
        <v>40</v>
      </c>
      <c r="F17" s="45" t="s">
        <v>30</v>
      </c>
      <c r="G17" s="45" t="s">
        <v>118</v>
      </c>
      <c r="H17" s="43" t="s">
        <v>118</v>
      </c>
      <c r="I17" s="63">
        <v>36145.0</v>
      </c>
      <c r="J17" s="43">
        <f t="shared" si="3"/>
        <v>27</v>
      </c>
      <c r="K17" s="45">
        <v>3.325991783E9</v>
      </c>
      <c r="L17" s="48" t="s">
        <v>156</v>
      </c>
      <c r="M17" s="64">
        <v>45588.0</v>
      </c>
      <c r="N17" s="48" t="s">
        <v>157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8.75" customHeight="1">
      <c r="A18" s="43">
        <f t="shared" si="1"/>
        <v>15</v>
      </c>
      <c r="B18" s="43" t="str">
        <f t="shared" si="2"/>
        <v>HJ1</v>
      </c>
      <c r="C18" s="44" t="s">
        <v>158</v>
      </c>
      <c r="D18" s="45" t="s">
        <v>117</v>
      </c>
      <c r="E18" s="45" t="s">
        <v>28</v>
      </c>
      <c r="F18" s="45" t="s">
        <v>30</v>
      </c>
      <c r="G18" s="45"/>
      <c r="H18" s="43" t="s">
        <v>118</v>
      </c>
      <c r="I18" s="63">
        <v>37383.0</v>
      </c>
      <c r="J18" s="43">
        <f t="shared" si="3"/>
        <v>23</v>
      </c>
      <c r="K18" s="45">
        <v>3.315330744E9</v>
      </c>
      <c r="L18" s="48" t="s">
        <v>159</v>
      </c>
      <c r="M18" s="65">
        <v>45610.0</v>
      </c>
      <c r="N18" s="48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8.75" hidden="1" customHeight="1">
      <c r="A19" s="56">
        <f t="shared" si="1"/>
        <v>16</v>
      </c>
      <c r="B19" s="56" t="str">
        <f t="shared" si="2"/>
        <v>MB5</v>
      </c>
      <c r="C19" s="57" t="s">
        <v>160</v>
      </c>
      <c r="D19" s="56" t="s">
        <v>128</v>
      </c>
      <c r="E19" s="56" t="s">
        <v>28</v>
      </c>
      <c r="F19" s="56" t="s">
        <v>7</v>
      </c>
      <c r="G19" s="56" t="s">
        <v>118</v>
      </c>
      <c r="H19" s="56" t="s">
        <v>118</v>
      </c>
      <c r="I19" s="59">
        <v>35434.0</v>
      </c>
      <c r="J19" s="56">
        <f t="shared" si="3"/>
        <v>29</v>
      </c>
      <c r="K19" s="56">
        <v>3.318436092E9</v>
      </c>
      <c r="L19" s="60" t="s">
        <v>161</v>
      </c>
      <c r="M19" s="59">
        <v>43162.0</v>
      </c>
      <c r="N19" s="60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8.75" customHeight="1">
      <c r="A20" s="43">
        <f t="shared" si="1"/>
        <v>17</v>
      </c>
      <c r="B20" s="43" t="str">
        <f t="shared" si="2"/>
        <v>MV2</v>
      </c>
      <c r="C20" s="55" t="s">
        <v>162</v>
      </c>
      <c r="D20" s="43" t="s">
        <v>128</v>
      </c>
      <c r="E20" s="43" t="s">
        <v>140</v>
      </c>
      <c r="F20" s="43" t="s">
        <v>36</v>
      </c>
      <c r="G20" s="43"/>
      <c r="H20" s="43" t="s">
        <v>118</v>
      </c>
      <c r="I20" s="46">
        <v>24848.0</v>
      </c>
      <c r="J20" s="43">
        <f t="shared" si="3"/>
        <v>58</v>
      </c>
      <c r="K20" s="43">
        <v>3.311028337E9</v>
      </c>
      <c r="L20" s="47" t="s">
        <v>163</v>
      </c>
      <c r="M20" s="46"/>
      <c r="N20" s="47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8.75" hidden="1" customHeight="1">
      <c r="A21" s="56">
        <f t="shared" si="1"/>
        <v>18</v>
      </c>
      <c r="B21" s="56" t="str">
        <f t="shared" si="2"/>
        <v>HB2</v>
      </c>
      <c r="C21" s="57" t="s">
        <v>164</v>
      </c>
      <c r="D21" s="56" t="s">
        <v>117</v>
      </c>
      <c r="E21" s="56" t="s">
        <v>40</v>
      </c>
      <c r="F21" s="56" t="s">
        <v>7</v>
      </c>
      <c r="G21" s="56" t="s">
        <v>165</v>
      </c>
      <c r="H21" s="56" t="s">
        <v>118</v>
      </c>
      <c r="I21" s="59">
        <v>37258.0</v>
      </c>
      <c r="J21" s="56">
        <f t="shared" si="3"/>
        <v>24</v>
      </c>
      <c r="K21" s="56">
        <v>3.331385646E9</v>
      </c>
      <c r="L21" s="60" t="s">
        <v>166</v>
      </c>
      <c r="M21" s="59"/>
      <c r="N21" s="6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8.75" customHeight="1">
      <c r="A22" s="43">
        <f t="shared" si="1"/>
        <v>19</v>
      </c>
      <c r="B22" s="43" t="str">
        <f t="shared" si="2"/>
        <v>ML1</v>
      </c>
      <c r="C22" s="55" t="s">
        <v>167</v>
      </c>
      <c r="D22" s="43" t="s">
        <v>128</v>
      </c>
      <c r="E22" s="43" t="s">
        <v>34</v>
      </c>
      <c r="F22" s="43" t="s">
        <v>12</v>
      </c>
      <c r="G22" s="43"/>
      <c r="H22" s="43" t="s">
        <v>118</v>
      </c>
      <c r="I22" s="46">
        <v>32374.0</v>
      </c>
      <c r="J22" s="43">
        <f t="shared" si="3"/>
        <v>37</v>
      </c>
      <c r="K22" s="43">
        <v>3.331080997E9</v>
      </c>
      <c r="L22" s="47" t="s">
        <v>168</v>
      </c>
      <c r="M22" s="46"/>
      <c r="N22" s="47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8.75" customHeight="1">
      <c r="A23" s="43">
        <f t="shared" si="1"/>
        <v>20</v>
      </c>
      <c r="B23" s="43" t="str">
        <f t="shared" si="2"/>
        <v>MV3</v>
      </c>
      <c r="C23" s="44" t="s">
        <v>169</v>
      </c>
      <c r="D23" s="43" t="s">
        <v>128</v>
      </c>
      <c r="E23" s="45" t="s">
        <v>40</v>
      </c>
      <c r="F23" s="43" t="s">
        <v>36</v>
      </c>
      <c r="G23" s="43" t="s">
        <v>118</v>
      </c>
      <c r="H23" s="43" t="s">
        <v>118</v>
      </c>
      <c r="I23" s="63">
        <v>40483.0</v>
      </c>
      <c r="J23" s="43">
        <f t="shared" si="3"/>
        <v>15</v>
      </c>
      <c r="K23" s="45">
        <v>3.312926923E9</v>
      </c>
      <c r="L23" s="48" t="s">
        <v>170</v>
      </c>
      <c r="M23" s="65">
        <v>45678.0</v>
      </c>
      <c r="N23" s="48" t="s">
        <v>171</v>
      </c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8.75" customHeight="1">
      <c r="A24" s="43">
        <f t="shared" si="1"/>
        <v>21</v>
      </c>
      <c r="B24" s="43" t="str">
        <f t="shared" si="2"/>
        <v>MJ4</v>
      </c>
      <c r="C24" s="44" t="s">
        <v>172</v>
      </c>
      <c r="D24" s="43" t="s">
        <v>128</v>
      </c>
      <c r="E24" s="45" t="s">
        <v>40</v>
      </c>
      <c r="F24" s="45" t="s">
        <v>30</v>
      </c>
      <c r="G24" s="43" t="s">
        <v>118</v>
      </c>
      <c r="H24" s="43" t="s">
        <v>118</v>
      </c>
      <c r="I24" s="63">
        <v>39854.0</v>
      </c>
      <c r="J24" s="43">
        <f t="shared" si="3"/>
        <v>17</v>
      </c>
      <c r="K24" s="45">
        <v>3.326648344E9</v>
      </c>
      <c r="L24" s="48" t="s">
        <v>173</v>
      </c>
      <c r="M24" s="63">
        <v>45792.0</v>
      </c>
      <c r="N24" s="48" t="s">
        <v>174</v>
      </c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8.75" customHeight="1">
      <c r="A25" s="43">
        <f t="shared" si="1"/>
        <v>22</v>
      </c>
      <c r="B25" s="43" t="str">
        <f t="shared" si="2"/>
        <v>ML2</v>
      </c>
      <c r="C25" s="55" t="s">
        <v>175</v>
      </c>
      <c r="D25" s="43" t="s">
        <v>128</v>
      </c>
      <c r="E25" s="43" t="s">
        <v>22</v>
      </c>
      <c r="F25" s="43" t="s">
        <v>12</v>
      </c>
      <c r="G25" s="45" t="s">
        <v>118</v>
      </c>
      <c r="H25" s="43" t="s">
        <v>118</v>
      </c>
      <c r="I25" s="46">
        <v>28305.0</v>
      </c>
      <c r="J25" s="43">
        <f t="shared" si="3"/>
        <v>48</v>
      </c>
      <c r="K25" s="43">
        <v>3.33468152E9</v>
      </c>
      <c r="L25" s="47" t="s">
        <v>176</v>
      </c>
      <c r="M25" s="46">
        <v>43641.0</v>
      </c>
      <c r="N25" s="47" t="s">
        <v>177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8.75" hidden="1" customHeight="1">
      <c r="A26" s="56">
        <f t="shared" si="1"/>
        <v>23</v>
      </c>
      <c r="B26" s="56" t="str">
        <f t="shared" si="2"/>
        <v>MB6</v>
      </c>
      <c r="C26" s="57" t="s">
        <v>178</v>
      </c>
      <c r="D26" s="56" t="s">
        <v>128</v>
      </c>
      <c r="E26" s="56" t="s">
        <v>22</v>
      </c>
      <c r="F26" s="58" t="s">
        <v>7</v>
      </c>
      <c r="G26" s="56" t="s">
        <v>118</v>
      </c>
      <c r="H26" s="56" t="s">
        <v>118</v>
      </c>
      <c r="I26" s="59">
        <v>31778.0</v>
      </c>
      <c r="J26" s="56">
        <f t="shared" si="3"/>
        <v>39</v>
      </c>
      <c r="K26" s="56">
        <v>6.612394252E9</v>
      </c>
      <c r="L26" s="60" t="s">
        <v>179</v>
      </c>
      <c r="M26" s="59"/>
      <c r="N26" s="6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8.75" customHeight="1">
      <c r="A27" s="50">
        <f t="shared" si="1"/>
        <v>24</v>
      </c>
      <c r="B27" s="50" t="str">
        <f t="shared" si="2"/>
        <v>MMa1</v>
      </c>
      <c r="C27" s="51" t="s">
        <v>180</v>
      </c>
      <c r="D27" s="52" t="s">
        <v>128</v>
      </c>
      <c r="E27" s="52" t="s">
        <v>16</v>
      </c>
      <c r="F27" s="52" t="s">
        <v>18</v>
      </c>
      <c r="G27" s="52" t="s">
        <v>118</v>
      </c>
      <c r="H27" s="50" t="s">
        <v>118</v>
      </c>
      <c r="I27" s="53">
        <v>27032.0</v>
      </c>
      <c r="J27" s="50">
        <f t="shared" si="3"/>
        <v>52</v>
      </c>
      <c r="K27" s="52">
        <v>3.333551915E9</v>
      </c>
      <c r="L27" s="54" t="s">
        <v>181</v>
      </c>
      <c r="M27" s="67">
        <v>45986.0</v>
      </c>
      <c r="N27" s="48" t="s">
        <v>182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8.75" hidden="1" customHeight="1">
      <c r="A28" s="56">
        <f t="shared" si="1"/>
        <v>25</v>
      </c>
      <c r="B28" s="56" t="str">
        <f t="shared" si="2"/>
        <v>MB7</v>
      </c>
      <c r="C28" s="57" t="s">
        <v>183</v>
      </c>
      <c r="D28" s="56" t="s">
        <v>128</v>
      </c>
      <c r="E28" s="56" t="s">
        <v>40</v>
      </c>
      <c r="F28" s="56" t="s">
        <v>7</v>
      </c>
      <c r="G28" s="56" t="s">
        <v>118</v>
      </c>
      <c r="H28" s="56" t="s">
        <v>118</v>
      </c>
      <c r="I28" s="59">
        <v>36577.0</v>
      </c>
      <c r="J28" s="56">
        <f t="shared" si="3"/>
        <v>26</v>
      </c>
      <c r="K28" s="56">
        <v>3.6063314E7</v>
      </c>
      <c r="L28" s="60" t="s">
        <v>184</v>
      </c>
      <c r="M28" s="59"/>
      <c r="N28" s="60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8.75" customHeight="1">
      <c r="A29" s="43">
        <f t="shared" si="1"/>
        <v>26</v>
      </c>
      <c r="B29" s="43" t="str">
        <f t="shared" si="2"/>
        <v>HD1</v>
      </c>
      <c r="C29" s="55" t="s">
        <v>185</v>
      </c>
      <c r="D29" s="43" t="s">
        <v>117</v>
      </c>
      <c r="E29" s="45" t="s">
        <v>22</v>
      </c>
      <c r="F29" s="45" t="s">
        <v>49</v>
      </c>
      <c r="G29" s="43" t="s">
        <v>118</v>
      </c>
      <c r="H29" s="43" t="s">
        <v>118</v>
      </c>
      <c r="I29" s="46">
        <v>35119.0</v>
      </c>
      <c r="J29" s="43">
        <f t="shared" si="3"/>
        <v>30</v>
      </c>
      <c r="K29" s="43"/>
      <c r="L29" s="47" t="s">
        <v>186</v>
      </c>
      <c r="M29" s="46">
        <v>43754.0</v>
      </c>
      <c r="N29" s="48" t="s">
        <v>187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8.75" hidden="1" customHeight="1">
      <c r="A30" s="56">
        <f t="shared" si="1"/>
        <v>27</v>
      </c>
      <c r="B30" s="56" t="str">
        <f t="shared" si="2"/>
        <v>HB3</v>
      </c>
      <c r="C30" s="57" t="s">
        <v>188</v>
      </c>
      <c r="D30" s="56" t="s">
        <v>117</v>
      </c>
      <c r="E30" s="56" t="s">
        <v>140</v>
      </c>
      <c r="F30" s="56" t="s">
        <v>7</v>
      </c>
      <c r="G30" s="56" t="s">
        <v>118</v>
      </c>
      <c r="H30" s="56" t="s">
        <v>118</v>
      </c>
      <c r="I30" s="59">
        <v>23639.0</v>
      </c>
      <c r="J30" s="56">
        <f t="shared" si="3"/>
        <v>61</v>
      </c>
      <c r="K30" s="56">
        <v>3.317061837E9</v>
      </c>
      <c r="L30" s="60" t="s">
        <v>189</v>
      </c>
      <c r="M30" s="59"/>
      <c r="N30" s="6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8.75" customHeight="1">
      <c r="A31" s="43">
        <f t="shared" si="1"/>
        <v>28</v>
      </c>
      <c r="B31" s="43" t="str">
        <f t="shared" si="2"/>
        <v>HS2</v>
      </c>
      <c r="C31" s="55" t="s">
        <v>190</v>
      </c>
      <c r="D31" s="43" t="s">
        <v>117</v>
      </c>
      <c r="E31" s="43" t="s">
        <v>140</v>
      </c>
      <c r="F31" s="43" t="s">
        <v>43</v>
      </c>
      <c r="G31" s="45" t="s">
        <v>118</v>
      </c>
      <c r="H31" s="43" t="s">
        <v>118</v>
      </c>
      <c r="I31" s="46">
        <v>21775.0</v>
      </c>
      <c r="J31" s="43">
        <f t="shared" si="3"/>
        <v>66</v>
      </c>
      <c r="K31" s="43">
        <v>3.312509476E9</v>
      </c>
      <c r="L31" s="47" t="s">
        <v>191</v>
      </c>
      <c r="M31" s="46"/>
      <c r="N31" s="48" t="s">
        <v>192</v>
      </c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8.75" customHeight="1">
      <c r="A32" s="43">
        <f t="shared" si="1"/>
        <v>29</v>
      </c>
      <c r="B32" s="43" t="str">
        <f t="shared" si="2"/>
        <v>MD1</v>
      </c>
      <c r="C32" s="55" t="s">
        <v>193</v>
      </c>
      <c r="D32" s="43" t="s">
        <v>128</v>
      </c>
      <c r="E32" s="43" t="s">
        <v>34</v>
      </c>
      <c r="F32" s="45" t="s">
        <v>49</v>
      </c>
      <c r="G32" s="43"/>
      <c r="H32" s="43" t="s">
        <v>118</v>
      </c>
      <c r="I32" s="46">
        <v>30269.0</v>
      </c>
      <c r="J32" s="43">
        <f t="shared" si="3"/>
        <v>43</v>
      </c>
      <c r="K32" s="43">
        <v>3.333389355E9</v>
      </c>
      <c r="L32" s="47" t="s">
        <v>194</v>
      </c>
      <c r="M32" s="46">
        <v>44631.0</v>
      </c>
      <c r="N32" s="47" t="s">
        <v>195</v>
      </c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8.75" hidden="1" customHeight="1">
      <c r="A33" s="56">
        <f t="shared" si="1"/>
        <v>30</v>
      </c>
      <c r="B33" s="56" t="str">
        <f t="shared" si="2"/>
        <v>MB8</v>
      </c>
      <c r="C33" s="57" t="s">
        <v>196</v>
      </c>
      <c r="D33" s="56" t="s">
        <v>128</v>
      </c>
      <c r="E33" s="56" t="s">
        <v>40</v>
      </c>
      <c r="F33" s="56" t="s">
        <v>7</v>
      </c>
      <c r="G33" s="56" t="s">
        <v>118</v>
      </c>
      <c r="H33" s="56" t="s">
        <v>118</v>
      </c>
      <c r="I33" s="59">
        <v>34240.0</v>
      </c>
      <c r="J33" s="56">
        <f t="shared" si="3"/>
        <v>32</v>
      </c>
      <c r="K33" s="56">
        <v>3.338285694E9</v>
      </c>
      <c r="L33" s="60" t="s">
        <v>197</v>
      </c>
      <c r="M33" s="59"/>
      <c r="N33" s="6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8.75" hidden="1" customHeight="1">
      <c r="A34" s="56">
        <f t="shared" si="1"/>
        <v>31</v>
      </c>
      <c r="B34" s="56" t="str">
        <f t="shared" si="2"/>
        <v>HB4</v>
      </c>
      <c r="C34" s="57" t="s">
        <v>198</v>
      </c>
      <c r="D34" s="56" t="s">
        <v>117</v>
      </c>
      <c r="E34" s="56" t="s">
        <v>40</v>
      </c>
      <c r="F34" s="56" t="s">
        <v>7</v>
      </c>
      <c r="G34" s="56" t="s">
        <v>118</v>
      </c>
      <c r="H34" s="56" t="s">
        <v>118</v>
      </c>
      <c r="I34" s="59">
        <v>37176.0</v>
      </c>
      <c r="J34" s="56">
        <f t="shared" si="3"/>
        <v>24</v>
      </c>
      <c r="K34" s="56">
        <v>3.317216647E9</v>
      </c>
      <c r="L34" s="60" t="s">
        <v>199</v>
      </c>
      <c r="M34" s="59"/>
      <c r="N34" s="6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8.75" hidden="1" customHeight="1">
      <c r="A35" s="56">
        <f t="shared" si="1"/>
        <v>32</v>
      </c>
      <c r="B35" s="56" t="str">
        <f t="shared" si="2"/>
        <v>HB5</v>
      </c>
      <c r="C35" s="57" t="s">
        <v>200</v>
      </c>
      <c r="D35" s="56" t="s">
        <v>117</v>
      </c>
      <c r="E35" s="56" t="s">
        <v>40</v>
      </c>
      <c r="F35" s="56" t="s">
        <v>7</v>
      </c>
      <c r="G35" s="56" t="s">
        <v>118</v>
      </c>
      <c r="H35" s="56" t="s">
        <v>118</v>
      </c>
      <c r="I35" s="59">
        <v>38555.0</v>
      </c>
      <c r="J35" s="56">
        <f t="shared" si="3"/>
        <v>20</v>
      </c>
      <c r="K35" s="56"/>
      <c r="L35" s="60" t="s">
        <v>201</v>
      </c>
      <c r="M35" s="59">
        <v>43641.0</v>
      </c>
      <c r="N35" s="60" t="s">
        <v>202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8.75" hidden="1" customHeight="1">
      <c r="A36" s="56">
        <f t="shared" si="1"/>
        <v>33</v>
      </c>
      <c r="B36" s="56" t="str">
        <f t="shared" si="2"/>
        <v>HB6</v>
      </c>
      <c r="C36" s="57" t="s">
        <v>203</v>
      </c>
      <c r="D36" s="56" t="s">
        <v>117</v>
      </c>
      <c r="E36" s="56" t="s">
        <v>40</v>
      </c>
      <c r="F36" s="56" t="s">
        <v>7</v>
      </c>
      <c r="G36" s="56" t="s">
        <v>118</v>
      </c>
      <c r="H36" s="56" t="s">
        <v>118</v>
      </c>
      <c r="I36" s="59">
        <v>37852.0</v>
      </c>
      <c r="J36" s="56">
        <f t="shared" si="3"/>
        <v>22</v>
      </c>
      <c r="K36" s="56">
        <v>3.314707502E9</v>
      </c>
      <c r="L36" s="60" t="s">
        <v>201</v>
      </c>
      <c r="M36" s="59">
        <v>42943.0</v>
      </c>
      <c r="N36" s="6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8.75" customHeight="1">
      <c r="A37" s="43">
        <f t="shared" si="1"/>
        <v>34</v>
      </c>
      <c r="B37" s="43" t="str">
        <f t="shared" si="2"/>
        <v>MD2</v>
      </c>
      <c r="C37" s="55" t="s">
        <v>204</v>
      </c>
      <c r="D37" s="43" t="s">
        <v>128</v>
      </c>
      <c r="E37" s="43" t="s">
        <v>22</v>
      </c>
      <c r="F37" s="43" t="s">
        <v>49</v>
      </c>
      <c r="G37" s="45" t="s">
        <v>118</v>
      </c>
      <c r="H37" s="43" t="s">
        <v>118</v>
      </c>
      <c r="I37" s="46">
        <v>30735.0</v>
      </c>
      <c r="J37" s="43">
        <f t="shared" si="3"/>
        <v>42</v>
      </c>
      <c r="K37" s="43">
        <v>3.310853988E9</v>
      </c>
      <c r="L37" s="47" t="s">
        <v>205</v>
      </c>
      <c r="M37" s="46">
        <v>45227.0</v>
      </c>
      <c r="N37" s="48" t="s">
        <v>206</v>
      </c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75" hidden="1" customHeight="1">
      <c r="A38" s="56">
        <f t="shared" si="1"/>
        <v>35</v>
      </c>
      <c r="B38" s="56" t="str">
        <f t="shared" si="2"/>
        <v>HB7</v>
      </c>
      <c r="C38" s="57" t="s">
        <v>207</v>
      </c>
      <c r="D38" s="56" t="s">
        <v>117</v>
      </c>
      <c r="E38" s="56" t="s">
        <v>22</v>
      </c>
      <c r="F38" s="56" t="s">
        <v>7</v>
      </c>
      <c r="G38" s="56" t="s">
        <v>118</v>
      </c>
      <c r="H38" s="56" t="s">
        <v>118</v>
      </c>
      <c r="I38" s="59">
        <v>28235.0</v>
      </c>
      <c r="J38" s="56">
        <f t="shared" si="3"/>
        <v>49</v>
      </c>
      <c r="K38" s="56">
        <v>4.427678326E9</v>
      </c>
      <c r="L38" s="60" t="s">
        <v>208</v>
      </c>
      <c r="M38" s="59">
        <v>43700.0</v>
      </c>
      <c r="N38" s="60" t="s">
        <v>209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8.75" hidden="1" customHeight="1">
      <c r="A39" s="56">
        <f t="shared" si="1"/>
        <v>36</v>
      </c>
      <c r="B39" s="56" t="str">
        <f t="shared" si="2"/>
        <v>MB9</v>
      </c>
      <c r="C39" s="57" t="s">
        <v>210</v>
      </c>
      <c r="D39" s="56" t="s">
        <v>128</v>
      </c>
      <c r="E39" s="56" t="s">
        <v>16</v>
      </c>
      <c r="F39" s="56" t="s">
        <v>7</v>
      </c>
      <c r="G39" s="56" t="s">
        <v>118</v>
      </c>
      <c r="H39" s="56" t="s">
        <v>118</v>
      </c>
      <c r="I39" s="59">
        <v>17662.0</v>
      </c>
      <c r="J39" s="56">
        <f t="shared" si="3"/>
        <v>77</v>
      </c>
      <c r="K39" s="56">
        <v>3.314822846E9</v>
      </c>
      <c r="L39" s="60" t="s">
        <v>211</v>
      </c>
      <c r="M39" s="59">
        <v>43644.0</v>
      </c>
      <c r="N39" s="60" t="s">
        <v>212</v>
      </c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8.75" customHeight="1">
      <c r="A40" s="43">
        <f t="shared" si="1"/>
        <v>37</v>
      </c>
      <c r="B40" s="43" t="str">
        <f t="shared" si="2"/>
        <v>HV2</v>
      </c>
      <c r="C40" s="44" t="s">
        <v>213</v>
      </c>
      <c r="D40" s="45" t="s">
        <v>117</v>
      </c>
      <c r="E40" s="45" t="s">
        <v>40</v>
      </c>
      <c r="F40" s="45" t="s">
        <v>36</v>
      </c>
      <c r="G40" s="45" t="s">
        <v>118</v>
      </c>
      <c r="H40" s="43" t="s">
        <v>118</v>
      </c>
      <c r="I40" s="63">
        <v>40459.0</v>
      </c>
      <c r="J40" s="43">
        <f t="shared" si="3"/>
        <v>15</v>
      </c>
      <c r="K40" s="45">
        <v>3.339798062E9</v>
      </c>
      <c r="L40" s="48" t="s">
        <v>214</v>
      </c>
      <c r="M40" s="63">
        <v>45686.0</v>
      </c>
      <c r="N40" s="48" t="s">
        <v>215</v>
      </c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75" customHeight="1">
      <c r="A41" s="43">
        <f t="shared" si="1"/>
        <v>38</v>
      </c>
      <c r="B41" s="43" t="str">
        <f t="shared" si="2"/>
        <v>HL2</v>
      </c>
      <c r="C41" s="55" t="s">
        <v>216</v>
      </c>
      <c r="D41" s="43" t="s">
        <v>117</v>
      </c>
      <c r="E41" s="43" t="s">
        <v>40</v>
      </c>
      <c r="F41" s="43" t="s">
        <v>12</v>
      </c>
      <c r="G41" s="43"/>
      <c r="H41" s="43" t="s">
        <v>118</v>
      </c>
      <c r="I41" s="46">
        <v>40046.0</v>
      </c>
      <c r="J41" s="43">
        <f t="shared" si="3"/>
        <v>16</v>
      </c>
      <c r="K41" s="43"/>
      <c r="L41" s="47" t="s">
        <v>217</v>
      </c>
      <c r="M41" s="46">
        <v>45340.0</v>
      </c>
      <c r="N41" s="47" t="s">
        <v>218</v>
      </c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8.75" customHeight="1">
      <c r="A42" s="43">
        <f t="shared" si="1"/>
        <v>39</v>
      </c>
      <c r="B42" s="43" t="str">
        <f t="shared" si="2"/>
        <v>MD3</v>
      </c>
      <c r="C42" s="55" t="s">
        <v>219</v>
      </c>
      <c r="D42" s="43" t="s">
        <v>128</v>
      </c>
      <c r="E42" s="43" t="s">
        <v>34</v>
      </c>
      <c r="F42" s="43" t="s">
        <v>49</v>
      </c>
      <c r="G42" s="45" t="s">
        <v>118</v>
      </c>
      <c r="H42" s="43" t="s">
        <v>118</v>
      </c>
      <c r="I42" s="46">
        <v>25294.0</v>
      </c>
      <c r="J42" s="43">
        <f t="shared" si="3"/>
        <v>57</v>
      </c>
      <c r="K42" s="43">
        <v>3.313550079E9</v>
      </c>
      <c r="L42" s="47" t="s">
        <v>220</v>
      </c>
      <c r="M42" s="46"/>
      <c r="N42" s="48" t="s">
        <v>221</v>
      </c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8.75" hidden="1" customHeight="1">
      <c r="A43" s="56">
        <f t="shared" si="1"/>
        <v>40</v>
      </c>
      <c r="B43" s="56" t="str">
        <f t="shared" si="2"/>
        <v>MB10</v>
      </c>
      <c r="C43" s="57" t="s">
        <v>222</v>
      </c>
      <c r="D43" s="56" t="s">
        <v>128</v>
      </c>
      <c r="E43" s="56" t="s">
        <v>140</v>
      </c>
      <c r="F43" s="56" t="s">
        <v>7</v>
      </c>
      <c r="G43" s="56" t="s">
        <v>118</v>
      </c>
      <c r="H43" s="56" t="s">
        <v>118</v>
      </c>
      <c r="I43" s="59">
        <v>19246.0</v>
      </c>
      <c r="J43" s="56">
        <f t="shared" si="3"/>
        <v>73</v>
      </c>
      <c r="K43" s="56" t="s">
        <v>223</v>
      </c>
      <c r="L43" s="60" t="s">
        <v>224</v>
      </c>
      <c r="M43" s="59"/>
      <c r="N43" s="60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8.75" customHeight="1">
      <c r="A44" s="43">
        <f t="shared" si="1"/>
        <v>41</v>
      </c>
      <c r="B44" s="43" t="str">
        <f t="shared" si="2"/>
        <v>HS3</v>
      </c>
      <c r="C44" s="55" t="s">
        <v>225</v>
      </c>
      <c r="D44" s="43" t="s">
        <v>117</v>
      </c>
      <c r="E44" s="43" t="s">
        <v>40</v>
      </c>
      <c r="F44" s="43" t="s">
        <v>43</v>
      </c>
      <c r="G44" s="45" t="s">
        <v>118</v>
      </c>
      <c r="H44" s="43" t="s">
        <v>118</v>
      </c>
      <c r="I44" s="46">
        <v>34217.0</v>
      </c>
      <c r="J44" s="43">
        <f t="shared" si="3"/>
        <v>32</v>
      </c>
      <c r="K44" s="43"/>
      <c r="L44" s="47" t="s">
        <v>226</v>
      </c>
      <c r="M44" s="46">
        <v>43201.0</v>
      </c>
      <c r="N44" s="48" t="s">
        <v>227</v>
      </c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8.75" customHeight="1">
      <c r="A45" s="43">
        <f t="shared" si="1"/>
        <v>42</v>
      </c>
      <c r="B45" s="43" t="str">
        <f t="shared" si="2"/>
        <v>ML3</v>
      </c>
      <c r="C45" s="55" t="s">
        <v>228</v>
      </c>
      <c r="D45" s="43" t="s">
        <v>128</v>
      </c>
      <c r="E45" s="43" t="s">
        <v>40</v>
      </c>
      <c r="F45" s="43" t="s">
        <v>12</v>
      </c>
      <c r="G45" s="45" t="s">
        <v>118</v>
      </c>
      <c r="H45" s="43" t="s">
        <v>118</v>
      </c>
      <c r="I45" s="46">
        <v>40081.0</v>
      </c>
      <c r="J45" s="43">
        <f t="shared" si="3"/>
        <v>16</v>
      </c>
      <c r="K45" s="43">
        <v>3.328490726E9</v>
      </c>
      <c r="L45" s="47" t="s">
        <v>229</v>
      </c>
      <c r="M45" s="46">
        <v>45331.0</v>
      </c>
      <c r="N45" s="47" t="s">
        <v>230</v>
      </c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8.75" hidden="1" customHeight="1">
      <c r="A46" s="56">
        <f t="shared" si="1"/>
        <v>43</v>
      </c>
      <c r="B46" s="56" t="str">
        <f t="shared" si="2"/>
        <v>HB8</v>
      </c>
      <c r="C46" s="57" t="s">
        <v>231</v>
      </c>
      <c r="D46" s="56" t="s">
        <v>117</v>
      </c>
      <c r="E46" s="56" t="s">
        <v>40</v>
      </c>
      <c r="F46" s="58" t="s">
        <v>7</v>
      </c>
      <c r="G46" s="56" t="s">
        <v>118</v>
      </c>
      <c r="H46" s="56" t="s">
        <v>118</v>
      </c>
      <c r="I46" s="59">
        <v>37663.0</v>
      </c>
      <c r="J46" s="56">
        <f t="shared" si="3"/>
        <v>23</v>
      </c>
      <c r="K46" s="56">
        <v>3.6084943E7</v>
      </c>
      <c r="L46" s="60" t="s">
        <v>232</v>
      </c>
      <c r="M46" s="59">
        <v>43355.0</v>
      </c>
      <c r="N46" s="60" t="s">
        <v>233</v>
      </c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8.75" hidden="1" customHeight="1">
      <c r="A47" s="56">
        <f t="shared" si="1"/>
        <v>44</v>
      </c>
      <c r="B47" s="56" t="str">
        <f t="shared" si="2"/>
        <v>MB11</v>
      </c>
      <c r="C47" s="57" t="s">
        <v>234</v>
      </c>
      <c r="D47" s="56" t="s">
        <v>128</v>
      </c>
      <c r="E47" s="56" t="s">
        <v>40</v>
      </c>
      <c r="F47" s="56" t="s">
        <v>7</v>
      </c>
      <c r="G47" s="56" t="s">
        <v>118</v>
      </c>
      <c r="H47" s="56" t="s">
        <v>118</v>
      </c>
      <c r="I47" s="59">
        <v>38456.0</v>
      </c>
      <c r="J47" s="56">
        <f t="shared" si="3"/>
        <v>21</v>
      </c>
      <c r="K47" s="56">
        <v>3.31074555E9</v>
      </c>
      <c r="L47" s="60" t="s">
        <v>232</v>
      </c>
      <c r="M47" s="59">
        <v>43846.0</v>
      </c>
      <c r="N47" s="60" t="s">
        <v>235</v>
      </c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8.75" customHeight="1">
      <c r="A48" s="43">
        <f t="shared" si="1"/>
        <v>45</v>
      </c>
      <c r="B48" s="43" t="str">
        <f t="shared" si="2"/>
        <v>HD2</v>
      </c>
      <c r="C48" s="55" t="s">
        <v>236</v>
      </c>
      <c r="D48" s="43" t="s">
        <v>117</v>
      </c>
      <c r="E48" s="43" t="s">
        <v>140</v>
      </c>
      <c r="F48" s="43" t="s">
        <v>49</v>
      </c>
      <c r="G48" s="45" t="s">
        <v>118</v>
      </c>
      <c r="H48" s="43" t="s">
        <v>118</v>
      </c>
      <c r="I48" s="46">
        <v>22596.0</v>
      </c>
      <c r="J48" s="43">
        <f t="shared" si="3"/>
        <v>64</v>
      </c>
      <c r="K48" s="43">
        <v>3.338437378E9</v>
      </c>
      <c r="L48" s="47" t="s">
        <v>237</v>
      </c>
      <c r="M48" s="46"/>
      <c r="N48" s="48" t="s">
        <v>238</v>
      </c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8.75" customHeight="1">
      <c r="A49" s="43">
        <f t="shared" si="1"/>
        <v>46</v>
      </c>
      <c r="B49" s="43" t="str">
        <f t="shared" si="2"/>
        <v>MMa2</v>
      </c>
      <c r="C49" s="55" t="s">
        <v>239</v>
      </c>
      <c r="D49" s="43" t="s">
        <v>128</v>
      </c>
      <c r="E49" s="43" t="s">
        <v>34</v>
      </c>
      <c r="F49" s="43" t="s">
        <v>18</v>
      </c>
      <c r="G49" s="45" t="s">
        <v>118</v>
      </c>
      <c r="H49" s="43" t="s">
        <v>118</v>
      </c>
      <c r="I49" s="46">
        <v>19599.0</v>
      </c>
      <c r="J49" s="43">
        <f t="shared" si="3"/>
        <v>72</v>
      </c>
      <c r="K49" s="43">
        <v>3.111188355E9</v>
      </c>
      <c r="L49" s="47" t="s">
        <v>240</v>
      </c>
      <c r="M49" s="46"/>
      <c r="N49" s="47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8.75" customHeight="1">
      <c r="A50" s="43">
        <f t="shared" si="1"/>
        <v>47</v>
      </c>
      <c r="B50" s="43" t="str">
        <f t="shared" si="2"/>
        <v>HS4</v>
      </c>
      <c r="C50" s="55" t="s">
        <v>241</v>
      </c>
      <c r="D50" s="43" t="s">
        <v>117</v>
      </c>
      <c r="E50" s="43" t="s">
        <v>40</v>
      </c>
      <c r="F50" s="43" t="s">
        <v>43</v>
      </c>
      <c r="G50" s="43"/>
      <c r="H50" s="43" t="s">
        <v>118</v>
      </c>
      <c r="I50" s="46">
        <v>32746.0</v>
      </c>
      <c r="J50" s="43">
        <f t="shared" si="3"/>
        <v>36</v>
      </c>
      <c r="K50" s="43"/>
      <c r="L50" s="47"/>
      <c r="M50" s="46">
        <v>43335.0</v>
      </c>
      <c r="N50" s="47" t="s">
        <v>242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8.75" hidden="1" customHeight="1">
      <c r="A51" s="56">
        <f t="shared" si="1"/>
        <v>48</v>
      </c>
      <c r="B51" s="56" t="str">
        <f t="shared" si="2"/>
        <v>MB12</v>
      </c>
      <c r="C51" s="57" t="s">
        <v>243</v>
      </c>
      <c r="D51" s="56" t="s">
        <v>128</v>
      </c>
      <c r="E51" s="56" t="s">
        <v>40</v>
      </c>
      <c r="F51" s="56" t="s">
        <v>7</v>
      </c>
      <c r="G51" s="56" t="s">
        <v>118</v>
      </c>
      <c r="H51" s="56" t="s">
        <v>118</v>
      </c>
      <c r="I51" s="59">
        <v>36739.0</v>
      </c>
      <c r="J51" s="56">
        <f t="shared" si="3"/>
        <v>25</v>
      </c>
      <c r="K51" s="56">
        <v>3.316314181E9</v>
      </c>
      <c r="L51" s="60" t="s">
        <v>244</v>
      </c>
      <c r="M51" s="59"/>
      <c r="N51" s="60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8.75" hidden="1" customHeight="1">
      <c r="A52" s="56">
        <f t="shared" si="1"/>
        <v>49</v>
      </c>
      <c r="B52" s="56" t="str">
        <f t="shared" si="2"/>
        <v>MB13</v>
      </c>
      <c r="C52" s="57" t="s">
        <v>245</v>
      </c>
      <c r="D52" s="56" t="s">
        <v>128</v>
      </c>
      <c r="E52" s="56" t="s">
        <v>34</v>
      </c>
      <c r="F52" s="56" t="s">
        <v>7</v>
      </c>
      <c r="G52" s="56" t="s">
        <v>118</v>
      </c>
      <c r="H52" s="56" t="s">
        <v>118</v>
      </c>
      <c r="I52" s="59">
        <v>24573.0</v>
      </c>
      <c r="J52" s="56">
        <f t="shared" si="3"/>
        <v>59</v>
      </c>
      <c r="K52" s="56">
        <v>3.331002211E9</v>
      </c>
      <c r="L52" s="60" t="s">
        <v>246</v>
      </c>
      <c r="M52" s="59"/>
      <c r="N52" s="60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8.75" hidden="1" customHeight="1">
      <c r="A53" s="56">
        <f t="shared" si="1"/>
        <v>50</v>
      </c>
      <c r="B53" s="56" t="str">
        <f t="shared" si="2"/>
        <v>MB14</v>
      </c>
      <c r="C53" s="57" t="s">
        <v>247</v>
      </c>
      <c r="D53" s="56" t="s">
        <v>128</v>
      </c>
      <c r="E53" s="56" t="s">
        <v>40</v>
      </c>
      <c r="F53" s="56" t="s">
        <v>7</v>
      </c>
      <c r="G53" s="56" t="s">
        <v>118</v>
      </c>
      <c r="H53" s="56" t="s">
        <v>118</v>
      </c>
      <c r="I53" s="59">
        <v>38851.0</v>
      </c>
      <c r="J53" s="56">
        <f t="shared" si="3"/>
        <v>19</v>
      </c>
      <c r="K53" s="56"/>
      <c r="L53" s="60" t="s">
        <v>248</v>
      </c>
      <c r="M53" s="59">
        <v>44886.0</v>
      </c>
      <c r="N53" s="60" t="s">
        <v>249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8.75" hidden="1" customHeight="1">
      <c r="A54" s="56">
        <f t="shared" si="1"/>
        <v>51</v>
      </c>
      <c r="B54" s="56" t="str">
        <f t="shared" si="2"/>
        <v>MB15</v>
      </c>
      <c r="C54" s="57" t="s">
        <v>247</v>
      </c>
      <c r="D54" s="56" t="s">
        <v>128</v>
      </c>
      <c r="E54" s="56" t="s">
        <v>40</v>
      </c>
      <c r="F54" s="58" t="s">
        <v>7</v>
      </c>
      <c r="G54" s="56" t="s">
        <v>118</v>
      </c>
      <c r="H54" s="56" t="s">
        <v>118</v>
      </c>
      <c r="I54" s="59">
        <v>38851.0</v>
      </c>
      <c r="J54" s="56">
        <f t="shared" si="3"/>
        <v>19</v>
      </c>
      <c r="K54" s="56">
        <v>3.335949977E9</v>
      </c>
      <c r="L54" s="60" t="s">
        <v>250</v>
      </c>
      <c r="M54" s="59">
        <v>44886.0</v>
      </c>
      <c r="N54" s="60" t="s">
        <v>251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8.75" customHeight="1">
      <c r="A55" s="43">
        <f t="shared" si="1"/>
        <v>52</v>
      </c>
      <c r="B55" s="43" t="str">
        <f t="shared" si="2"/>
        <v>HL3</v>
      </c>
      <c r="C55" s="55" t="s">
        <v>252</v>
      </c>
      <c r="D55" s="43" t="s">
        <v>117</v>
      </c>
      <c r="E55" s="43" t="s">
        <v>140</v>
      </c>
      <c r="F55" s="43" t="s">
        <v>12</v>
      </c>
      <c r="G55" s="45" t="s">
        <v>118</v>
      </c>
      <c r="H55" s="43" t="s">
        <v>118</v>
      </c>
      <c r="I55" s="46">
        <v>21032.0</v>
      </c>
      <c r="J55" s="43">
        <f t="shared" si="3"/>
        <v>68</v>
      </c>
      <c r="K55" s="43">
        <v>3.31388914E9</v>
      </c>
      <c r="L55" s="47" t="s">
        <v>253</v>
      </c>
      <c r="M55" s="46"/>
      <c r="N55" s="48" t="s">
        <v>254</v>
      </c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8.75" hidden="1" customHeight="1">
      <c r="A56" s="56">
        <f t="shared" si="1"/>
        <v>53</v>
      </c>
      <c r="B56" s="56" t="str">
        <f t="shared" si="2"/>
        <v>MB16</v>
      </c>
      <c r="C56" s="57" t="s">
        <v>255</v>
      </c>
      <c r="D56" s="56" t="s">
        <v>128</v>
      </c>
      <c r="E56" s="56" t="s">
        <v>22</v>
      </c>
      <c r="F56" s="58" t="s">
        <v>7</v>
      </c>
      <c r="G56" s="56" t="s">
        <v>118</v>
      </c>
      <c r="H56" s="56" t="s">
        <v>118</v>
      </c>
      <c r="I56" s="59">
        <v>29528.0</v>
      </c>
      <c r="J56" s="56">
        <f t="shared" si="3"/>
        <v>45</v>
      </c>
      <c r="K56" s="56">
        <v>3.316063463E9</v>
      </c>
      <c r="L56" s="60" t="s">
        <v>256</v>
      </c>
      <c r="M56" s="59"/>
      <c r="N56" s="60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8.75" customHeight="1">
      <c r="A57" s="43">
        <f t="shared" si="1"/>
        <v>54</v>
      </c>
      <c r="B57" s="43" t="str">
        <f t="shared" si="2"/>
        <v>MJ5</v>
      </c>
      <c r="C57" s="55" t="s">
        <v>257</v>
      </c>
      <c r="D57" s="43" t="s">
        <v>128</v>
      </c>
      <c r="E57" s="43" t="s">
        <v>40</v>
      </c>
      <c r="F57" s="43" t="s">
        <v>30</v>
      </c>
      <c r="G57" s="45" t="s">
        <v>118</v>
      </c>
      <c r="H57" s="43" t="s">
        <v>118</v>
      </c>
      <c r="I57" s="46">
        <v>28783.0</v>
      </c>
      <c r="J57" s="43">
        <f t="shared" si="3"/>
        <v>47</v>
      </c>
      <c r="K57" s="43" t="s">
        <v>258</v>
      </c>
      <c r="L57" s="47" t="s">
        <v>259</v>
      </c>
      <c r="M57" s="46">
        <v>43851.0</v>
      </c>
      <c r="N57" s="48" t="s">
        <v>260</v>
      </c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8.75" hidden="1" customHeight="1">
      <c r="A58" s="56">
        <f t="shared" si="1"/>
        <v>55</v>
      </c>
      <c r="B58" s="56" t="str">
        <f t="shared" si="2"/>
        <v>HB9</v>
      </c>
      <c r="C58" s="57" t="s">
        <v>261</v>
      </c>
      <c r="D58" s="56" t="s">
        <v>117</v>
      </c>
      <c r="E58" s="56" t="s">
        <v>40</v>
      </c>
      <c r="F58" s="56" t="s">
        <v>7</v>
      </c>
      <c r="G58" s="56" t="s">
        <v>118</v>
      </c>
      <c r="H58" s="56" t="s">
        <v>118</v>
      </c>
      <c r="I58" s="59">
        <v>36515.0</v>
      </c>
      <c r="J58" s="56">
        <f t="shared" si="3"/>
        <v>26</v>
      </c>
      <c r="K58" s="56">
        <v>3.6041152E7</v>
      </c>
      <c r="L58" s="60" t="s">
        <v>262</v>
      </c>
      <c r="M58" s="59"/>
      <c r="N58" s="60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8.75" hidden="1" customHeight="1">
      <c r="A59" s="56">
        <f t="shared" si="1"/>
        <v>56</v>
      </c>
      <c r="B59" s="56" t="str">
        <f t="shared" si="2"/>
        <v>MB17</v>
      </c>
      <c r="C59" s="57" t="s">
        <v>263</v>
      </c>
      <c r="D59" s="56" t="s">
        <v>128</v>
      </c>
      <c r="E59" s="56" t="s">
        <v>40</v>
      </c>
      <c r="F59" s="56" t="s">
        <v>7</v>
      </c>
      <c r="G59" s="56" t="s">
        <v>118</v>
      </c>
      <c r="H59" s="56" t="s">
        <v>118</v>
      </c>
      <c r="I59" s="59">
        <v>36460.0</v>
      </c>
      <c r="J59" s="56">
        <f t="shared" si="3"/>
        <v>26</v>
      </c>
      <c r="K59" s="56">
        <v>3.311197259E9</v>
      </c>
      <c r="L59" s="60" t="s">
        <v>264</v>
      </c>
      <c r="M59" s="59"/>
      <c r="N59" s="60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8.75" customHeight="1">
      <c r="A60" s="43">
        <f t="shared" si="1"/>
        <v>57</v>
      </c>
      <c r="B60" s="43" t="str">
        <f t="shared" si="2"/>
        <v>MJ6</v>
      </c>
      <c r="C60" s="55" t="s">
        <v>265</v>
      </c>
      <c r="D60" s="43" t="s">
        <v>128</v>
      </c>
      <c r="E60" s="43" t="s">
        <v>40</v>
      </c>
      <c r="F60" s="43" t="s">
        <v>30</v>
      </c>
      <c r="G60" s="43"/>
      <c r="H60" s="43" t="s">
        <v>118</v>
      </c>
      <c r="I60" s="46">
        <v>35341.0</v>
      </c>
      <c r="J60" s="43">
        <f t="shared" si="3"/>
        <v>29</v>
      </c>
      <c r="K60" s="43">
        <v>3.319991628E9</v>
      </c>
      <c r="L60" s="47" t="s">
        <v>266</v>
      </c>
      <c r="M60" s="46">
        <v>42879.0</v>
      </c>
      <c r="N60" s="47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8.75" customHeight="1">
      <c r="A61" s="43">
        <f t="shared" si="1"/>
        <v>58</v>
      </c>
      <c r="B61" s="43" t="str">
        <f t="shared" si="2"/>
        <v>MJ7</v>
      </c>
      <c r="C61" s="55" t="s">
        <v>267</v>
      </c>
      <c r="D61" s="43" t="s">
        <v>128</v>
      </c>
      <c r="E61" s="43" t="s">
        <v>40</v>
      </c>
      <c r="F61" s="43" t="s">
        <v>30</v>
      </c>
      <c r="G61" s="45" t="s">
        <v>118</v>
      </c>
      <c r="H61" s="43" t="s">
        <v>118</v>
      </c>
      <c r="I61" s="63">
        <v>36918.0</v>
      </c>
      <c r="J61" s="43">
        <f t="shared" si="3"/>
        <v>25</v>
      </c>
      <c r="K61" s="43">
        <v>3.334888944E9</v>
      </c>
      <c r="L61" s="47" t="s">
        <v>268</v>
      </c>
      <c r="M61" s="63">
        <v>42066.0</v>
      </c>
      <c r="N61" s="48" t="s">
        <v>269</v>
      </c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8.75" customHeight="1">
      <c r="A62" s="43">
        <f t="shared" si="1"/>
        <v>59</v>
      </c>
      <c r="B62" s="43" t="str">
        <f t="shared" si="2"/>
        <v>MV4</v>
      </c>
      <c r="C62" s="55" t="s">
        <v>270</v>
      </c>
      <c r="D62" s="43" t="s">
        <v>128</v>
      </c>
      <c r="E62" s="43" t="s">
        <v>40</v>
      </c>
      <c r="F62" s="43" t="s">
        <v>36</v>
      </c>
      <c r="G62" s="45" t="s">
        <v>118</v>
      </c>
      <c r="H62" s="43" t="s">
        <v>118</v>
      </c>
      <c r="I62" s="63">
        <v>36399.0</v>
      </c>
      <c r="J62" s="43">
        <f t="shared" si="3"/>
        <v>26</v>
      </c>
      <c r="K62" s="43">
        <v>2.0167835E7</v>
      </c>
      <c r="L62" s="47" t="s">
        <v>268</v>
      </c>
      <c r="M62" s="63">
        <v>42066.0</v>
      </c>
      <c r="N62" s="48" t="s">
        <v>269</v>
      </c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8.75" customHeight="1">
      <c r="A63" s="43">
        <f t="shared" si="1"/>
        <v>60</v>
      </c>
      <c r="B63" s="43" t="str">
        <f t="shared" si="2"/>
        <v>HMi1</v>
      </c>
      <c r="C63" s="55" t="s">
        <v>271</v>
      </c>
      <c r="D63" s="43" t="s">
        <v>117</v>
      </c>
      <c r="E63" s="43" t="s">
        <v>140</v>
      </c>
      <c r="F63" s="43" t="s">
        <v>24</v>
      </c>
      <c r="G63" s="43"/>
      <c r="H63" s="43" t="s">
        <v>118</v>
      </c>
      <c r="I63" s="46">
        <v>24480.0</v>
      </c>
      <c r="J63" s="43">
        <f t="shared" si="3"/>
        <v>59</v>
      </c>
      <c r="K63" s="43">
        <v>3.323837215E9</v>
      </c>
      <c r="L63" s="47" t="s">
        <v>272</v>
      </c>
      <c r="M63" s="46">
        <v>42129.0</v>
      </c>
      <c r="N63" s="47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8.75" hidden="1" customHeight="1">
      <c r="A64" s="56">
        <f t="shared" si="1"/>
        <v>61</v>
      </c>
      <c r="B64" s="56" t="str">
        <f t="shared" si="2"/>
        <v>MB18</v>
      </c>
      <c r="C64" s="57" t="s">
        <v>273</v>
      </c>
      <c r="D64" s="56" t="s">
        <v>128</v>
      </c>
      <c r="E64" s="56" t="s">
        <v>34</v>
      </c>
      <c r="F64" s="58" t="s">
        <v>7</v>
      </c>
      <c r="G64" s="56" t="s">
        <v>118</v>
      </c>
      <c r="H64" s="56" t="s">
        <v>118</v>
      </c>
      <c r="I64" s="59">
        <v>27568.0</v>
      </c>
      <c r="J64" s="56">
        <f t="shared" si="3"/>
        <v>50</v>
      </c>
      <c r="K64" s="56">
        <v>3.327009186E9</v>
      </c>
      <c r="L64" s="60" t="s">
        <v>274</v>
      </c>
      <c r="M64" s="59">
        <v>43650.0</v>
      </c>
      <c r="N64" s="60" t="s">
        <v>275</v>
      </c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8.75" hidden="1" customHeight="1">
      <c r="A65" s="56">
        <f t="shared" si="1"/>
        <v>62</v>
      </c>
      <c r="B65" s="56" t="str">
        <f t="shared" si="2"/>
        <v>MB19</v>
      </c>
      <c r="C65" s="57" t="s">
        <v>276</v>
      </c>
      <c r="D65" s="56" t="s">
        <v>128</v>
      </c>
      <c r="E65" s="56" t="s">
        <v>40</v>
      </c>
      <c r="F65" s="56" t="s">
        <v>7</v>
      </c>
      <c r="G65" s="56" t="s">
        <v>118</v>
      </c>
      <c r="H65" s="56" t="s">
        <v>118</v>
      </c>
      <c r="I65" s="59">
        <v>36871.0</v>
      </c>
      <c r="J65" s="56">
        <f t="shared" si="3"/>
        <v>25</v>
      </c>
      <c r="K65" s="56" t="s">
        <v>277</v>
      </c>
      <c r="L65" s="60" t="s">
        <v>278</v>
      </c>
      <c r="M65" s="59">
        <v>42749.0</v>
      </c>
      <c r="N65" s="60" t="s">
        <v>279</v>
      </c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8.75" hidden="1" customHeight="1">
      <c r="A66" s="56">
        <f t="shared" si="1"/>
        <v>63</v>
      </c>
      <c r="B66" s="56" t="str">
        <f t="shared" si="2"/>
        <v>MB20</v>
      </c>
      <c r="C66" s="57" t="s">
        <v>280</v>
      </c>
      <c r="D66" s="56" t="s">
        <v>128</v>
      </c>
      <c r="E66" s="56" t="s">
        <v>40</v>
      </c>
      <c r="F66" s="56" t="s">
        <v>7</v>
      </c>
      <c r="G66" s="56" t="s">
        <v>118</v>
      </c>
      <c r="H66" s="56" t="s">
        <v>118</v>
      </c>
      <c r="I66" s="59">
        <v>36740.0</v>
      </c>
      <c r="J66" s="56">
        <f t="shared" si="3"/>
        <v>25</v>
      </c>
      <c r="K66" s="56">
        <v>3.315701826E9</v>
      </c>
      <c r="L66" s="60" t="s">
        <v>281</v>
      </c>
      <c r="M66" s="59"/>
      <c r="N66" s="60"/>
      <c r="O66" s="34"/>
      <c r="P66" s="35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8.75" hidden="1" customHeight="1">
      <c r="A67" s="56">
        <f t="shared" si="1"/>
        <v>64</v>
      </c>
      <c r="B67" s="56" t="str">
        <f t="shared" si="2"/>
        <v>HB10</v>
      </c>
      <c r="C67" s="57" t="s">
        <v>282</v>
      </c>
      <c r="D67" s="56" t="s">
        <v>117</v>
      </c>
      <c r="E67" s="56" t="s">
        <v>40</v>
      </c>
      <c r="F67" s="56" t="s">
        <v>7</v>
      </c>
      <c r="G67" s="56" t="s">
        <v>118</v>
      </c>
      <c r="H67" s="56" t="s">
        <v>118</v>
      </c>
      <c r="I67" s="59">
        <v>36256.0</v>
      </c>
      <c r="J67" s="56">
        <f t="shared" si="3"/>
        <v>27</v>
      </c>
      <c r="K67" s="56">
        <v>3.322159776E9</v>
      </c>
      <c r="L67" s="60" t="s">
        <v>283</v>
      </c>
      <c r="M67" s="59">
        <v>42948.0</v>
      </c>
      <c r="N67" s="60" t="s">
        <v>284</v>
      </c>
      <c r="O67" s="34"/>
      <c r="P67" s="35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8.75" hidden="1" customHeight="1">
      <c r="A68" s="56">
        <f t="shared" si="1"/>
        <v>65</v>
      </c>
      <c r="B68" s="56" t="str">
        <f t="shared" si="2"/>
        <v>MB21</v>
      </c>
      <c r="C68" s="57" t="s">
        <v>285</v>
      </c>
      <c r="D68" s="56" t="s">
        <v>128</v>
      </c>
      <c r="E68" s="56" t="s">
        <v>28</v>
      </c>
      <c r="F68" s="58" t="s">
        <v>7</v>
      </c>
      <c r="G68" s="56" t="s">
        <v>118</v>
      </c>
      <c r="H68" s="56" t="s">
        <v>118</v>
      </c>
      <c r="I68" s="59">
        <v>34283.0</v>
      </c>
      <c r="J68" s="56">
        <f t="shared" si="3"/>
        <v>32</v>
      </c>
      <c r="K68" s="56">
        <v>3.323201186E9</v>
      </c>
      <c r="L68" s="60" t="s">
        <v>286</v>
      </c>
      <c r="M68" s="59">
        <v>43481.0</v>
      </c>
      <c r="N68" s="60" t="s">
        <v>287</v>
      </c>
      <c r="O68" s="34"/>
      <c r="P68" s="35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8.75" customHeight="1">
      <c r="A69" s="43">
        <f t="shared" si="1"/>
        <v>66</v>
      </c>
      <c r="B69" s="43" t="str">
        <f t="shared" si="2"/>
        <v>MV5</v>
      </c>
      <c r="C69" s="55" t="s">
        <v>288</v>
      </c>
      <c r="D69" s="43" t="s">
        <v>128</v>
      </c>
      <c r="E69" s="43" t="s">
        <v>34</v>
      </c>
      <c r="F69" s="43" t="s">
        <v>36</v>
      </c>
      <c r="G69" s="45" t="s">
        <v>118</v>
      </c>
      <c r="H69" s="43" t="s">
        <v>118</v>
      </c>
      <c r="I69" s="46">
        <v>15861.0</v>
      </c>
      <c r="J69" s="43">
        <f t="shared" si="3"/>
        <v>82</v>
      </c>
      <c r="K69" s="43">
        <v>3.31485877E8</v>
      </c>
      <c r="L69" s="47" t="s">
        <v>289</v>
      </c>
      <c r="M69" s="46"/>
      <c r="N69" s="48" t="s">
        <v>290</v>
      </c>
      <c r="O69" s="61"/>
      <c r="P69" s="66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8.75" customHeight="1">
      <c r="A70" s="43">
        <f t="shared" si="1"/>
        <v>67</v>
      </c>
      <c r="B70" s="43" t="str">
        <f t="shared" si="2"/>
        <v>HJ2</v>
      </c>
      <c r="C70" s="44" t="s">
        <v>291</v>
      </c>
      <c r="D70" s="45" t="s">
        <v>117</v>
      </c>
      <c r="E70" s="45" t="s">
        <v>16</v>
      </c>
      <c r="F70" s="45" t="s">
        <v>30</v>
      </c>
      <c r="G70" s="43" t="s">
        <v>118</v>
      </c>
      <c r="H70" s="43" t="s">
        <v>118</v>
      </c>
      <c r="I70" s="63">
        <v>21758.0</v>
      </c>
      <c r="J70" s="43">
        <f t="shared" si="3"/>
        <v>66</v>
      </c>
      <c r="K70" s="45">
        <v>3.314078967E9</v>
      </c>
      <c r="L70" s="48" t="s">
        <v>292</v>
      </c>
      <c r="M70" s="63">
        <v>45761.0</v>
      </c>
      <c r="N70" s="48" t="s">
        <v>254</v>
      </c>
      <c r="O70" s="61"/>
      <c r="P70" s="66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8.75" hidden="1" customHeight="1">
      <c r="A71" s="56">
        <f t="shared" si="1"/>
        <v>68</v>
      </c>
      <c r="B71" s="56" t="str">
        <f t="shared" si="2"/>
        <v>HB11</v>
      </c>
      <c r="C71" s="57" t="s">
        <v>293</v>
      </c>
      <c r="D71" s="56" t="s">
        <v>117</v>
      </c>
      <c r="E71" s="56" t="s">
        <v>34</v>
      </c>
      <c r="F71" s="56" t="s">
        <v>7</v>
      </c>
      <c r="G71" s="56" t="s">
        <v>118</v>
      </c>
      <c r="H71" s="56" t="s">
        <v>118</v>
      </c>
      <c r="I71" s="59">
        <v>27422.0</v>
      </c>
      <c r="J71" s="56">
        <f t="shared" si="3"/>
        <v>51</v>
      </c>
      <c r="K71" s="56">
        <v>3.315513498E9</v>
      </c>
      <c r="L71" s="60" t="s">
        <v>294</v>
      </c>
      <c r="M71" s="59"/>
      <c r="N71" s="60"/>
      <c r="O71" s="34"/>
      <c r="P71" s="35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8.75" hidden="1" customHeight="1">
      <c r="A72" s="56">
        <f t="shared" si="1"/>
        <v>69</v>
      </c>
      <c r="B72" s="56" t="str">
        <f t="shared" si="2"/>
        <v>MB22</v>
      </c>
      <c r="C72" s="57" t="s">
        <v>295</v>
      </c>
      <c r="D72" s="56" t="s">
        <v>128</v>
      </c>
      <c r="E72" s="56" t="s">
        <v>34</v>
      </c>
      <c r="F72" s="58" t="s">
        <v>7</v>
      </c>
      <c r="G72" s="56" t="s">
        <v>118</v>
      </c>
      <c r="H72" s="56" t="s">
        <v>118</v>
      </c>
      <c r="I72" s="59">
        <v>15876.0</v>
      </c>
      <c r="J72" s="56">
        <f t="shared" si="3"/>
        <v>82</v>
      </c>
      <c r="K72" s="56">
        <v>1.9322311E7</v>
      </c>
      <c r="L72" s="60" t="s">
        <v>296</v>
      </c>
      <c r="M72" s="59"/>
      <c r="N72" s="60"/>
      <c r="O72" s="34"/>
      <c r="P72" s="35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8.75" customHeight="1">
      <c r="A73" s="43">
        <f t="shared" si="1"/>
        <v>70</v>
      </c>
      <c r="B73" s="43" t="str">
        <f t="shared" si="2"/>
        <v>MV6</v>
      </c>
      <c r="C73" s="44" t="s">
        <v>297</v>
      </c>
      <c r="D73" s="45" t="s">
        <v>128</v>
      </c>
      <c r="E73" s="45" t="s">
        <v>40</v>
      </c>
      <c r="F73" s="45" t="s">
        <v>36</v>
      </c>
      <c r="G73" s="45" t="s">
        <v>118</v>
      </c>
      <c r="H73" s="43" t="s">
        <v>118</v>
      </c>
      <c r="I73" s="63">
        <v>40395.0</v>
      </c>
      <c r="J73" s="43">
        <f t="shared" si="3"/>
        <v>15</v>
      </c>
      <c r="K73" s="45">
        <v>3.33545489E9</v>
      </c>
      <c r="L73" s="48" t="s">
        <v>298</v>
      </c>
      <c r="M73" s="45" t="s">
        <v>299</v>
      </c>
      <c r="N73" s="48" t="s">
        <v>300</v>
      </c>
      <c r="O73" s="61"/>
      <c r="P73" s="66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8.75" customHeight="1">
      <c r="A74" s="43">
        <f t="shared" si="1"/>
        <v>71</v>
      </c>
      <c r="B74" s="43" t="str">
        <f t="shared" si="2"/>
        <v>MMi1</v>
      </c>
      <c r="C74" s="68" t="s">
        <v>301</v>
      </c>
      <c r="D74" s="43" t="s">
        <v>128</v>
      </c>
      <c r="E74" s="43" t="s">
        <v>16</v>
      </c>
      <c r="F74" s="45" t="s">
        <v>24</v>
      </c>
      <c r="G74" s="45" t="s">
        <v>118</v>
      </c>
      <c r="H74" s="43" t="s">
        <v>118</v>
      </c>
      <c r="I74" s="46">
        <v>26577.0</v>
      </c>
      <c r="J74" s="43">
        <f t="shared" si="3"/>
        <v>53</v>
      </c>
      <c r="K74" s="43">
        <v>3.318410274E9</v>
      </c>
      <c r="L74" s="47" t="s">
        <v>302</v>
      </c>
      <c r="M74" s="46"/>
      <c r="N74" s="48" t="s">
        <v>303</v>
      </c>
      <c r="O74" s="61"/>
      <c r="P74" s="66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8.75" customHeight="1">
      <c r="A75" s="43">
        <f t="shared" si="1"/>
        <v>72</v>
      </c>
      <c r="B75" s="43" t="str">
        <f t="shared" si="2"/>
        <v>HJ3</v>
      </c>
      <c r="C75" s="55" t="s">
        <v>304</v>
      </c>
      <c r="D75" s="43" t="s">
        <v>117</v>
      </c>
      <c r="E75" s="43" t="s">
        <v>140</v>
      </c>
      <c r="F75" s="43" t="s">
        <v>30</v>
      </c>
      <c r="G75" s="43"/>
      <c r="H75" s="43" t="s">
        <v>118</v>
      </c>
      <c r="I75" s="46">
        <v>24474.0</v>
      </c>
      <c r="J75" s="43">
        <f t="shared" si="3"/>
        <v>59</v>
      </c>
      <c r="K75" s="43">
        <v>3.311721649E9</v>
      </c>
      <c r="L75" s="47" t="s">
        <v>305</v>
      </c>
      <c r="M75" s="46"/>
      <c r="N75" s="47"/>
      <c r="O75" s="61"/>
      <c r="P75" s="66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8.75" hidden="1" customHeight="1">
      <c r="A76" s="56">
        <f t="shared" si="1"/>
        <v>73</v>
      </c>
      <c r="B76" s="56" t="str">
        <f t="shared" si="2"/>
        <v>HB12</v>
      </c>
      <c r="C76" s="57" t="s">
        <v>306</v>
      </c>
      <c r="D76" s="56" t="s">
        <v>117</v>
      </c>
      <c r="E76" s="56" t="s">
        <v>22</v>
      </c>
      <c r="F76" s="58" t="s">
        <v>7</v>
      </c>
      <c r="G76" s="56" t="s">
        <v>118</v>
      </c>
      <c r="H76" s="56" t="s">
        <v>118</v>
      </c>
      <c r="I76" s="59">
        <v>32322.0</v>
      </c>
      <c r="J76" s="56">
        <f t="shared" si="3"/>
        <v>37</v>
      </c>
      <c r="K76" s="56">
        <v>1.6659037E7</v>
      </c>
      <c r="L76" s="60" t="s">
        <v>307</v>
      </c>
      <c r="M76" s="59"/>
      <c r="N76" s="60"/>
      <c r="O76" s="34"/>
      <c r="P76" s="35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8.75" hidden="1" customHeight="1">
      <c r="A77" s="56">
        <f t="shared" si="1"/>
        <v>74</v>
      </c>
      <c r="B77" s="56" t="str">
        <f t="shared" si="2"/>
        <v>HB13</v>
      </c>
      <c r="C77" s="57" t="s">
        <v>308</v>
      </c>
      <c r="D77" s="56" t="s">
        <v>117</v>
      </c>
      <c r="E77" s="56" t="s">
        <v>28</v>
      </c>
      <c r="F77" s="56" t="s">
        <v>7</v>
      </c>
      <c r="G77" s="56" t="s">
        <v>118</v>
      </c>
      <c r="H77" s="56" t="s">
        <v>118</v>
      </c>
      <c r="I77" s="59"/>
      <c r="J77" s="56">
        <f t="shared" si="3"/>
        <v>126</v>
      </c>
      <c r="K77" s="56">
        <v>2.29258649E9</v>
      </c>
      <c r="L77" s="60" t="s">
        <v>309</v>
      </c>
      <c r="M77" s="59">
        <v>44362.0</v>
      </c>
      <c r="N77" s="60" t="s">
        <v>310</v>
      </c>
      <c r="O77" s="34"/>
      <c r="P77" s="35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8.75" customHeight="1">
      <c r="A78" s="43">
        <f t="shared" si="1"/>
        <v>75</v>
      </c>
      <c r="B78" s="43" t="str">
        <f t="shared" si="2"/>
        <v>MJ8</v>
      </c>
      <c r="C78" s="55" t="s">
        <v>311</v>
      </c>
      <c r="D78" s="43" t="s">
        <v>128</v>
      </c>
      <c r="E78" s="43" t="s">
        <v>16</v>
      </c>
      <c r="F78" s="45" t="s">
        <v>30</v>
      </c>
      <c r="G78" s="45" t="s">
        <v>118</v>
      </c>
      <c r="H78" s="43" t="s">
        <v>118</v>
      </c>
      <c r="I78" s="46">
        <v>23729.0</v>
      </c>
      <c r="J78" s="43">
        <f t="shared" si="3"/>
        <v>61</v>
      </c>
      <c r="K78" s="43">
        <v>3.313678716E9</v>
      </c>
      <c r="L78" s="47" t="s">
        <v>312</v>
      </c>
      <c r="M78" s="46">
        <v>44500.0</v>
      </c>
      <c r="N78" s="48" t="s">
        <v>221</v>
      </c>
      <c r="O78" s="61"/>
      <c r="P78" s="66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8.75" customHeight="1">
      <c r="A79" s="43">
        <f t="shared" si="1"/>
        <v>76</v>
      </c>
      <c r="B79" s="43" t="str">
        <f t="shared" si="2"/>
        <v>HS5</v>
      </c>
      <c r="C79" s="55" t="s">
        <v>313</v>
      </c>
      <c r="D79" s="43" t="s">
        <v>117</v>
      </c>
      <c r="E79" s="43" t="s">
        <v>16</v>
      </c>
      <c r="F79" s="43" t="s">
        <v>43</v>
      </c>
      <c r="G79" s="43"/>
      <c r="H79" s="43" t="s">
        <v>118</v>
      </c>
      <c r="I79" s="46">
        <v>27543.0</v>
      </c>
      <c r="J79" s="43">
        <f t="shared" si="3"/>
        <v>50</v>
      </c>
      <c r="K79" s="43">
        <v>3.310630633E9</v>
      </c>
      <c r="L79" s="47" t="s">
        <v>314</v>
      </c>
      <c r="M79" s="46">
        <v>43773.0</v>
      </c>
      <c r="N79" s="47" t="s">
        <v>315</v>
      </c>
      <c r="O79" s="61"/>
      <c r="P79" s="66"/>
      <c r="Q79" s="69"/>
      <c r="R79" s="61"/>
      <c r="S79" s="61"/>
      <c r="T79" s="61"/>
      <c r="U79" s="61"/>
      <c r="V79" s="61"/>
      <c r="W79" s="61"/>
      <c r="X79" s="61"/>
      <c r="Y79" s="61"/>
      <c r="Z79" s="61"/>
    </row>
    <row r="80" ht="18.75" customHeight="1">
      <c r="A80" s="43">
        <f t="shared" si="1"/>
        <v>77</v>
      </c>
      <c r="B80" s="43" t="str">
        <f t="shared" si="2"/>
        <v>HL4</v>
      </c>
      <c r="C80" s="44" t="s">
        <v>316</v>
      </c>
      <c r="D80" s="45" t="s">
        <v>117</v>
      </c>
      <c r="E80" s="45" t="s">
        <v>40</v>
      </c>
      <c r="F80" s="45" t="s">
        <v>12</v>
      </c>
      <c r="G80" s="45" t="s">
        <v>118</v>
      </c>
      <c r="H80" s="43" t="s">
        <v>118</v>
      </c>
      <c r="I80" s="63">
        <v>38730.0</v>
      </c>
      <c r="J80" s="43">
        <f t="shared" si="3"/>
        <v>20</v>
      </c>
      <c r="K80" s="45">
        <v>3.330055459E9</v>
      </c>
      <c r="L80" s="48" t="s">
        <v>317</v>
      </c>
      <c r="M80" s="63">
        <v>45607.0</v>
      </c>
      <c r="N80" s="48" t="s">
        <v>318</v>
      </c>
      <c r="O80" s="61"/>
      <c r="P80" s="66"/>
      <c r="Q80" s="69"/>
      <c r="R80" s="61"/>
      <c r="S80" s="61"/>
      <c r="T80" s="61"/>
      <c r="U80" s="61"/>
      <c r="V80" s="61"/>
      <c r="W80" s="61"/>
      <c r="X80" s="61"/>
      <c r="Y80" s="61"/>
      <c r="Z80" s="61"/>
    </row>
    <row r="81" ht="18.75" hidden="1" customHeight="1">
      <c r="A81" s="56">
        <f t="shared" si="1"/>
        <v>78</v>
      </c>
      <c r="B81" s="56" t="str">
        <f t="shared" si="2"/>
        <v>MB23</v>
      </c>
      <c r="C81" s="57" t="s">
        <v>319</v>
      </c>
      <c r="D81" s="56" t="s">
        <v>128</v>
      </c>
      <c r="E81" s="56" t="s">
        <v>28</v>
      </c>
      <c r="F81" s="56" t="s">
        <v>7</v>
      </c>
      <c r="G81" s="56" t="s">
        <v>118</v>
      </c>
      <c r="H81" s="56" t="s">
        <v>118</v>
      </c>
      <c r="I81" s="59">
        <v>32768.0</v>
      </c>
      <c r="J81" s="56">
        <f t="shared" si="3"/>
        <v>36</v>
      </c>
      <c r="K81" s="56">
        <v>3.339046591E9</v>
      </c>
      <c r="L81" s="60" t="s">
        <v>320</v>
      </c>
      <c r="M81" s="59"/>
      <c r="N81" s="60"/>
      <c r="O81" s="34"/>
      <c r="P81" s="35"/>
      <c r="R81" s="34"/>
      <c r="S81" s="34"/>
      <c r="T81" s="34"/>
      <c r="U81" s="34"/>
      <c r="V81" s="34"/>
      <c r="W81" s="34"/>
      <c r="X81" s="34"/>
      <c r="Y81" s="34"/>
      <c r="Z81" s="34"/>
    </row>
    <row r="82" ht="18.75" hidden="1" customHeight="1">
      <c r="A82" s="56">
        <f t="shared" si="1"/>
        <v>79</v>
      </c>
      <c r="B82" s="56" t="str">
        <f t="shared" si="2"/>
        <v>HB14</v>
      </c>
      <c r="C82" s="57" t="s">
        <v>321</v>
      </c>
      <c r="D82" s="56" t="s">
        <v>117</v>
      </c>
      <c r="E82" s="56" t="s">
        <v>40</v>
      </c>
      <c r="F82" s="56" t="s">
        <v>7</v>
      </c>
      <c r="G82" s="56" t="s">
        <v>118</v>
      </c>
      <c r="H82" s="56" t="s">
        <v>118</v>
      </c>
      <c r="I82" s="59">
        <v>37564.0</v>
      </c>
      <c r="J82" s="56">
        <f t="shared" si="3"/>
        <v>23</v>
      </c>
      <c r="K82" s="56" t="s">
        <v>322</v>
      </c>
      <c r="L82" s="60" t="s">
        <v>323</v>
      </c>
      <c r="M82" s="59">
        <v>42708.0</v>
      </c>
      <c r="N82" s="60"/>
      <c r="O82" s="34"/>
      <c r="P82" s="35"/>
      <c r="R82" s="34"/>
      <c r="S82" s="34"/>
      <c r="T82" s="34"/>
      <c r="U82" s="34"/>
      <c r="V82" s="34"/>
      <c r="W82" s="34"/>
      <c r="X82" s="34"/>
      <c r="Y82" s="34"/>
      <c r="Z82" s="34"/>
    </row>
    <row r="83" ht="18.75" customHeight="1">
      <c r="A83" s="43">
        <f t="shared" si="1"/>
        <v>80</v>
      </c>
      <c r="B83" s="43" t="str">
        <f t="shared" si="2"/>
        <v>HS6</v>
      </c>
      <c r="C83" s="44" t="s">
        <v>324</v>
      </c>
      <c r="D83" s="45" t="s">
        <v>117</v>
      </c>
      <c r="E83" s="45" t="s">
        <v>22</v>
      </c>
      <c r="F83" s="45" t="s">
        <v>43</v>
      </c>
      <c r="G83" s="45" t="s">
        <v>118</v>
      </c>
      <c r="H83" s="43" t="s">
        <v>118</v>
      </c>
      <c r="I83" s="63">
        <v>31555.0</v>
      </c>
      <c r="J83" s="43">
        <f t="shared" si="3"/>
        <v>39</v>
      </c>
      <c r="K83" s="45">
        <v>3.311808412E9</v>
      </c>
      <c r="L83" s="48" t="s">
        <v>325</v>
      </c>
      <c r="M83" s="65">
        <v>46035.0</v>
      </c>
      <c r="N83" s="48" t="s">
        <v>326</v>
      </c>
      <c r="O83" s="61"/>
      <c r="P83" s="66"/>
      <c r="Q83" s="69"/>
      <c r="R83" s="61"/>
      <c r="S83" s="61"/>
      <c r="T83" s="61"/>
      <c r="U83" s="61"/>
      <c r="V83" s="61"/>
      <c r="W83" s="61"/>
      <c r="X83" s="61"/>
      <c r="Y83" s="61"/>
      <c r="Z83" s="61"/>
    </row>
    <row r="84" ht="18.75" customHeight="1">
      <c r="A84" s="43">
        <f t="shared" si="1"/>
        <v>81</v>
      </c>
      <c r="B84" s="43" t="str">
        <f t="shared" si="2"/>
        <v>MJ9</v>
      </c>
      <c r="C84" s="55" t="s">
        <v>327</v>
      </c>
      <c r="D84" s="43" t="s">
        <v>128</v>
      </c>
      <c r="E84" s="43" t="s">
        <v>140</v>
      </c>
      <c r="F84" s="43" t="s">
        <v>30</v>
      </c>
      <c r="G84" s="45" t="s">
        <v>118</v>
      </c>
      <c r="H84" s="43" t="s">
        <v>118</v>
      </c>
      <c r="I84" s="46">
        <v>21671.0</v>
      </c>
      <c r="J84" s="43">
        <f t="shared" si="3"/>
        <v>66</v>
      </c>
      <c r="K84" s="43">
        <v>3.334033963E9</v>
      </c>
      <c r="L84" s="47" t="s">
        <v>328</v>
      </c>
      <c r="M84" s="46"/>
      <c r="N84" s="48" t="s">
        <v>142</v>
      </c>
      <c r="O84" s="49"/>
      <c r="P84" s="66"/>
      <c r="Q84" s="69"/>
      <c r="R84" s="61"/>
      <c r="S84" s="61"/>
      <c r="T84" s="61"/>
      <c r="U84" s="61"/>
      <c r="V84" s="61"/>
      <c r="W84" s="61"/>
      <c r="X84" s="61"/>
      <c r="Y84" s="61"/>
      <c r="Z84" s="61"/>
    </row>
    <row r="85" ht="18.75" hidden="1" customHeight="1">
      <c r="A85" s="56">
        <f t="shared" si="1"/>
        <v>82</v>
      </c>
      <c r="B85" s="56" t="str">
        <f t="shared" si="2"/>
        <v>HB15</v>
      </c>
      <c r="C85" s="57" t="s">
        <v>329</v>
      </c>
      <c r="D85" s="56" t="s">
        <v>117</v>
      </c>
      <c r="E85" s="56" t="s">
        <v>40</v>
      </c>
      <c r="F85" s="58" t="s">
        <v>7</v>
      </c>
      <c r="G85" s="56" t="s">
        <v>118</v>
      </c>
      <c r="H85" s="56" t="s">
        <v>118</v>
      </c>
      <c r="I85" s="59">
        <v>39225.0</v>
      </c>
      <c r="J85" s="56">
        <f t="shared" si="3"/>
        <v>18</v>
      </c>
      <c r="K85" s="56">
        <v>3.328079212E9</v>
      </c>
      <c r="L85" s="60" t="s">
        <v>330</v>
      </c>
      <c r="M85" s="59">
        <v>44358.0</v>
      </c>
      <c r="N85" s="60" t="s">
        <v>202</v>
      </c>
      <c r="O85" s="31"/>
      <c r="P85" s="35"/>
      <c r="R85" s="34"/>
      <c r="S85" s="34"/>
      <c r="T85" s="34"/>
      <c r="U85" s="34"/>
      <c r="V85" s="34"/>
      <c r="W85" s="34"/>
      <c r="X85" s="34"/>
      <c r="Y85" s="34"/>
      <c r="Z85" s="34"/>
    </row>
    <row r="86" ht="18.75" hidden="1" customHeight="1">
      <c r="A86" s="56">
        <f t="shared" si="1"/>
        <v>83</v>
      </c>
      <c r="B86" s="56" t="str">
        <f t="shared" si="2"/>
        <v>MB24</v>
      </c>
      <c r="C86" s="57" t="s">
        <v>331</v>
      </c>
      <c r="D86" s="56" t="s">
        <v>128</v>
      </c>
      <c r="E86" s="56" t="s">
        <v>40</v>
      </c>
      <c r="F86" s="56" t="s">
        <v>7</v>
      </c>
      <c r="G86" s="56" t="s">
        <v>118</v>
      </c>
      <c r="H86" s="56" t="s">
        <v>118</v>
      </c>
      <c r="I86" s="59">
        <v>37287.0</v>
      </c>
      <c r="J86" s="56">
        <f t="shared" si="3"/>
        <v>24</v>
      </c>
      <c r="K86" s="56">
        <v>3.31180102E9</v>
      </c>
      <c r="L86" s="60" t="s">
        <v>332</v>
      </c>
      <c r="M86" s="59"/>
      <c r="N86" s="60"/>
      <c r="O86" s="31"/>
      <c r="P86" s="35"/>
      <c r="R86" s="34"/>
      <c r="S86" s="34"/>
      <c r="T86" s="34"/>
      <c r="U86" s="34"/>
      <c r="V86" s="34"/>
      <c r="W86" s="34"/>
      <c r="X86" s="34"/>
      <c r="Y86" s="34"/>
      <c r="Z86" s="34"/>
    </row>
    <row r="87" ht="18.75" hidden="1" customHeight="1">
      <c r="A87" s="56">
        <f t="shared" si="1"/>
        <v>84</v>
      </c>
      <c r="B87" s="56" t="str">
        <f t="shared" si="2"/>
        <v>HB16</v>
      </c>
      <c r="C87" s="57" t="s">
        <v>333</v>
      </c>
      <c r="D87" s="56" t="s">
        <v>117</v>
      </c>
      <c r="E87" s="56" t="s">
        <v>16</v>
      </c>
      <c r="F87" s="58" t="s">
        <v>7</v>
      </c>
      <c r="G87" s="56" t="s">
        <v>118</v>
      </c>
      <c r="H87" s="56" t="s">
        <v>118</v>
      </c>
      <c r="I87" s="59">
        <v>26467.0</v>
      </c>
      <c r="J87" s="56">
        <f t="shared" si="3"/>
        <v>53</v>
      </c>
      <c r="K87" s="56">
        <v>3.328109655E9</v>
      </c>
      <c r="L87" s="60" t="s">
        <v>334</v>
      </c>
      <c r="M87" s="59">
        <v>44777.0</v>
      </c>
      <c r="N87" s="60" t="s">
        <v>335</v>
      </c>
      <c r="O87" s="31"/>
      <c r="P87" s="35"/>
      <c r="R87" s="34"/>
      <c r="S87" s="34"/>
      <c r="T87" s="34"/>
      <c r="U87" s="34"/>
      <c r="V87" s="34"/>
      <c r="W87" s="34"/>
      <c r="X87" s="34"/>
      <c r="Y87" s="34"/>
      <c r="Z87" s="34"/>
    </row>
    <row r="88" ht="18.75" customHeight="1">
      <c r="A88" s="43">
        <f t="shared" si="1"/>
        <v>85</v>
      </c>
      <c r="B88" s="43" t="str">
        <f t="shared" si="2"/>
        <v>HV3</v>
      </c>
      <c r="C88" s="55" t="s">
        <v>336</v>
      </c>
      <c r="D88" s="43" t="s">
        <v>117</v>
      </c>
      <c r="E88" s="43" t="s">
        <v>40</v>
      </c>
      <c r="F88" s="43" t="s">
        <v>36</v>
      </c>
      <c r="G88" s="43"/>
      <c r="H88" s="43" t="s">
        <v>118</v>
      </c>
      <c r="I88" s="46">
        <v>39317.0</v>
      </c>
      <c r="J88" s="43">
        <f t="shared" si="3"/>
        <v>18</v>
      </c>
      <c r="K88" s="43">
        <v>3.334423388E9</v>
      </c>
      <c r="L88" s="47" t="s">
        <v>337</v>
      </c>
      <c r="M88" s="46">
        <v>44753.0</v>
      </c>
      <c r="N88" s="47" t="s">
        <v>338</v>
      </c>
      <c r="O88" s="49"/>
      <c r="P88" s="66"/>
      <c r="Q88" s="69"/>
      <c r="R88" s="61"/>
      <c r="S88" s="61"/>
      <c r="T88" s="61"/>
      <c r="U88" s="61"/>
      <c r="V88" s="61"/>
      <c r="W88" s="61"/>
      <c r="X88" s="61"/>
      <c r="Y88" s="61"/>
      <c r="Z88" s="61"/>
    </row>
    <row r="89" ht="18.75" customHeight="1">
      <c r="A89" s="43">
        <f t="shared" si="1"/>
        <v>86</v>
      </c>
      <c r="B89" s="43" t="str">
        <f t="shared" si="2"/>
        <v>HJ4</v>
      </c>
      <c r="C89" s="55" t="s">
        <v>339</v>
      </c>
      <c r="D89" s="43" t="s">
        <v>117</v>
      </c>
      <c r="E89" s="43" t="s">
        <v>140</v>
      </c>
      <c r="F89" s="43" t="s">
        <v>30</v>
      </c>
      <c r="G89" s="45" t="s">
        <v>118</v>
      </c>
      <c r="H89" s="43" t="s">
        <v>118</v>
      </c>
      <c r="I89" s="46">
        <v>16522.0</v>
      </c>
      <c r="J89" s="43">
        <f t="shared" si="3"/>
        <v>81</v>
      </c>
      <c r="K89" s="43">
        <v>3.316289925E9</v>
      </c>
      <c r="L89" s="47" t="s">
        <v>340</v>
      </c>
      <c r="M89" s="46"/>
      <c r="N89" s="48" t="s">
        <v>341</v>
      </c>
      <c r="O89" s="49"/>
      <c r="P89" s="66"/>
      <c r="Q89" s="69"/>
      <c r="R89" s="66"/>
      <c r="S89" s="66"/>
      <c r="T89" s="66"/>
      <c r="U89" s="66"/>
      <c r="V89" s="66"/>
      <c r="W89" s="66"/>
      <c r="X89" s="66"/>
      <c r="Y89" s="66"/>
      <c r="Z89" s="66"/>
    </row>
    <row r="90" ht="18.75" hidden="1" customHeight="1">
      <c r="A90" s="56">
        <f t="shared" si="1"/>
        <v>87</v>
      </c>
      <c r="B90" s="56" t="str">
        <f t="shared" si="2"/>
        <v>MB25</v>
      </c>
      <c r="C90" s="57" t="s">
        <v>342</v>
      </c>
      <c r="D90" s="56" t="s">
        <v>128</v>
      </c>
      <c r="E90" s="56" t="s">
        <v>40</v>
      </c>
      <c r="F90" s="58" t="s">
        <v>7</v>
      </c>
      <c r="G90" s="56" t="s">
        <v>118</v>
      </c>
      <c r="H90" s="56" t="s">
        <v>118</v>
      </c>
      <c r="I90" s="59">
        <v>39077.0</v>
      </c>
      <c r="J90" s="56">
        <f t="shared" si="3"/>
        <v>19</v>
      </c>
      <c r="K90" s="56"/>
      <c r="L90" s="60" t="s">
        <v>343</v>
      </c>
      <c r="M90" s="59">
        <v>43843.0</v>
      </c>
      <c r="N90" s="60" t="s">
        <v>235</v>
      </c>
      <c r="O90" s="31"/>
      <c r="P90" s="35"/>
      <c r="R90" s="35"/>
      <c r="S90" s="35"/>
      <c r="T90" s="35"/>
      <c r="U90" s="35"/>
      <c r="V90" s="35"/>
      <c r="W90" s="35"/>
      <c r="X90" s="35"/>
      <c r="Y90" s="35"/>
      <c r="Z90" s="35"/>
    </row>
    <row r="91" ht="18.75" hidden="1" customHeight="1">
      <c r="A91" s="56">
        <f t="shared" si="1"/>
        <v>88</v>
      </c>
      <c r="B91" s="56" t="str">
        <f t="shared" si="2"/>
        <v>HB17</v>
      </c>
      <c r="C91" s="57" t="s">
        <v>344</v>
      </c>
      <c r="D91" s="56" t="s">
        <v>117</v>
      </c>
      <c r="E91" s="56" t="s">
        <v>40</v>
      </c>
      <c r="F91" s="56" t="s">
        <v>7</v>
      </c>
      <c r="G91" s="56" t="s">
        <v>118</v>
      </c>
      <c r="H91" s="56" t="s">
        <v>165</v>
      </c>
      <c r="I91" s="59">
        <v>36724.0</v>
      </c>
      <c r="J91" s="56">
        <f t="shared" si="3"/>
        <v>25</v>
      </c>
      <c r="K91" s="56">
        <v>3.319471406E9</v>
      </c>
      <c r="L91" s="60" t="s">
        <v>345</v>
      </c>
      <c r="M91" s="59"/>
      <c r="N91" s="60" t="s">
        <v>346</v>
      </c>
      <c r="O91" s="31"/>
      <c r="P91" s="35"/>
      <c r="R91" s="35"/>
      <c r="S91" s="35"/>
      <c r="T91" s="35"/>
      <c r="U91" s="35"/>
      <c r="V91" s="35"/>
      <c r="W91" s="35"/>
      <c r="X91" s="35"/>
      <c r="Y91" s="35"/>
      <c r="Z91" s="35"/>
    </row>
    <row r="92" ht="18.75" customHeight="1">
      <c r="A92" s="43">
        <f t="shared" si="1"/>
        <v>89</v>
      </c>
      <c r="B92" s="43" t="str">
        <f t="shared" si="2"/>
        <v>ML4</v>
      </c>
      <c r="C92" s="55" t="s">
        <v>347</v>
      </c>
      <c r="D92" s="43" t="s">
        <v>128</v>
      </c>
      <c r="E92" s="43" t="s">
        <v>34</v>
      </c>
      <c r="F92" s="43" t="s">
        <v>12</v>
      </c>
      <c r="G92" s="45" t="s">
        <v>118</v>
      </c>
      <c r="H92" s="43" t="s">
        <v>118</v>
      </c>
      <c r="I92" s="46">
        <v>18855.0</v>
      </c>
      <c r="J92" s="43">
        <f t="shared" si="3"/>
        <v>74</v>
      </c>
      <c r="K92" s="43">
        <v>3.310548808E9</v>
      </c>
      <c r="L92" s="47" t="s">
        <v>348</v>
      </c>
      <c r="M92" s="46"/>
      <c r="N92" s="47"/>
      <c r="O92" s="49"/>
      <c r="P92" s="66"/>
      <c r="Q92" s="69"/>
      <c r="R92" s="66"/>
      <c r="S92" s="66"/>
      <c r="T92" s="66"/>
      <c r="U92" s="66"/>
      <c r="V92" s="66"/>
      <c r="W92" s="66"/>
      <c r="X92" s="66"/>
      <c r="Y92" s="66"/>
      <c r="Z92" s="66"/>
    </row>
    <row r="93" ht="18.75" hidden="1" customHeight="1">
      <c r="A93" s="56">
        <f t="shared" si="1"/>
        <v>90</v>
      </c>
      <c r="B93" s="56" t="str">
        <f t="shared" si="2"/>
        <v>HB18</v>
      </c>
      <c r="C93" s="57" t="s">
        <v>349</v>
      </c>
      <c r="D93" s="56" t="s">
        <v>117</v>
      </c>
      <c r="E93" s="56" t="s">
        <v>40</v>
      </c>
      <c r="F93" s="56" t="s">
        <v>7</v>
      </c>
      <c r="G93" s="56" t="s">
        <v>118</v>
      </c>
      <c r="H93" s="56" t="s">
        <v>118</v>
      </c>
      <c r="I93" s="59">
        <v>36609.0</v>
      </c>
      <c r="J93" s="56">
        <f t="shared" si="3"/>
        <v>26</v>
      </c>
      <c r="K93" s="56">
        <v>5.537782007E9</v>
      </c>
      <c r="L93" s="60" t="s">
        <v>350</v>
      </c>
      <c r="M93" s="59">
        <v>43107.0</v>
      </c>
      <c r="N93" s="60"/>
      <c r="O93" s="31"/>
      <c r="P93" s="35"/>
      <c r="R93" s="35"/>
      <c r="S93" s="35"/>
      <c r="T93" s="35"/>
      <c r="U93" s="35"/>
      <c r="V93" s="35"/>
      <c r="W93" s="35"/>
      <c r="X93" s="35"/>
      <c r="Y93" s="35"/>
      <c r="Z93" s="35"/>
    </row>
    <row r="94" ht="18.75" hidden="1" customHeight="1">
      <c r="A94" s="56">
        <f t="shared" si="1"/>
        <v>91</v>
      </c>
      <c r="B94" s="56" t="str">
        <f t="shared" si="2"/>
        <v>HB19</v>
      </c>
      <c r="C94" s="57" t="s">
        <v>351</v>
      </c>
      <c r="D94" s="56" t="s">
        <v>117</v>
      </c>
      <c r="E94" s="56" t="s">
        <v>40</v>
      </c>
      <c r="F94" s="58" t="s">
        <v>7</v>
      </c>
      <c r="G94" s="56" t="s">
        <v>118</v>
      </c>
      <c r="H94" s="56" t="s">
        <v>118</v>
      </c>
      <c r="I94" s="59">
        <v>37872.0</v>
      </c>
      <c r="J94" s="56">
        <f t="shared" si="3"/>
        <v>22</v>
      </c>
      <c r="K94" s="56">
        <v>3.333301156E9</v>
      </c>
      <c r="L94" s="60" t="s">
        <v>352</v>
      </c>
      <c r="M94" s="59">
        <v>44102.0</v>
      </c>
      <c r="N94" s="60" t="s">
        <v>353</v>
      </c>
      <c r="O94" s="31"/>
      <c r="P94" s="35"/>
      <c r="R94" s="35"/>
      <c r="S94" s="35"/>
      <c r="T94" s="35"/>
      <c r="U94" s="35"/>
      <c r="V94" s="35"/>
      <c r="W94" s="35"/>
      <c r="X94" s="35"/>
      <c r="Y94" s="35"/>
      <c r="Z94" s="35"/>
    </row>
    <row r="95" ht="18.75" customHeight="1">
      <c r="A95" s="43">
        <f t="shared" si="1"/>
        <v>92</v>
      </c>
      <c r="B95" s="43" t="str">
        <f t="shared" si="2"/>
        <v>MD4</v>
      </c>
      <c r="C95" s="55" t="s">
        <v>354</v>
      </c>
      <c r="D95" s="43" t="s">
        <v>128</v>
      </c>
      <c r="E95" s="43" t="s">
        <v>16</v>
      </c>
      <c r="F95" s="43" t="s">
        <v>49</v>
      </c>
      <c r="G95" s="45" t="s">
        <v>118</v>
      </c>
      <c r="H95" s="43" t="s">
        <v>118</v>
      </c>
      <c r="I95" s="46">
        <v>24880.0</v>
      </c>
      <c r="J95" s="43">
        <f t="shared" si="3"/>
        <v>58</v>
      </c>
      <c r="K95" s="43">
        <v>3.315026214E9</v>
      </c>
      <c r="L95" s="47" t="s">
        <v>355</v>
      </c>
      <c r="M95" s="46">
        <v>43986.0</v>
      </c>
      <c r="N95" s="48" t="s">
        <v>356</v>
      </c>
      <c r="O95" s="49"/>
      <c r="P95" s="66"/>
      <c r="Q95" s="69"/>
      <c r="R95" s="66"/>
      <c r="S95" s="66"/>
      <c r="T95" s="66"/>
      <c r="U95" s="66"/>
      <c r="V95" s="66"/>
      <c r="W95" s="66"/>
      <c r="X95" s="66"/>
      <c r="Y95" s="66"/>
      <c r="Z95" s="66"/>
    </row>
    <row r="96" ht="18.75" customHeight="1">
      <c r="A96" s="43">
        <f t="shared" si="1"/>
        <v>93</v>
      </c>
      <c r="B96" s="43" t="str">
        <f t="shared" si="2"/>
        <v>MS3</v>
      </c>
      <c r="C96" s="44" t="s">
        <v>357</v>
      </c>
      <c r="D96" s="45" t="s">
        <v>128</v>
      </c>
      <c r="E96" s="45" t="s">
        <v>40</v>
      </c>
      <c r="F96" s="45" t="s">
        <v>43</v>
      </c>
      <c r="G96" s="45"/>
      <c r="H96" s="43" t="s">
        <v>118</v>
      </c>
      <c r="I96" s="63">
        <v>40608.0</v>
      </c>
      <c r="J96" s="43">
        <f t="shared" si="3"/>
        <v>15</v>
      </c>
      <c r="K96" s="45">
        <v>3.316910315E9</v>
      </c>
      <c r="L96" s="48" t="s">
        <v>358</v>
      </c>
      <c r="M96" s="70">
        <v>45603.0</v>
      </c>
      <c r="N96" s="48" t="s">
        <v>359</v>
      </c>
      <c r="O96" s="49"/>
      <c r="P96" s="66"/>
      <c r="Q96" s="69"/>
      <c r="R96" s="66"/>
      <c r="S96" s="66"/>
      <c r="T96" s="66"/>
      <c r="U96" s="66"/>
      <c r="V96" s="66"/>
      <c r="W96" s="66"/>
      <c r="X96" s="66"/>
      <c r="Y96" s="66"/>
      <c r="Z96" s="66"/>
    </row>
    <row r="97" ht="18.75" customHeight="1">
      <c r="A97" s="43">
        <f t="shared" si="1"/>
        <v>94</v>
      </c>
      <c r="B97" s="43" t="str">
        <f t="shared" si="2"/>
        <v>HJ5</v>
      </c>
      <c r="C97" s="55" t="s">
        <v>360</v>
      </c>
      <c r="D97" s="43" t="s">
        <v>117</v>
      </c>
      <c r="E97" s="43" t="s">
        <v>34</v>
      </c>
      <c r="F97" s="43" t="s">
        <v>30</v>
      </c>
      <c r="G97" s="45" t="s">
        <v>118</v>
      </c>
      <c r="H97" s="43" t="s">
        <v>118</v>
      </c>
      <c r="I97" s="46">
        <v>11513.0</v>
      </c>
      <c r="J97" s="43">
        <f t="shared" si="3"/>
        <v>94</v>
      </c>
      <c r="K97" s="43" t="s">
        <v>223</v>
      </c>
      <c r="L97" s="47" t="s">
        <v>361</v>
      </c>
      <c r="M97" s="46"/>
      <c r="N97" s="48" t="s">
        <v>362</v>
      </c>
      <c r="O97" s="49"/>
      <c r="P97" s="66"/>
      <c r="Q97" s="69"/>
      <c r="R97" s="66"/>
      <c r="S97" s="66"/>
      <c r="T97" s="66"/>
      <c r="U97" s="66"/>
      <c r="V97" s="66"/>
      <c r="W97" s="66"/>
      <c r="X97" s="66"/>
      <c r="Y97" s="66"/>
      <c r="Z97" s="66"/>
    </row>
    <row r="98" ht="18.75" hidden="1" customHeight="1">
      <c r="A98" s="56">
        <f t="shared" si="1"/>
        <v>95</v>
      </c>
      <c r="B98" s="56" t="str">
        <f t="shared" si="2"/>
        <v>HB20</v>
      </c>
      <c r="C98" s="57" t="s">
        <v>363</v>
      </c>
      <c r="D98" s="56" t="s">
        <v>117</v>
      </c>
      <c r="E98" s="56" t="s">
        <v>40</v>
      </c>
      <c r="F98" s="58" t="s">
        <v>7</v>
      </c>
      <c r="G98" s="56" t="s">
        <v>118</v>
      </c>
      <c r="H98" s="56" t="s">
        <v>118</v>
      </c>
      <c r="I98" s="59">
        <v>38280.0</v>
      </c>
      <c r="J98" s="56">
        <f t="shared" si="3"/>
        <v>21</v>
      </c>
      <c r="K98" s="56">
        <v>3.322024509E9</v>
      </c>
      <c r="L98" s="60" t="s">
        <v>364</v>
      </c>
      <c r="M98" s="59">
        <v>43604.0</v>
      </c>
      <c r="N98" s="60" t="s">
        <v>218</v>
      </c>
      <c r="O98" s="35"/>
      <c r="P98" s="34"/>
      <c r="R98" s="35"/>
      <c r="S98" s="35"/>
      <c r="T98" s="35"/>
      <c r="U98" s="35"/>
      <c r="V98" s="35"/>
      <c r="W98" s="35"/>
      <c r="X98" s="35"/>
      <c r="Y98" s="35"/>
      <c r="Z98" s="35"/>
    </row>
    <row r="99" ht="18.75" customHeight="1">
      <c r="A99" s="43">
        <f t="shared" si="1"/>
        <v>96</v>
      </c>
      <c r="B99" s="43" t="str">
        <f t="shared" si="2"/>
        <v>ML5</v>
      </c>
      <c r="C99" s="55" t="s">
        <v>365</v>
      </c>
      <c r="D99" s="43" t="s">
        <v>128</v>
      </c>
      <c r="E99" s="43" t="s">
        <v>34</v>
      </c>
      <c r="F99" s="45" t="s">
        <v>12</v>
      </c>
      <c r="G99" s="45" t="s">
        <v>118</v>
      </c>
      <c r="H99" s="43" t="s">
        <v>118</v>
      </c>
      <c r="I99" s="46">
        <v>23272.0</v>
      </c>
      <c r="J99" s="43">
        <f t="shared" si="3"/>
        <v>62</v>
      </c>
      <c r="K99" s="43">
        <v>3.315303935E9</v>
      </c>
      <c r="L99" s="47" t="s">
        <v>366</v>
      </c>
      <c r="M99" s="46"/>
      <c r="N99" s="48" t="s">
        <v>221</v>
      </c>
      <c r="O99" s="66"/>
      <c r="P99" s="61"/>
      <c r="Q99" s="69"/>
      <c r="R99" s="66"/>
      <c r="S99" s="66"/>
      <c r="T99" s="66"/>
      <c r="U99" s="66"/>
      <c r="V99" s="66"/>
      <c r="W99" s="66"/>
      <c r="X99" s="66"/>
      <c r="Y99" s="66"/>
      <c r="Z99" s="66"/>
    </row>
    <row r="100" ht="18.75" customHeight="1">
      <c r="A100" s="43">
        <f t="shared" si="1"/>
        <v>97</v>
      </c>
      <c r="B100" s="43" t="str">
        <f t="shared" si="2"/>
        <v>HV4</v>
      </c>
      <c r="C100" s="55" t="s">
        <v>367</v>
      </c>
      <c r="D100" s="43" t="s">
        <v>117</v>
      </c>
      <c r="E100" s="43" t="s">
        <v>40</v>
      </c>
      <c r="F100" s="43" t="s">
        <v>36</v>
      </c>
      <c r="G100" s="43"/>
      <c r="H100" s="43" t="s">
        <v>118</v>
      </c>
      <c r="I100" s="46">
        <v>36279.0</v>
      </c>
      <c r="J100" s="43">
        <f t="shared" si="3"/>
        <v>26</v>
      </c>
      <c r="K100" s="43">
        <v>3.311555794E9</v>
      </c>
      <c r="L100" s="47" t="s">
        <v>368</v>
      </c>
      <c r="M100" s="46"/>
      <c r="N100" s="47"/>
      <c r="O100" s="66"/>
      <c r="P100" s="61"/>
      <c r="Q100" s="69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8.75" customHeight="1">
      <c r="A101" s="56">
        <f t="shared" si="1"/>
        <v>98</v>
      </c>
      <c r="B101" s="56" t="str">
        <f t="shared" si="2"/>
        <v>MMi2</v>
      </c>
      <c r="C101" s="57" t="s">
        <v>369</v>
      </c>
      <c r="D101" s="56" t="s">
        <v>128</v>
      </c>
      <c r="E101" s="56" t="s">
        <v>22</v>
      </c>
      <c r="F101" s="56" t="s">
        <v>24</v>
      </c>
      <c r="G101" s="58" t="s">
        <v>118</v>
      </c>
      <c r="H101" s="56" t="s">
        <v>118</v>
      </c>
      <c r="I101" s="59">
        <v>31623.0</v>
      </c>
      <c r="J101" s="56">
        <f t="shared" si="3"/>
        <v>39</v>
      </c>
      <c r="K101" s="56">
        <v>3.323527757E9</v>
      </c>
      <c r="L101" s="60" t="s">
        <v>370</v>
      </c>
      <c r="M101" s="59"/>
      <c r="N101" s="71" t="s">
        <v>371</v>
      </c>
      <c r="O101" s="35"/>
      <c r="P101" s="34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8.75" hidden="1" customHeight="1">
      <c r="A102" s="56">
        <f t="shared" si="1"/>
        <v>99</v>
      </c>
      <c r="B102" s="56" t="str">
        <f t="shared" si="2"/>
        <v>HB21</v>
      </c>
      <c r="C102" s="57" t="s">
        <v>372</v>
      </c>
      <c r="D102" s="56" t="s">
        <v>117</v>
      </c>
      <c r="E102" s="56" t="s">
        <v>40</v>
      </c>
      <c r="F102" s="56" t="s">
        <v>7</v>
      </c>
      <c r="G102" s="56" t="s">
        <v>118</v>
      </c>
      <c r="H102" s="56" t="s">
        <v>118</v>
      </c>
      <c r="I102" s="59">
        <v>35210.0</v>
      </c>
      <c r="J102" s="56">
        <f t="shared" si="3"/>
        <v>29</v>
      </c>
      <c r="K102" s="56">
        <v>3.334973578E9</v>
      </c>
      <c r="L102" s="60" t="s">
        <v>373</v>
      </c>
      <c r="M102" s="59">
        <v>43003.0</v>
      </c>
      <c r="N102" s="60"/>
      <c r="O102" s="35"/>
      <c r="P102" s="34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8.75" customHeight="1">
      <c r="A103" s="56">
        <f t="shared" si="1"/>
        <v>100</v>
      </c>
      <c r="B103" s="56" t="str">
        <f t="shared" si="2"/>
        <v>MMa3</v>
      </c>
      <c r="C103" s="72" t="s">
        <v>374</v>
      </c>
      <c r="D103" s="58" t="s">
        <v>128</v>
      </c>
      <c r="E103" s="58" t="s">
        <v>16</v>
      </c>
      <c r="F103" s="58" t="s">
        <v>18</v>
      </c>
      <c r="G103" s="58" t="s">
        <v>118</v>
      </c>
      <c r="H103" s="56" t="s">
        <v>118</v>
      </c>
      <c r="I103" s="73">
        <v>24122.0</v>
      </c>
      <c r="J103" s="56">
        <f t="shared" si="3"/>
        <v>60</v>
      </c>
      <c r="K103" s="58">
        <v>3.31010003E9</v>
      </c>
      <c r="L103" s="71" t="s">
        <v>375</v>
      </c>
      <c r="M103" s="73">
        <v>45795.0</v>
      </c>
      <c r="N103" s="71" t="s">
        <v>376</v>
      </c>
      <c r="O103" s="35"/>
      <c r="P103" s="34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8.75" customHeight="1">
      <c r="A104" s="56">
        <f t="shared" si="1"/>
        <v>101</v>
      </c>
      <c r="B104" s="56" t="str">
        <f t="shared" si="2"/>
        <v>MJ10</v>
      </c>
      <c r="C104" s="57" t="s">
        <v>377</v>
      </c>
      <c r="D104" s="56" t="s">
        <v>128</v>
      </c>
      <c r="E104" s="58" t="s">
        <v>34</v>
      </c>
      <c r="F104" s="56" t="s">
        <v>30</v>
      </c>
      <c r="G104" s="58" t="s">
        <v>118</v>
      </c>
      <c r="H104" s="56" t="s">
        <v>118</v>
      </c>
      <c r="I104" s="59">
        <v>21883.0</v>
      </c>
      <c r="J104" s="56">
        <f t="shared" si="3"/>
        <v>66</v>
      </c>
      <c r="K104" s="56">
        <v>3.334747859E9</v>
      </c>
      <c r="L104" s="60" t="s">
        <v>378</v>
      </c>
      <c r="M104" s="59"/>
      <c r="N104" s="71" t="s">
        <v>379</v>
      </c>
      <c r="O104" s="35"/>
      <c r="P104" s="34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8.75" customHeight="1">
      <c r="A105" s="56">
        <f t="shared" si="1"/>
        <v>102</v>
      </c>
      <c r="B105" s="56" t="str">
        <f t="shared" si="2"/>
        <v>MJ11</v>
      </c>
      <c r="C105" s="72" t="s">
        <v>380</v>
      </c>
      <c r="D105" s="58" t="s">
        <v>128</v>
      </c>
      <c r="E105" s="58" t="s">
        <v>16</v>
      </c>
      <c r="F105" s="58" t="s">
        <v>30</v>
      </c>
      <c r="G105" s="58"/>
      <c r="H105" s="56" t="s">
        <v>118</v>
      </c>
      <c r="I105" s="73">
        <v>30943.0</v>
      </c>
      <c r="J105" s="56">
        <f t="shared" si="3"/>
        <v>41</v>
      </c>
      <c r="K105" s="58">
        <v>3.313196139E9</v>
      </c>
      <c r="L105" s="71" t="s">
        <v>381</v>
      </c>
      <c r="M105" s="74">
        <v>45555.0</v>
      </c>
      <c r="N105" s="71" t="s">
        <v>382</v>
      </c>
      <c r="O105" s="35"/>
      <c r="P105" s="34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8.75" customHeight="1">
      <c r="A106" s="56">
        <f t="shared" si="1"/>
        <v>103</v>
      </c>
      <c r="B106" s="56" t="str">
        <f t="shared" si="2"/>
        <v>MV7</v>
      </c>
      <c r="C106" s="57" t="s">
        <v>383</v>
      </c>
      <c r="D106" s="56" t="s">
        <v>128</v>
      </c>
      <c r="E106" s="56" t="s">
        <v>140</v>
      </c>
      <c r="F106" s="56" t="s">
        <v>36</v>
      </c>
      <c r="G106" s="58" t="s">
        <v>118</v>
      </c>
      <c r="H106" s="56" t="s">
        <v>118</v>
      </c>
      <c r="I106" s="59">
        <v>21396.0</v>
      </c>
      <c r="J106" s="56">
        <f t="shared" si="3"/>
        <v>67</v>
      </c>
      <c r="K106" s="56">
        <v>3.31434614E9</v>
      </c>
      <c r="L106" s="60" t="s">
        <v>384</v>
      </c>
      <c r="M106" s="59"/>
      <c r="N106" s="71" t="s">
        <v>385</v>
      </c>
      <c r="O106" s="35"/>
      <c r="P106" s="34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8.75" customHeight="1">
      <c r="A107" s="56">
        <f t="shared" si="1"/>
        <v>104</v>
      </c>
      <c r="B107" s="56" t="str">
        <f t="shared" si="2"/>
        <v>ML6</v>
      </c>
      <c r="C107" s="57" t="s">
        <v>386</v>
      </c>
      <c r="D107" s="56" t="s">
        <v>128</v>
      </c>
      <c r="E107" s="56" t="s">
        <v>34</v>
      </c>
      <c r="F107" s="56" t="s">
        <v>12</v>
      </c>
      <c r="G107" s="56"/>
      <c r="H107" s="56" t="s">
        <v>118</v>
      </c>
      <c r="I107" s="59">
        <v>20476.0</v>
      </c>
      <c r="J107" s="56">
        <f t="shared" si="3"/>
        <v>70</v>
      </c>
      <c r="K107" s="56">
        <v>3.334471364E9</v>
      </c>
      <c r="L107" s="60" t="s">
        <v>384</v>
      </c>
      <c r="M107" s="59"/>
      <c r="N107" s="60"/>
      <c r="O107" s="35"/>
      <c r="P107" s="34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8.75" hidden="1" customHeight="1">
      <c r="A108" s="56">
        <f t="shared" si="1"/>
        <v>105</v>
      </c>
      <c r="B108" s="56" t="str">
        <f t="shared" si="2"/>
        <v>HB22</v>
      </c>
      <c r="C108" s="57" t="s">
        <v>387</v>
      </c>
      <c r="D108" s="56" t="s">
        <v>117</v>
      </c>
      <c r="E108" s="56" t="s">
        <v>140</v>
      </c>
      <c r="F108" s="56" t="s">
        <v>7</v>
      </c>
      <c r="G108" s="56" t="s">
        <v>118</v>
      </c>
      <c r="H108" s="56" t="s">
        <v>118</v>
      </c>
      <c r="I108" s="59">
        <v>24143.0</v>
      </c>
      <c r="J108" s="56">
        <f t="shared" si="3"/>
        <v>60</v>
      </c>
      <c r="K108" s="56">
        <v>3.310730329E9</v>
      </c>
      <c r="L108" s="60" t="s">
        <v>388</v>
      </c>
      <c r="M108" s="59"/>
      <c r="N108" s="60"/>
      <c r="O108" s="35"/>
      <c r="P108" s="34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8.75" customHeight="1">
      <c r="A109" s="75">
        <f t="shared" si="1"/>
        <v>106</v>
      </c>
      <c r="B109" s="75" t="str">
        <f t="shared" si="2"/>
        <v>MJ12</v>
      </c>
      <c r="C109" s="76" t="s">
        <v>389</v>
      </c>
      <c r="D109" s="77" t="s">
        <v>128</v>
      </c>
      <c r="E109" s="77" t="s">
        <v>22</v>
      </c>
      <c r="F109" s="77" t="s">
        <v>30</v>
      </c>
      <c r="G109" s="77" t="s">
        <v>118</v>
      </c>
      <c r="H109" s="75" t="s">
        <v>118</v>
      </c>
      <c r="I109" s="78">
        <v>33228.0</v>
      </c>
      <c r="J109" s="75">
        <f t="shared" si="3"/>
        <v>35</v>
      </c>
      <c r="K109" s="77">
        <v>3.343836616E9</v>
      </c>
      <c r="L109" s="79" t="s">
        <v>390</v>
      </c>
      <c r="M109" s="80">
        <v>45960.0</v>
      </c>
      <c r="N109" s="71" t="s">
        <v>391</v>
      </c>
      <c r="O109" s="35"/>
      <c r="P109" s="34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8.75" hidden="1" customHeight="1">
      <c r="A110" s="56">
        <f t="shared" si="1"/>
        <v>107</v>
      </c>
      <c r="B110" s="56" t="str">
        <f t="shared" si="2"/>
        <v>HB23</v>
      </c>
      <c r="C110" s="57" t="s">
        <v>392</v>
      </c>
      <c r="D110" s="56" t="s">
        <v>117</v>
      </c>
      <c r="E110" s="56" t="s">
        <v>22</v>
      </c>
      <c r="F110" s="56" t="s">
        <v>7</v>
      </c>
      <c r="G110" s="56" t="s">
        <v>118</v>
      </c>
      <c r="H110" s="56" t="s">
        <v>118</v>
      </c>
      <c r="I110" s="59">
        <v>27033.0</v>
      </c>
      <c r="J110" s="56">
        <f t="shared" si="3"/>
        <v>52</v>
      </c>
      <c r="K110" s="56">
        <v>3.310197194E9</v>
      </c>
      <c r="L110" s="60" t="s">
        <v>393</v>
      </c>
      <c r="M110" s="59">
        <v>43198.0</v>
      </c>
      <c r="N110" s="60"/>
      <c r="O110" s="35"/>
      <c r="P110" s="34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8.75" hidden="1" customHeight="1">
      <c r="A111" s="56">
        <f t="shared" si="1"/>
        <v>108</v>
      </c>
      <c r="B111" s="56" t="str">
        <f t="shared" si="2"/>
        <v>HB24</v>
      </c>
      <c r="C111" s="57" t="s">
        <v>394</v>
      </c>
      <c r="D111" s="56" t="s">
        <v>117</v>
      </c>
      <c r="E111" s="56" t="s">
        <v>40</v>
      </c>
      <c r="F111" s="56" t="s">
        <v>7</v>
      </c>
      <c r="G111" s="56" t="s">
        <v>118</v>
      </c>
      <c r="H111" s="56" t="s">
        <v>118</v>
      </c>
      <c r="I111" s="59">
        <v>37488.0</v>
      </c>
      <c r="J111" s="56">
        <f t="shared" si="3"/>
        <v>23</v>
      </c>
      <c r="K111" s="56">
        <v>3.316709123E9</v>
      </c>
      <c r="L111" s="60" t="s">
        <v>395</v>
      </c>
      <c r="M111" s="59">
        <v>44410.0</v>
      </c>
      <c r="N111" s="60" t="s">
        <v>353</v>
      </c>
      <c r="O111" s="35"/>
      <c r="P111" s="34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8.75" hidden="1" customHeight="1">
      <c r="A112" s="56">
        <f t="shared" si="1"/>
        <v>109</v>
      </c>
      <c r="B112" s="56" t="str">
        <f t="shared" si="2"/>
        <v>MB26</v>
      </c>
      <c r="C112" s="57" t="s">
        <v>396</v>
      </c>
      <c r="D112" s="56" t="s">
        <v>128</v>
      </c>
      <c r="E112" s="56" t="s">
        <v>34</v>
      </c>
      <c r="F112" s="56" t="s">
        <v>7</v>
      </c>
      <c r="G112" s="56" t="s">
        <v>118</v>
      </c>
      <c r="H112" s="56" t="s">
        <v>118</v>
      </c>
      <c r="I112" s="59">
        <v>20335.0</v>
      </c>
      <c r="J112" s="56">
        <f t="shared" si="3"/>
        <v>70</v>
      </c>
      <c r="K112" s="56">
        <v>3.511431661E9</v>
      </c>
      <c r="L112" s="60" t="s">
        <v>397</v>
      </c>
      <c r="M112" s="59"/>
      <c r="N112" s="60"/>
      <c r="O112" s="35"/>
      <c r="P112" s="34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8.75" hidden="1" customHeight="1">
      <c r="A113" s="56">
        <f t="shared" si="1"/>
        <v>110</v>
      </c>
      <c r="B113" s="56" t="str">
        <f t="shared" si="2"/>
        <v>MB27</v>
      </c>
      <c r="C113" s="57" t="s">
        <v>398</v>
      </c>
      <c r="D113" s="56" t="s">
        <v>128</v>
      </c>
      <c r="E113" s="56" t="s">
        <v>40</v>
      </c>
      <c r="F113" s="56" t="s">
        <v>7</v>
      </c>
      <c r="G113" s="56" t="s">
        <v>118</v>
      </c>
      <c r="H113" s="56" t="s">
        <v>118</v>
      </c>
      <c r="I113" s="59">
        <v>34034.0</v>
      </c>
      <c r="J113" s="56">
        <f t="shared" si="3"/>
        <v>33</v>
      </c>
      <c r="K113" s="56">
        <v>3.511491639E9</v>
      </c>
      <c r="L113" s="60" t="s">
        <v>399</v>
      </c>
      <c r="M113" s="59">
        <v>43014.0</v>
      </c>
      <c r="N113" s="60"/>
      <c r="O113" s="35"/>
      <c r="P113" s="34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8.75" hidden="1" customHeight="1">
      <c r="A114" s="56">
        <f t="shared" si="1"/>
        <v>111</v>
      </c>
      <c r="B114" s="56" t="str">
        <f t="shared" si="2"/>
        <v>HB25</v>
      </c>
      <c r="C114" s="57" t="s">
        <v>400</v>
      </c>
      <c r="D114" s="56" t="s">
        <v>117</v>
      </c>
      <c r="E114" s="56" t="s">
        <v>40</v>
      </c>
      <c r="F114" s="58" t="s">
        <v>7</v>
      </c>
      <c r="G114" s="56" t="s">
        <v>118</v>
      </c>
      <c r="H114" s="56" t="s">
        <v>118</v>
      </c>
      <c r="I114" s="59"/>
      <c r="J114" s="56"/>
      <c r="K114" s="56"/>
      <c r="L114" s="60"/>
      <c r="M114" s="59"/>
      <c r="N114" s="60"/>
      <c r="O114" s="35"/>
      <c r="P114" s="34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8.75" hidden="1" customHeight="1">
      <c r="A115" s="56">
        <f t="shared" si="1"/>
        <v>112</v>
      </c>
      <c r="B115" s="56" t="str">
        <f t="shared" si="2"/>
        <v>MB28</v>
      </c>
      <c r="C115" s="57" t="s">
        <v>401</v>
      </c>
      <c r="D115" s="56" t="s">
        <v>128</v>
      </c>
      <c r="E115" s="56" t="s">
        <v>40</v>
      </c>
      <c r="F115" s="56" t="s">
        <v>7</v>
      </c>
      <c r="G115" s="56" t="s">
        <v>118</v>
      </c>
      <c r="H115" s="56" t="s">
        <v>118</v>
      </c>
      <c r="I115" s="59">
        <v>39197.0</v>
      </c>
      <c r="J115" s="56">
        <f t="shared" ref="J115:J152" si="4">IF(C115="","",DATEDIF(I115,TODAY(),"Y"))</f>
        <v>18</v>
      </c>
      <c r="K115" s="56">
        <v>3.312119567E9</v>
      </c>
      <c r="L115" s="60" t="s">
        <v>402</v>
      </c>
      <c r="M115" s="59">
        <v>44943.0</v>
      </c>
      <c r="N115" s="60" t="s">
        <v>235</v>
      </c>
      <c r="O115" s="35"/>
      <c r="P115" s="34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8.75" customHeight="1">
      <c r="A116" s="56">
        <f t="shared" si="1"/>
        <v>113</v>
      </c>
      <c r="B116" s="56" t="str">
        <f t="shared" si="2"/>
        <v>MMi3</v>
      </c>
      <c r="C116" s="57" t="s">
        <v>401</v>
      </c>
      <c r="D116" s="56" t="s">
        <v>128</v>
      </c>
      <c r="E116" s="56" t="s">
        <v>40</v>
      </c>
      <c r="F116" s="56" t="s">
        <v>24</v>
      </c>
      <c r="G116" s="56"/>
      <c r="H116" s="56" t="s">
        <v>118</v>
      </c>
      <c r="I116" s="59">
        <v>39197.0</v>
      </c>
      <c r="J116" s="56">
        <f t="shared" si="4"/>
        <v>18</v>
      </c>
      <c r="K116" s="56">
        <v>3.312119567E9</v>
      </c>
      <c r="L116" s="60" t="s">
        <v>402</v>
      </c>
      <c r="M116" s="59">
        <v>44213.0</v>
      </c>
      <c r="N116" s="60" t="s">
        <v>403</v>
      </c>
      <c r="O116" s="35"/>
      <c r="P116" s="34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8.75" hidden="1" customHeight="1">
      <c r="A117" s="56">
        <f t="shared" si="1"/>
        <v>114</v>
      </c>
      <c r="B117" s="56" t="str">
        <f t="shared" si="2"/>
        <v>MB29</v>
      </c>
      <c r="C117" s="57" t="s">
        <v>404</v>
      </c>
      <c r="D117" s="56" t="s">
        <v>128</v>
      </c>
      <c r="E117" s="56" t="s">
        <v>34</v>
      </c>
      <c r="F117" s="56" t="s">
        <v>7</v>
      </c>
      <c r="G117" s="56" t="s">
        <v>118</v>
      </c>
      <c r="H117" s="56" t="s">
        <v>118</v>
      </c>
      <c r="I117" s="59">
        <v>18493.0</v>
      </c>
      <c r="J117" s="56">
        <f t="shared" si="4"/>
        <v>75</v>
      </c>
      <c r="K117" s="56">
        <v>3.6084981E7</v>
      </c>
      <c r="L117" s="60" t="s">
        <v>405</v>
      </c>
      <c r="M117" s="59"/>
      <c r="N117" s="60"/>
      <c r="O117" s="35"/>
      <c r="P117" s="34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8.75" hidden="1" customHeight="1">
      <c r="A118" s="56">
        <f t="shared" si="1"/>
        <v>115</v>
      </c>
      <c r="B118" s="56" t="str">
        <f t="shared" si="2"/>
        <v>MB30</v>
      </c>
      <c r="C118" s="57" t="s">
        <v>406</v>
      </c>
      <c r="D118" s="56" t="s">
        <v>128</v>
      </c>
      <c r="E118" s="56" t="s">
        <v>22</v>
      </c>
      <c r="F118" s="56" t="s">
        <v>7</v>
      </c>
      <c r="G118" s="56" t="s">
        <v>118</v>
      </c>
      <c r="H118" s="56" t="s">
        <v>118</v>
      </c>
      <c r="I118" s="59">
        <v>28129.0</v>
      </c>
      <c r="J118" s="56">
        <f t="shared" si="4"/>
        <v>49</v>
      </c>
      <c r="K118" s="56">
        <v>3.312495332E9</v>
      </c>
      <c r="L118" s="60" t="s">
        <v>407</v>
      </c>
      <c r="M118" s="59"/>
      <c r="N118" s="60"/>
      <c r="O118" s="35"/>
      <c r="P118" s="34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8.75" hidden="1" customHeight="1">
      <c r="A119" s="56">
        <f t="shared" si="1"/>
        <v>116</v>
      </c>
      <c r="B119" s="56" t="str">
        <f t="shared" si="2"/>
        <v>HB26</v>
      </c>
      <c r="C119" s="57" t="s">
        <v>408</v>
      </c>
      <c r="D119" s="56" t="s">
        <v>117</v>
      </c>
      <c r="E119" s="56" t="s">
        <v>22</v>
      </c>
      <c r="F119" s="56" t="s">
        <v>7</v>
      </c>
      <c r="G119" s="56" t="s">
        <v>118</v>
      </c>
      <c r="H119" s="56" t="s">
        <v>118</v>
      </c>
      <c r="I119" s="59">
        <v>26887.0</v>
      </c>
      <c r="J119" s="56">
        <f t="shared" si="4"/>
        <v>52</v>
      </c>
      <c r="K119" s="56">
        <v>3.333903647E9</v>
      </c>
      <c r="L119" s="60" t="s">
        <v>409</v>
      </c>
      <c r="M119" s="59"/>
      <c r="N119" s="60"/>
      <c r="O119" s="35"/>
      <c r="P119" s="34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8.75" hidden="1" customHeight="1">
      <c r="A120" s="56">
        <f t="shared" si="1"/>
        <v>117</v>
      </c>
      <c r="B120" s="56" t="str">
        <f t="shared" si="2"/>
        <v>MB31</v>
      </c>
      <c r="C120" s="57" t="s">
        <v>410</v>
      </c>
      <c r="D120" s="56" t="s">
        <v>128</v>
      </c>
      <c r="E120" s="56" t="s">
        <v>22</v>
      </c>
      <c r="F120" s="56" t="s">
        <v>7</v>
      </c>
      <c r="G120" s="56" t="s">
        <v>118</v>
      </c>
      <c r="H120" s="56" t="s">
        <v>118</v>
      </c>
      <c r="I120" s="59">
        <v>27560.0</v>
      </c>
      <c r="J120" s="56">
        <f t="shared" si="4"/>
        <v>50</v>
      </c>
      <c r="K120" s="56">
        <v>3.321829823E9</v>
      </c>
      <c r="L120" s="60" t="s">
        <v>411</v>
      </c>
      <c r="M120" s="59">
        <v>44846.0</v>
      </c>
      <c r="N120" s="60" t="s">
        <v>412</v>
      </c>
      <c r="O120" s="35"/>
      <c r="P120" s="34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8.75" hidden="1" customHeight="1">
      <c r="A121" s="56">
        <f t="shared" si="1"/>
        <v>118</v>
      </c>
      <c r="B121" s="56" t="str">
        <f t="shared" si="2"/>
        <v>MB32</v>
      </c>
      <c r="C121" s="57" t="s">
        <v>413</v>
      </c>
      <c r="D121" s="56" t="s">
        <v>128</v>
      </c>
      <c r="E121" s="56" t="s">
        <v>34</v>
      </c>
      <c r="F121" s="58" t="s">
        <v>7</v>
      </c>
      <c r="G121" s="56" t="s">
        <v>118</v>
      </c>
      <c r="H121" s="56" t="s">
        <v>118</v>
      </c>
      <c r="I121" s="59">
        <v>11169.0</v>
      </c>
      <c r="J121" s="56">
        <f t="shared" si="4"/>
        <v>95</v>
      </c>
      <c r="K121" s="56">
        <v>3.6084675E7</v>
      </c>
      <c r="L121" s="60" t="s">
        <v>414</v>
      </c>
      <c r="M121" s="59"/>
      <c r="N121" s="60"/>
      <c r="O121" s="34"/>
      <c r="P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8.75" customHeight="1">
      <c r="A122" s="56">
        <f t="shared" si="1"/>
        <v>119</v>
      </c>
      <c r="B122" s="56" t="str">
        <f t="shared" si="2"/>
        <v>MJ13</v>
      </c>
      <c r="C122" s="57" t="s">
        <v>415</v>
      </c>
      <c r="D122" s="56" t="s">
        <v>128</v>
      </c>
      <c r="E122" s="56" t="s">
        <v>16</v>
      </c>
      <c r="F122" s="56" t="s">
        <v>30</v>
      </c>
      <c r="G122" s="58" t="s">
        <v>118</v>
      </c>
      <c r="H122" s="56" t="s">
        <v>118</v>
      </c>
      <c r="I122" s="59">
        <v>22546.0</v>
      </c>
      <c r="J122" s="56">
        <f t="shared" si="4"/>
        <v>64</v>
      </c>
      <c r="K122" s="56">
        <v>3.316725551E9</v>
      </c>
      <c r="L122" s="60" t="s">
        <v>416</v>
      </c>
      <c r="M122" s="59">
        <v>43513.0</v>
      </c>
      <c r="N122" s="71" t="s">
        <v>379</v>
      </c>
      <c r="O122" s="34"/>
      <c r="P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8.75" hidden="1" customHeight="1">
      <c r="A123" s="56">
        <f t="shared" si="1"/>
        <v>120</v>
      </c>
      <c r="B123" s="56" t="str">
        <f t="shared" si="2"/>
        <v>MB33</v>
      </c>
      <c r="C123" s="57" t="s">
        <v>417</v>
      </c>
      <c r="D123" s="56" t="s">
        <v>128</v>
      </c>
      <c r="E123" s="56" t="s">
        <v>34</v>
      </c>
      <c r="F123" s="56" t="s">
        <v>7</v>
      </c>
      <c r="G123" s="56" t="s">
        <v>118</v>
      </c>
      <c r="H123" s="56" t="s">
        <v>118</v>
      </c>
      <c r="I123" s="59">
        <v>30104.0</v>
      </c>
      <c r="J123" s="56">
        <f t="shared" si="4"/>
        <v>43</v>
      </c>
      <c r="K123" s="56">
        <v>3.319898586E9</v>
      </c>
      <c r="L123" s="60" t="s">
        <v>418</v>
      </c>
      <c r="M123" s="59">
        <v>43713.0</v>
      </c>
      <c r="N123" s="60" t="s">
        <v>275</v>
      </c>
      <c r="O123" s="34"/>
      <c r="P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8.75" customHeight="1">
      <c r="A124" s="56">
        <f t="shared" si="1"/>
        <v>121</v>
      </c>
      <c r="B124" s="56" t="str">
        <f t="shared" si="2"/>
        <v>HL5</v>
      </c>
      <c r="C124" s="57" t="s">
        <v>419</v>
      </c>
      <c r="D124" s="56" t="s">
        <v>117</v>
      </c>
      <c r="E124" s="56" t="s">
        <v>140</v>
      </c>
      <c r="F124" s="56" t="s">
        <v>12</v>
      </c>
      <c r="G124" s="56"/>
      <c r="H124" s="56" t="s">
        <v>118</v>
      </c>
      <c r="I124" s="59">
        <v>22318.0</v>
      </c>
      <c r="J124" s="56">
        <f t="shared" si="4"/>
        <v>65</v>
      </c>
      <c r="K124" s="56">
        <v>3.313406335E9</v>
      </c>
      <c r="L124" s="60" t="s">
        <v>420</v>
      </c>
      <c r="M124" s="59"/>
      <c r="N124" s="60"/>
      <c r="O124" s="34"/>
      <c r="P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8.75" customHeight="1">
      <c r="A125" s="56">
        <f t="shared" si="1"/>
        <v>122</v>
      </c>
      <c r="B125" s="56" t="str">
        <f t="shared" si="2"/>
        <v>MJ14</v>
      </c>
      <c r="C125" s="57" t="s">
        <v>421</v>
      </c>
      <c r="D125" s="56" t="s">
        <v>128</v>
      </c>
      <c r="E125" s="56" t="s">
        <v>16</v>
      </c>
      <c r="F125" s="56" t="s">
        <v>30</v>
      </c>
      <c r="G125" s="58" t="s">
        <v>118</v>
      </c>
      <c r="H125" s="56" t="s">
        <v>118</v>
      </c>
      <c r="I125" s="59">
        <v>24248.0</v>
      </c>
      <c r="J125" s="56">
        <f t="shared" si="4"/>
        <v>59</v>
      </c>
      <c r="K125" s="56">
        <v>3.313372021E9</v>
      </c>
      <c r="L125" s="60" t="s">
        <v>422</v>
      </c>
      <c r="M125" s="59">
        <v>42948.0</v>
      </c>
      <c r="N125" s="71" t="s">
        <v>423</v>
      </c>
      <c r="O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8.75" hidden="1" customHeight="1">
      <c r="A126" s="56">
        <f t="shared" si="1"/>
        <v>123</v>
      </c>
      <c r="B126" s="56" t="str">
        <f t="shared" si="2"/>
        <v>HB27</v>
      </c>
      <c r="C126" s="57" t="s">
        <v>424</v>
      </c>
      <c r="D126" s="56" t="s">
        <v>117</v>
      </c>
      <c r="E126" s="56" t="s">
        <v>34</v>
      </c>
      <c r="F126" s="58" t="s">
        <v>7</v>
      </c>
      <c r="G126" s="56" t="s">
        <v>118</v>
      </c>
      <c r="H126" s="56" t="s">
        <v>118</v>
      </c>
      <c r="I126" s="59">
        <v>28699.0</v>
      </c>
      <c r="J126" s="56">
        <f t="shared" si="4"/>
        <v>47</v>
      </c>
      <c r="K126" s="56"/>
      <c r="L126" s="60" t="s">
        <v>425</v>
      </c>
      <c r="M126" s="59">
        <v>44816.0</v>
      </c>
      <c r="N126" s="60" t="s">
        <v>426</v>
      </c>
      <c r="O126" s="34"/>
      <c r="P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8.75" hidden="1" customHeight="1">
      <c r="A127" s="56">
        <f t="shared" si="1"/>
        <v>124</v>
      </c>
      <c r="B127" s="56" t="str">
        <f t="shared" si="2"/>
        <v>MB34</v>
      </c>
      <c r="C127" s="57" t="s">
        <v>427</v>
      </c>
      <c r="D127" s="56" t="s">
        <v>128</v>
      </c>
      <c r="E127" s="56" t="s">
        <v>40</v>
      </c>
      <c r="F127" s="56" t="s">
        <v>7</v>
      </c>
      <c r="G127" s="56" t="s">
        <v>118</v>
      </c>
      <c r="H127" s="56" t="s">
        <v>118</v>
      </c>
      <c r="I127" s="59">
        <v>37188.0</v>
      </c>
      <c r="J127" s="56">
        <f t="shared" si="4"/>
        <v>24</v>
      </c>
      <c r="K127" s="56">
        <v>3.31857048E9</v>
      </c>
      <c r="L127" s="60" t="s">
        <v>428</v>
      </c>
      <c r="M127" s="59">
        <v>42985.0</v>
      </c>
      <c r="N127" s="60"/>
      <c r="O127" s="34"/>
      <c r="P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8.75" hidden="1" customHeight="1">
      <c r="A128" s="56">
        <f t="shared" si="1"/>
        <v>125</v>
      </c>
      <c r="B128" s="56" t="str">
        <f t="shared" si="2"/>
        <v>HB28</v>
      </c>
      <c r="C128" s="57" t="s">
        <v>429</v>
      </c>
      <c r="D128" s="56" t="s">
        <v>117</v>
      </c>
      <c r="E128" s="56" t="s">
        <v>16</v>
      </c>
      <c r="F128" s="58" t="s">
        <v>7</v>
      </c>
      <c r="G128" s="56" t="s">
        <v>118</v>
      </c>
      <c r="H128" s="56" t="s">
        <v>118</v>
      </c>
      <c r="I128" s="59">
        <v>24959.0</v>
      </c>
      <c r="J128" s="56">
        <f t="shared" si="4"/>
        <v>57</v>
      </c>
      <c r="K128" s="56">
        <v>3.339643469E9</v>
      </c>
      <c r="L128" s="60"/>
      <c r="M128" s="59">
        <v>43731.0</v>
      </c>
      <c r="N128" s="60" t="s">
        <v>430</v>
      </c>
      <c r="O128" s="34"/>
      <c r="P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8.75" customHeight="1">
      <c r="A129" s="56">
        <f t="shared" si="1"/>
        <v>126</v>
      </c>
      <c r="B129" s="56" t="str">
        <f t="shared" si="2"/>
        <v>MJ15</v>
      </c>
      <c r="C129" s="72" t="s">
        <v>431</v>
      </c>
      <c r="D129" s="58" t="s">
        <v>128</v>
      </c>
      <c r="E129" s="58" t="s">
        <v>16</v>
      </c>
      <c r="F129" s="58" t="s">
        <v>30</v>
      </c>
      <c r="G129" s="58" t="s">
        <v>118</v>
      </c>
      <c r="H129" s="56" t="s">
        <v>118</v>
      </c>
      <c r="I129" s="73">
        <v>22909.0</v>
      </c>
      <c r="J129" s="56">
        <f t="shared" si="4"/>
        <v>63</v>
      </c>
      <c r="K129" s="58">
        <v>3.328106858E9</v>
      </c>
      <c r="L129" s="71" t="s">
        <v>432</v>
      </c>
      <c r="M129" s="74">
        <v>45540.0</v>
      </c>
      <c r="N129" s="71" t="s">
        <v>433</v>
      </c>
      <c r="O129" s="34"/>
      <c r="P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8.75" hidden="1" customHeight="1">
      <c r="A130" s="56">
        <f t="shared" si="1"/>
        <v>127</v>
      </c>
      <c r="B130" s="56" t="str">
        <f t="shared" si="2"/>
        <v>MB35</v>
      </c>
      <c r="C130" s="57" t="s">
        <v>434</v>
      </c>
      <c r="D130" s="56" t="s">
        <v>128</v>
      </c>
      <c r="E130" s="56" t="s">
        <v>16</v>
      </c>
      <c r="F130" s="58" t="s">
        <v>7</v>
      </c>
      <c r="G130" s="58" t="s">
        <v>118</v>
      </c>
      <c r="H130" s="56" t="s">
        <v>118</v>
      </c>
      <c r="I130" s="59">
        <v>21413.0</v>
      </c>
      <c r="J130" s="56">
        <f t="shared" si="4"/>
        <v>67</v>
      </c>
      <c r="K130" s="56">
        <v>3.321306228E9</v>
      </c>
      <c r="L130" s="60" t="s">
        <v>435</v>
      </c>
      <c r="M130" s="59">
        <v>43742.0</v>
      </c>
      <c r="N130" s="60" t="s">
        <v>436</v>
      </c>
      <c r="O130" s="34"/>
      <c r="P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8.75" customHeight="1">
      <c r="A131" s="56">
        <f t="shared" si="1"/>
        <v>128</v>
      </c>
      <c r="B131" s="56" t="str">
        <f t="shared" si="2"/>
        <v>MV8</v>
      </c>
      <c r="C131" s="72" t="s">
        <v>437</v>
      </c>
      <c r="D131" s="56" t="s">
        <v>128</v>
      </c>
      <c r="E131" s="58" t="s">
        <v>40</v>
      </c>
      <c r="F131" s="58" t="s">
        <v>36</v>
      </c>
      <c r="G131" s="58" t="s">
        <v>118</v>
      </c>
      <c r="H131" s="56" t="s">
        <v>118</v>
      </c>
      <c r="I131" s="73">
        <v>40570.0</v>
      </c>
      <c r="J131" s="56">
        <f t="shared" si="4"/>
        <v>15</v>
      </c>
      <c r="K131" s="58">
        <v>3.342036073E9</v>
      </c>
      <c r="L131" s="71" t="s">
        <v>438</v>
      </c>
      <c r="M131" s="73">
        <v>45838.0</v>
      </c>
      <c r="N131" s="71" t="s">
        <v>439</v>
      </c>
      <c r="O131" s="34"/>
      <c r="P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8.75" hidden="1" customHeight="1">
      <c r="A132" s="56">
        <f t="shared" si="1"/>
        <v>129</v>
      </c>
      <c r="B132" s="56" t="str">
        <f t="shared" si="2"/>
        <v>HB29</v>
      </c>
      <c r="C132" s="57" t="s">
        <v>440</v>
      </c>
      <c r="D132" s="56" t="s">
        <v>117</v>
      </c>
      <c r="E132" s="56" t="s">
        <v>16</v>
      </c>
      <c r="F132" s="56" t="s">
        <v>7</v>
      </c>
      <c r="G132" s="56" t="s">
        <v>118</v>
      </c>
      <c r="H132" s="56" t="s">
        <v>118</v>
      </c>
      <c r="I132" s="59">
        <v>27500.0</v>
      </c>
      <c r="J132" s="56">
        <f t="shared" si="4"/>
        <v>51</v>
      </c>
      <c r="K132" s="56">
        <v>3.311072313E9</v>
      </c>
      <c r="L132" s="60" t="s">
        <v>441</v>
      </c>
      <c r="M132" s="59">
        <v>43481.0</v>
      </c>
      <c r="N132" s="60" t="s">
        <v>442</v>
      </c>
      <c r="O132" s="34"/>
      <c r="P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8.75" customHeight="1">
      <c r="A133" s="56">
        <f t="shared" si="1"/>
        <v>130</v>
      </c>
      <c r="B133" s="56" t="str">
        <f t="shared" si="2"/>
        <v>MJ16</v>
      </c>
      <c r="C133" s="57" t="s">
        <v>443</v>
      </c>
      <c r="D133" s="56" t="s">
        <v>128</v>
      </c>
      <c r="E133" s="56" t="s">
        <v>34</v>
      </c>
      <c r="F133" s="56" t="s">
        <v>30</v>
      </c>
      <c r="G133" s="58" t="s">
        <v>118</v>
      </c>
      <c r="H133" s="56" t="s">
        <v>118</v>
      </c>
      <c r="I133" s="59">
        <v>22617.0</v>
      </c>
      <c r="J133" s="56">
        <f t="shared" si="4"/>
        <v>64</v>
      </c>
      <c r="K133" s="56">
        <v>3.314358826E9</v>
      </c>
      <c r="L133" s="60" t="s">
        <v>444</v>
      </c>
      <c r="M133" s="59"/>
      <c r="N133" s="71" t="s">
        <v>139</v>
      </c>
      <c r="O133" s="34"/>
      <c r="P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8.75" hidden="1" customHeight="1">
      <c r="A134" s="56">
        <f t="shared" si="1"/>
        <v>131</v>
      </c>
      <c r="B134" s="56" t="str">
        <f t="shared" si="2"/>
        <v>MB36</v>
      </c>
      <c r="C134" s="57" t="s">
        <v>445</v>
      </c>
      <c r="D134" s="56" t="s">
        <v>128</v>
      </c>
      <c r="E134" s="56" t="s">
        <v>446</v>
      </c>
      <c r="F134" s="56" t="s">
        <v>7</v>
      </c>
      <c r="G134" s="56" t="s">
        <v>118</v>
      </c>
      <c r="H134" s="56" t="s">
        <v>118</v>
      </c>
      <c r="I134" s="59">
        <v>35923.0</v>
      </c>
      <c r="J134" s="56">
        <f t="shared" si="4"/>
        <v>27</v>
      </c>
      <c r="K134" s="56">
        <v>3.313498042E9</v>
      </c>
      <c r="L134" s="60" t="s">
        <v>332</v>
      </c>
      <c r="M134" s="59"/>
      <c r="N134" s="60"/>
      <c r="O134" s="34"/>
      <c r="P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8.75" hidden="1" customHeight="1">
      <c r="A135" s="56">
        <f t="shared" si="1"/>
        <v>132</v>
      </c>
      <c r="B135" s="56" t="str">
        <f t="shared" si="2"/>
        <v>HB30</v>
      </c>
      <c r="C135" s="57" t="s">
        <v>447</v>
      </c>
      <c r="D135" s="56" t="s">
        <v>117</v>
      </c>
      <c r="E135" s="56" t="s">
        <v>40</v>
      </c>
      <c r="F135" s="56" t="s">
        <v>7</v>
      </c>
      <c r="G135" s="56" t="s">
        <v>118</v>
      </c>
      <c r="H135" s="56" t="s">
        <v>118</v>
      </c>
      <c r="I135" s="59">
        <v>36673.0</v>
      </c>
      <c r="J135" s="56">
        <f t="shared" si="4"/>
        <v>25</v>
      </c>
      <c r="K135" s="56">
        <v>3.311746121E9</v>
      </c>
      <c r="L135" s="60" t="s">
        <v>448</v>
      </c>
      <c r="M135" s="59"/>
      <c r="N135" s="60"/>
      <c r="O135" s="34"/>
      <c r="P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8.75" customHeight="1">
      <c r="A136" s="56">
        <f t="shared" si="1"/>
        <v>133</v>
      </c>
      <c r="B136" s="56" t="str">
        <f t="shared" si="2"/>
        <v>MV9</v>
      </c>
      <c r="C136" s="72" t="s">
        <v>449</v>
      </c>
      <c r="D136" s="56" t="s">
        <v>128</v>
      </c>
      <c r="E136" s="58" t="s">
        <v>16</v>
      </c>
      <c r="F136" s="56" t="s">
        <v>36</v>
      </c>
      <c r="G136" s="58" t="s">
        <v>118</v>
      </c>
      <c r="H136" s="56" t="s">
        <v>118</v>
      </c>
      <c r="I136" s="73">
        <v>27852.0</v>
      </c>
      <c r="J136" s="56">
        <f t="shared" si="4"/>
        <v>50</v>
      </c>
      <c r="K136" s="58">
        <v>3.312872784E9</v>
      </c>
      <c r="L136" s="71" t="s">
        <v>450</v>
      </c>
      <c r="M136" s="73">
        <v>45818.0</v>
      </c>
      <c r="N136" s="71" t="s">
        <v>451</v>
      </c>
      <c r="O136" s="34"/>
      <c r="P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8.75" customHeight="1">
      <c r="A137" s="56">
        <f t="shared" si="1"/>
        <v>134</v>
      </c>
      <c r="B137" s="56" t="str">
        <f t="shared" si="2"/>
        <v>MD5</v>
      </c>
      <c r="C137" s="81" t="s">
        <v>52</v>
      </c>
      <c r="D137" s="56" t="s">
        <v>128</v>
      </c>
      <c r="E137" s="56" t="s">
        <v>34</v>
      </c>
      <c r="F137" s="56" t="s">
        <v>49</v>
      </c>
      <c r="G137" s="58" t="s">
        <v>118</v>
      </c>
      <c r="H137" s="56" t="s">
        <v>118</v>
      </c>
      <c r="I137" s="59">
        <v>25553.0</v>
      </c>
      <c r="J137" s="56">
        <f t="shared" si="4"/>
        <v>56</v>
      </c>
      <c r="K137" s="56">
        <v>3.313953008E9</v>
      </c>
      <c r="L137" s="60" t="s">
        <v>452</v>
      </c>
      <c r="M137" s="59"/>
      <c r="N137" s="71" t="s">
        <v>221</v>
      </c>
      <c r="O137" s="34"/>
      <c r="P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8.75" customHeight="1">
      <c r="A138" s="56">
        <f t="shared" si="1"/>
        <v>135</v>
      </c>
      <c r="B138" s="56" t="str">
        <f t="shared" si="2"/>
        <v>MV10</v>
      </c>
      <c r="C138" s="72" t="s">
        <v>453</v>
      </c>
      <c r="D138" s="56" t="s">
        <v>128</v>
      </c>
      <c r="E138" s="58" t="s">
        <v>40</v>
      </c>
      <c r="F138" s="58" t="s">
        <v>36</v>
      </c>
      <c r="G138" s="58" t="s">
        <v>118</v>
      </c>
      <c r="H138" s="56" t="s">
        <v>118</v>
      </c>
      <c r="I138" s="73">
        <v>40005.0</v>
      </c>
      <c r="J138" s="56">
        <f t="shared" si="4"/>
        <v>16</v>
      </c>
      <c r="K138" s="58">
        <v>3.338689972E9</v>
      </c>
      <c r="L138" s="71" t="s">
        <v>454</v>
      </c>
      <c r="M138" s="73">
        <v>45856.0</v>
      </c>
      <c r="N138" s="71" t="s">
        <v>455</v>
      </c>
      <c r="O138" s="34"/>
      <c r="P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8.75" customHeight="1">
      <c r="A139" s="75">
        <f t="shared" si="1"/>
        <v>136</v>
      </c>
      <c r="B139" s="75" t="str">
        <f t="shared" si="2"/>
        <v>MV11</v>
      </c>
      <c r="C139" s="76" t="s">
        <v>456</v>
      </c>
      <c r="D139" s="77" t="s">
        <v>128</v>
      </c>
      <c r="E139" s="77" t="s">
        <v>40</v>
      </c>
      <c r="F139" s="77" t="s">
        <v>36</v>
      </c>
      <c r="G139" s="77" t="s">
        <v>165</v>
      </c>
      <c r="H139" s="75" t="s">
        <v>118</v>
      </c>
      <c r="I139" s="78">
        <v>40553.0</v>
      </c>
      <c r="J139" s="75">
        <f t="shared" si="4"/>
        <v>15</v>
      </c>
      <c r="K139" s="77">
        <v>3.131498347E9</v>
      </c>
      <c r="L139" s="79" t="s">
        <v>457</v>
      </c>
      <c r="M139" s="78">
        <v>45706.0</v>
      </c>
      <c r="N139" s="71" t="s">
        <v>458</v>
      </c>
      <c r="O139" s="34"/>
      <c r="P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8.75" hidden="1" customHeight="1">
      <c r="A140" s="56">
        <f t="shared" si="1"/>
        <v>137</v>
      </c>
      <c r="B140" s="56" t="str">
        <f t="shared" si="2"/>
        <v>MB37</v>
      </c>
      <c r="C140" s="57" t="s">
        <v>459</v>
      </c>
      <c r="D140" s="56" t="s">
        <v>128</v>
      </c>
      <c r="E140" s="56" t="s">
        <v>40</v>
      </c>
      <c r="F140" s="58" t="s">
        <v>7</v>
      </c>
      <c r="G140" s="56" t="s">
        <v>118</v>
      </c>
      <c r="H140" s="56" t="s">
        <v>118</v>
      </c>
      <c r="I140" s="59">
        <v>39865.0</v>
      </c>
      <c r="J140" s="56">
        <f t="shared" si="4"/>
        <v>17</v>
      </c>
      <c r="K140" s="56">
        <v>3.324426189E9</v>
      </c>
      <c r="L140" s="60" t="s">
        <v>460</v>
      </c>
      <c r="M140" s="59">
        <v>45117.0</v>
      </c>
      <c r="N140" s="60" t="s">
        <v>403</v>
      </c>
      <c r="O140" s="34"/>
      <c r="P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8.75" customHeight="1">
      <c r="A141" s="56">
        <f t="shared" si="1"/>
        <v>138</v>
      </c>
      <c r="B141" s="56" t="str">
        <f t="shared" si="2"/>
        <v>MJ17</v>
      </c>
      <c r="C141" s="57" t="s">
        <v>461</v>
      </c>
      <c r="D141" s="56" t="s">
        <v>128</v>
      </c>
      <c r="E141" s="56" t="s">
        <v>40</v>
      </c>
      <c r="F141" s="56" t="s">
        <v>30</v>
      </c>
      <c r="G141" s="56"/>
      <c r="H141" s="56" t="s">
        <v>118</v>
      </c>
      <c r="I141" s="59">
        <v>34695.0</v>
      </c>
      <c r="J141" s="56">
        <f t="shared" si="4"/>
        <v>31</v>
      </c>
      <c r="K141" s="56"/>
      <c r="L141" s="60" t="s">
        <v>462</v>
      </c>
      <c r="M141" s="59">
        <v>43177.0</v>
      </c>
      <c r="N141" s="60"/>
      <c r="O141" s="34"/>
      <c r="P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8.75" customHeight="1">
      <c r="A142" s="56">
        <f t="shared" si="1"/>
        <v>139</v>
      </c>
      <c r="B142" s="56" t="str">
        <f t="shared" si="2"/>
        <v>ML7</v>
      </c>
      <c r="C142" s="57" t="s">
        <v>463</v>
      </c>
      <c r="D142" s="56" t="s">
        <v>128</v>
      </c>
      <c r="E142" s="56" t="s">
        <v>16</v>
      </c>
      <c r="F142" s="56" t="s">
        <v>12</v>
      </c>
      <c r="G142" s="58" t="s">
        <v>118</v>
      </c>
      <c r="H142" s="56" t="s">
        <v>118</v>
      </c>
      <c r="I142" s="59">
        <v>26673.0</v>
      </c>
      <c r="J142" s="56">
        <f t="shared" si="4"/>
        <v>53</v>
      </c>
      <c r="K142" s="56">
        <v>3.310534517E9</v>
      </c>
      <c r="L142" s="60" t="s">
        <v>464</v>
      </c>
      <c r="M142" s="59"/>
      <c r="N142" s="60"/>
      <c r="O142" s="34"/>
      <c r="P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8.75" hidden="1" customHeight="1">
      <c r="A143" s="56">
        <f t="shared" si="1"/>
        <v>140</v>
      </c>
      <c r="B143" s="56" t="str">
        <f t="shared" si="2"/>
        <v>HB31</v>
      </c>
      <c r="C143" s="57" t="s">
        <v>465</v>
      </c>
      <c r="D143" s="56" t="s">
        <v>117</v>
      </c>
      <c r="E143" s="56" t="s">
        <v>34</v>
      </c>
      <c r="F143" s="56" t="s">
        <v>7</v>
      </c>
      <c r="G143" s="56" t="s">
        <v>118</v>
      </c>
      <c r="H143" s="56" t="s">
        <v>118</v>
      </c>
      <c r="I143" s="59">
        <v>26702.0</v>
      </c>
      <c r="J143" s="56">
        <f t="shared" si="4"/>
        <v>53</v>
      </c>
      <c r="K143" s="56">
        <v>3.324179173E9</v>
      </c>
      <c r="L143" s="60" t="s">
        <v>466</v>
      </c>
      <c r="M143" s="59">
        <v>44411.0</v>
      </c>
      <c r="N143" s="60" t="s">
        <v>467</v>
      </c>
      <c r="O143" s="34"/>
      <c r="P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8.75" customHeight="1">
      <c r="A144" s="56">
        <f t="shared" si="1"/>
        <v>141</v>
      </c>
      <c r="B144" s="56" t="str">
        <f t="shared" si="2"/>
        <v>HMa1</v>
      </c>
      <c r="C144" s="57" t="s">
        <v>468</v>
      </c>
      <c r="D144" s="56" t="s">
        <v>117</v>
      </c>
      <c r="E144" s="56" t="s">
        <v>140</v>
      </c>
      <c r="F144" s="56" t="s">
        <v>18</v>
      </c>
      <c r="G144" s="56"/>
      <c r="H144" s="56" t="s">
        <v>118</v>
      </c>
      <c r="I144" s="59">
        <v>22421.0</v>
      </c>
      <c r="J144" s="56">
        <f t="shared" si="4"/>
        <v>64</v>
      </c>
      <c r="K144" s="56">
        <v>3.3381658E9</v>
      </c>
      <c r="L144" s="60" t="s">
        <v>466</v>
      </c>
      <c r="M144" s="59"/>
      <c r="N144" s="60"/>
      <c r="O144" s="34"/>
      <c r="P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8.75" customHeight="1">
      <c r="A145" s="56">
        <f t="shared" si="1"/>
        <v>142</v>
      </c>
      <c r="B145" s="56" t="str">
        <f t="shared" si="2"/>
        <v>MMa4</v>
      </c>
      <c r="C145" s="57" t="s">
        <v>469</v>
      </c>
      <c r="D145" s="56" t="s">
        <v>128</v>
      </c>
      <c r="E145" s="56" t="s">
        <v>34</v>
      </c>
      <c r="F145" s="56" t="s">
        <v>18</v>
      </c>
      <c r="G145" s="58" t="s">
        <v>118</v>
      </c>
      <c r="H145" s="56" t="s">
        <v>118</v>
      </c>
      <c r="I145" s="59">
        <v>17226.0</v>
      </c>
      <c r="J145" s="56">
        <f t="shared" si="4"/>
        <v>79</v>
      </c>
      <c r="K145" s="56" t="s">
        <v>470</v>
      </c>
      <c r="L145" s="60" t="s">
        <v>471</v>
      </c>
      <c r="M145" s="59">
        <v>43367.0</v>
      </c>
      <c r="N145" s="60" t="s">
        <v>472</v>
      </c>
      <c r="O145" s="34"/>
      <c r="P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8.75" hidden="1" customHeight="1">
      <c r="A146" s="56">
        <f t="shared" si="1"/>
        <v>143</v>
      </c>
      <c r="B146" s="56" t="str">
        <f t="shared" si="2"/>
        <v>HB32</v>
      </c>
      <c r="C146" s="57" t="s">
        <v>473</v>
      </c>
      <c r="D146" s="56" t="s">
        <v>117</v>
      </c>
      <c r="E146" s="56" t="s">
        <v>40</v>
      </c>
      <c r="F146" s="58" t="s">
        <v>7</v>
      </c>
      <c r="G146" s="56" t="s">
        <v>118</v>
      </c>
      <c r="H146" s="56" t="s">
        <v>118</v>
      </c>
      <c r="I146" s="59">
        <v>39554.0</v>
      </c>
      <c r="J146" s="56">
        <f t="shared" si="4"/>
        <v>18</v>
      </c>
      <c r="K146" s="56">
        <v>3.31014785E9</v>
      </c>
      <c r="L146" s="60" t="s">
        <v>474</v>
      </c>
      <c r="M146" s="59">
        <v>44680.0</v>
      </c>
      <c r="N146" s="60" t="s">
        <v>218</v>
      </c>
      <c r="O146" s="34"/>
      <c r="P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8.75" customHeight="1">
      <c r="A147" s="56">
        <f t="shared" si="1"/>
        <v>144</v>
      </c>
      <c r="B147" s="56" t="str">
        <f t="shared" si="2"/>
        <v>HL6</v>
      </c>
      <c r="C147" s="57" t="s">
        <v>475</v>
      </c>
      <c r="D147" s="56" t="s">
        <v>117</v>
      </c>
      <c r="E147" s="56" t="s">
        <v>40</v>
      </c>
      <c r="F147" s="56" t="s">
        <v>12</v>
      </c>
      <c r="G147" s="56"/>
      <c r="H147" s="56" t="s">
        <v>118</v>
      </c>
      <c r="I147" s="59">
        <v>39552.0</v>
      </c>
      <c r="J147" s="56">
        <f t="shared" si="4"/>
        <v>18</v>
      </c>
      <c r="K147" s="56"/>
      <c r="L147" s="60" t="s">
        <v>476</v>
      </c>
      <c r="M147" s="59">
        <v>45335.0</v>
      </c>
      <c r="N147" s="60" t="s">
        <v>233</v>
      </c>
      <c r="O147" s="34"/>
      <c r="P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8.75" customHeight="1">
      <c r="A148" s="56">
        <f t="shared" si="1"/>
        <v>145</v>
      </c>
      <c r="B148" s="56" t="str">
        <f t="shared" si="2"/>
        <v>HMa2</v>
      </c>
      <c r="C148" s="72" t="s">
        <v>477</v>
      </c>
      <c r="D148" s="58" t="s">
        <v>117</v>
      </c>
      <c r="E148" s="58" t="s">
        <v>28</v>
      </c>
      <c r="F148" s="58" t="s">
        <v>18</v>
      </c>
      <c r="G148" s="58" t="s">
        <v>118</v>
      </c>
      <c r="H148" s="56" t="s">
        <v>118</v>
      </c>
      <c r="I148" s="73">
        <v>33925.0</v>
      </c>
      <c r="J148" s="56">
        <f t="shared" si="4"/>
        <v>33</v>
      </c>
      <c r="K148" s="58">
        <v>3.334471452E9</v>
      </c>
      <c r="L148" s="71" t="s">
        <v>478</v>
      </c>
      <c r="M148" s="73">
        <v>45818.0</v>
      </c>
      <c r="N148" s="71" t="s">
        <v>479</v>
      </c>
      <c r="O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8.75" hidden="1" customHeight="1">
      <c r="A149" s="56">
        <f t="shared" si="1"/>
        <v>146</v>
      </c>
      <c r="B149" s="56" t="str">
        <f t="shared" si="2"/>
        <v>MB38</v>
      </c>
      <c r="C149" s="57" t="s">
        <v>480</v>
      </c>
      <c r="D149" s="56" t="s">
        <v>128</v>
      </c>
      <c r="E149" s="56" t="s">
        <v>40</v>
      </c>
      <c r="F149" s="56" t="s">
        <v>7</v>
      </c>
      <c r="G149" s="56" t="s">
        <v>118</v>
      </c>
      <c r="H149" s="56" t="s">
        <v>118</v>
      </c>
      <c r="I149" s="59">
        <v>36085.0</v>
      </c>
      <c r="J149" s="56">
        <f t="shared" si="4"/>
        <v>27</v>
      </c>
      <c r="K149" s="56">
        <v>3.33458751E9</v>
      </c>
      <c r="L149" s="60" t="s">
        <v>481</v>
      </c>
      <c r="M149" s="59">
        <v>42350.0</v>
      </c>
      <c r="N149" s="60"/>
      <c r="O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8.75" hidden="1" customHeight="1">
      <c r="A150" s="56">
        <f t="shared" si="1"/>
        <v>147</v>
      </c>
      <c r="B150" s="56" t="str">
        <f t="shared" si="2"/>
        <v>HB33</v>
      </c>
      <c r="C150" s="57" t="s">
        <v>482</v>
      </c>
      <c r="D150" s="56" t="s">
        <v>117</v>
      </c>
      <c r="E150" s="56" t="s">
        <v>40</v>
      </c>
      <c r="F150" s="58" t="s">
        <v>7</v>
      </c>
      <c r="G150" s="56" t="s">
        <v>118</v>
      </c>
      <c r="H150" s="56" t="s">
        <v>118</v>
      </c>
      <c r="I150" s="59">
        <v>38495.0</v>
      </c>
      <c r="J150" s="56">
        <f t="shared" si="4"/>
        <v>20</v>
      </c>
      <c r="K150" s="56">
        <v>3.32454595E9</v>
      </c>
      <c r="L150" s="60" t="s">
        <v>483</v>
      </c>
      <c r="M150" s="59">
        <v>43670.0</v>
      </c>
      <c r="N150" s="60" t="s">
        <v>233</v>
      </c>
      <c r="O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8.75" hidden="1" customHeight="1">
      <c r="A151" s="56">
        <f t="shared" si="1"/>
        <v>148</v>
      </c>
      <c r="B151" s="56" t="str">
        <f t="shared" si="2"/>
        <v>MB39</v>
      </c>
      <c r="C151" s="57" t="s">
        <v>484</v>
      </c>
      <c r="D151" s="56" t="s">
        <v>128</v>
      </c>
      <c r="E151" s="56" t="s">
        <v>28</v>
      </c>
      <c r="F151" s="56" t="s">
        <v>7</v>
      </c>
      <c r="G151" s="56" t="s">
        <v>118</v>
      </c>
      <c r="H151" s="56" t="s">
        <v>118</v>
      </c>
      <c r="I151" s="59">
        <v>34060.0</v>
      </c>
      <c r="J151" s="56">
        <f t="shared" si="4"/>
        <v>33</v>
      </c>
      <c r="K151" s="56">
        <v>3.320588638E9</v>
      </c>
      <c r="L151" s="60" t="s">
        <v>485</v>
      </c>
      <c r="M151" s="59">
        <v>43350.0</v>
      </c>
      <c r="N151" s="60" t="s">
        <v>486</v>
      </c>
      <c r="O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8.75" hidden="1" customHeight="1">
      <c r="A152" s="56">
        <f t="shared" si="1"/>
        <v>149</v>
      </c>
      <c r="B152" s="56" t="str">
        <f t="shared" si="2"/>
        <v>HB34</v>
      </c>
      <c r="C152" s="57" t="s">
        <v>487</v>
      </c>
      <c r="D152" s="56" t="s">
        <v>117</v>
      </c>
      <c r="E152" s="56" t="s">
        <v>34</v>
      </c>
      <c r="F152" s="56" t="s">
        <v>7</v>
      </c>
      <c r="G152" s="56" t="s">
        <v>118</v>
      </c>
      <c r="H152" s="56" t="s">
        <v>118</v>
      </c>
      <c r="I152" s="59">
        <v>25257.0</v>
      </c>
      <c r="J152" s="56">
        <f t="shared" si="4"/>
        <v>57</v>
      </c>
      <c r="K152" s="56">
        <v>3.334714688E9</v>
      </c>
      <c r="L152" s="60" t="s">
        <v>179</v>
      </c>
      <c r="M152" s="59">
        <v>42948.0</v>
      </c>
      <c r="N152" s="60" t="s">
        <v>284</v>
      </c>
      <c r="O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8.75" customHeight="1">
      <c r="A153" s="56">
        <f t="shared" si="1"/>
        <v>150</v>
      </c>
      <c r="B153" s="56" t="str">
        <f t="shared" si="2"/>
        <v>HD3</v>
      </c>
      <c r="C153" s="72" t="s">
        <v>488</v>
      </c>
      <c r="D153" s="58" t="s">
        <v>117</v>
      </c>
      <c r="E153" s="58" t="s">
        <v>28</v>
      </c>
      <c r="F153" s="58" t="s">
        <v>49</v>
      </c>
      <c r="G153" s="58"/>
      <c r="H153" s="58" t="s">
        <v>118</v>
      </c>
      <c r="I153" s="73">
        <v>36212.0</v>
      </c>
      <c r="J153" s="56">
        <f>IF($C$761="","",DATEDIF(I153,TODAY(),"Y"))</f>
        <v>27</v>
      </c>
      <c r="K153" s="58">
        <v>6.861965658E9</v>
      </c>
      <c r="L153" s="71" t="s">
        <v>489</v>
      </c>
      <c r="M153" s="73">
        <v>45385.0</v>
      </c>
      <c r="N153" s="71" t="s">
        <v>490</v>
      </c>
      <c r="O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8.75" customHeight="1">
      <c r="A154" s="56">
        <f t="shared" si="1"/>
        <v>151</v>
      </c>
      <c r="B154" s="56" t="str">
        <f t="shared" si="2"/>
        <v>HS7</v>
      </c>
      <c r="C154" s="57" t="s">
        <v>491</v>
      </c>
      <c r="D154" s="56" t="s">
        <v>117</v>
      </c>
      <c r="E154" s="56" t="s">
        <v>40</v>
      </c>
      <c r="F154" s="56" t="s">
        <v>43</v>
      </c>
      <c r="G154" s="56"/>
      <c r="H154" s="56" t="s">
        <v>118</v>
      </c>
      <c r="I154" s="59">
        <v>39219.0</v>
      </c>
      <c r="J154" s="56">
        <f t="shared" ref="J154:J159" si="5">IF(C154="","",DATEDIF(I154,TODAY(),"Y"))</f>
        <v>18</v>
      </c>
      <c r="K154" s="56"/>
      <c r="L154" s="60" t="s">
        <v>492</v>
      </c>
      <c r="M154" s="59">
        <v>44605.0</v>
      </c>
      <c r="N154" s="60" t="s">
        <v>493</v>
      </c>
      <c r="O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8.75" customHeight="1">
      <c r="A155" s="56">
        <f t="shared" si="1"/>
        <v>152</v>
      </c>
      <c r="B155" s="56" t="str">
        <f t="shared" si="2"/>
        <v>MJ18</v>
      </c>
      <c r="C155" s="57" t="s">
        <v>494</v>
      </c>
      <c r="D155" s="56" t="s">
        <v>128</v>
      </c>
      <c r="E155" s="56" t="s">
        <v>16</v>
      </c>
      <c r="F155" s="56" t="s">
        <v>30</v>
      </c>
      <c r="G155" s="56"/>
      <c r="H155" s="56" t="s">
        <v>118</v>
      </c>
      <c r="I155" s="59">
        <v>27815.0</v>
      </c>
      <c r="J155" s="56">
        <f t="shared" si="5"/>
        <v>50</v>
      </c>
      <c r="K155" s="56">
        <v>3.32351044E9</v>
      </c>
      <c r="L155" s="60" t="s">
        <v>495</v>
      </c>
      <c r="M155" s="59">
        <v>43801.0</v>
      </c>
      <c r="N155" s="60" t="s">
        <v>496</v>
      </c>
      <c r="O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8.75" customHeight="1">
      <c r="A156" s="56">
        <f t="shared" si="1"/>
        <v>153</v>
      </c>
      <c r="B156" s="56" t="str">
        <f t="shared" si="2"/>
        <v>HJ6</v>
      </c>
      <c r="C156" s="57" t="s">
        <v>497</v>
      </c>
      <c r="D156" s="56" t="s">
        <v>117</v>
      </c>
      <c r="E156" s="56" t="s">
        <v>22</v>
      </c>
      <c r="F156" s="56" t="s">
        <v>30</v>
      </c>
      <c r="G156" s="56"/>
      <c r="H156" s="56" t="s">
        <v>118</v>
      </c>
      <c r="I156" s="59">
        <v>28548.0</v>
      </c>
      <c r="J156" s="56">
        <f t="shared" si="5"/>
        <v>48</v>
      </c>
      <c r="K156" s="56">
        <v>3.315190548E9</v>
      </c>
      <c r="L156" s="60" t="s">
        <v>498</v>
      </c>
      <c r="M156" s="59"/>
      <c r="N156" s="60"/>
      <c r="O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8.75" hidden="1" customHeight="1">
      <c r="A157" s="56">
        <f t="shared" si="1"/>
        <v>154</v>
      </c>
      <c r="B157" s="56" t="str">
        <f t="shared" si="2"/>
        <v>MB40</v>
      </c>
      <c r="C157" s="57" t="s">
        <v>499</v>
      </c>
      <c r="D157" s="56" t="s">
        <v>128</v>
      </c>
      <c r="E157" s="56" t="s">
        <v>28</v>
      </c>
      <c r="F157" s="56" t="s">
        <v>7</v>
      </c>
      <c r="G157" s="56" t="s">
        <v>118</v>
      </c>
      <c r="H157" s="56" t="s">
        <v>118</v>
      </c>
      <c r="I157" s="59">
        <v>33676.0</v>
      </c>
      <c r="J157" s="56">
        <f t="shared" si="5"/>
        <v>34</v>
      </c>
      <c r="K157" s="56">
        <v>3.316304331E9</v>
      </c>
      <c r="L157" s="60" t="s">
        <v>500</v>
      </c>
      <c r="M157" s="59">
        <v>43413.0</v>
      </c>
      <c r="N157" s="60" t="s">
        <v>501</v>
      </c>
      <c r="O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8.75" customHeight="1">
      <c r="A158" s="56">
        <f t="shared" si="1"/>
        <v>155</v>
      </c>
      <c r="B158" s="56" t="str">
        <f t="shared" si="2"/>
        <v>MS4</v>
      </c>
      <c r="C158" s="72" t="s">
        <v>502</v>
      </c>
      <c r="D158" s="58" t="s">
        <v>128</v>
      </c>
      <c r="E158" s="58" t="s">
        <v>40</v>
      </c>
      <c r="F158" s="58" t="s">
        <v>43</v>
      </c>
      <c r="G158" s="58" t="s">
        <v>118</v>
      </c>
      <c r="H158" s="56" t="s">
        <v>118</v>
      </c>
      <c r="I158" s="73">
        <v>40303.0</v>
      </c>
      <c r="J158" s="56">
        <f t="shared" si="5"/>
        <v>15</v>
      </c>
      <c r="K158" s="58">
        <v>3.329086233E9</v>
      </c>
      <c r="L158" s="71" t="s">
        <v>503</v>
      </c>
      <c r="M158" s="82">
        <v>45533.0</v>
      </c>
      <c r="N158" s="71" t="s">
        <v>439</v>
      </c>
      <c r="O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8.75" hidden="1" customHeight="1">
      <c r="A159" s="56">
        <f t="shared" si="1"/>
        <v>156</v>
      </c>
      <c r="B159" s="56" t="str">
        <f t="shared" si="2"/>
        <v>MB41</v>
      </c>
      <c r="C159" s="57" t="s">
        <v>504</v>
      </c>
      <c r="D159" s="56" t="s">
        <v>128</v>
      </c>
      <c r="E159" s="56" t="s">
        <v>22</v>
      </c>
      <c r="F159" s="56" t="s">
        <v>7</v>
      </c>
      <c r="G159" s="56" t="s">
        <v>118</v>
      </c>
      <c r="H159" s="56" t="s">
        <v>118</v>
      </c>
      <c r="I159" s="59">
        <v>30573.0</v>
      </c>
      <c r="J159" s="56">
        <f t="shared" si="5"/>
        <v>42</v>
      </c>
      <c r="K159" s="56">
        <v>3.321189847E9</v>
      </c>
      <c r="L159" s="60" t="s">
        <v>399</v>
      </c>
      <c r="M159" s="59">
        <v>43597.0</v>
      </c>
      <c r="N159" s="60" t="s">
        <v>505</v>
      </c>
      <c r="O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8.75" customHeight="1">
      <c r="A160" s="56">
        <f t="shared" si="1"/>
        <v>157</v>
      </c>
      <c r="B160" s="56" t="str">
        <f t="shared" si="2"/>
        <v>MV12</v>
      </c>
      <c r="C160" s="57" t="s">
        <v>506</v>
      </c>
      <c r="D160" s="56" t="s">
        <v>128</v>
      </c>
      <c r="E160" s="56" t="s">
        <v>40</v>
      </c>
      <c r="F160" s="56" t="s">
        <v>36</v>
      </c>
      <c r="G160" s="56"/>
      <c r="H160" s="56" t="s">
        <v>118</v>
      </c>
      <c r="I160" s="59">
        <v>40192.0</v>
      </c>
      <c r="J160" s="56">
        <f>IF($C$761="","",DATEDIF(I160,TODAY(),"Y"))</f>
        <v>16</v>
      </c>
      <c r="K160" s="56"/>
      <c r="L160" s="60" t="s">
        <v>507</v>
      </c>
      <c r="M160" s="59">
        <v>38050.0</v>
      </c>
      <c r="N160" s="60" t="s">
        <v>235</v>
      </c>
      <c r="O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8.75" hidden="1" customHeight="1">
      <c r="A161" s="56">
        <f t="shared" si="1"/>
        <v>158</v>
      </c>
      <c r="B161" s="56" t="str">
        <f t="shared" si="2"/>
        <v>MB42</v>
      </c>
      <c r="C161" s="57" t="s">
        <v>508</v>
      </c>
      <c r="D161" s="56" t="s">
        <v>128</v>
      </c>
      <c r="E161" s="56" t="s">
        <v>22</v>
      </c>
      <c r="F161" s="56" t="s">
        <v>7</v>
      </c>
      <c r="G161" s="56" t="s">
        <v>118</v>
      </c>
      <c r="H161" s="56" t="s">
        <v>118</v>
      </c>
      <c r="I161" s="59">
        <v>26357.0</v>
      </c>
      <c r="J161" s="56">
        <f t="shared" ref="J161:J169" si="6">IF(C161="","",DATEDIF(I161,TODAY(),"Y"))</f>
        <v>54</v>
      </c>
      <c r="K161" s="56">
        <v>3.313639212E9</v>
      </c>
      <c r="L161" s="60" t="s">
        <v>509</v>
      </c>
      <c r="M161" s="59"/>
      <c r="N161" s="60"/>
      <c r="O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8.75" hidden="1" customHeight="1">
      <c r="A162" s="56">
        <f t="shared" si="1"/>
        <v>159</v>
      </c>
      <c r="B162" s="56" t="str">
        <f t="shared" si="2"/>
        <v>MB43</v>
      </c>
      <c r="C162" s="57" t="s">
        <v>510</v>
      </c>
      <c r="D162" s="56" t="s">
        <v>128</v>
      </c>
      <c r="E162" s="56" t="s">
        <v>40</v>
      </c>
      <c r="F162" s="56" t="s">
        <v>7</v>
      </c>
      <c r="G162" s="56" t="s">
        <v>118</v>
      </c>
      <c r="H162" s="56" t="s">
        <v>118</v>
      </c>
      <c r="I162" s="59">
        <v>37483.0</v>
      </c>
      <c r="J162" s="56">
        <f t="shared" si="6"/>
        <v>23</v>
      </c>
      <c r="K162" s="56">
        <v>3.326529944E9</v>
      </c>
      <c r="L162" s="60" t="s">
        <v>511</v>
      </c>
      <c r="M162" s="59">
        <v>43657.0</v>
      </c>
      <c r="N162" s="60" t="s">
        <v>512</v>
      </c>
      <c r="O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8.75" customHeight="1">
      <c r="A163" s="56">
        <f t="shared" si="1"/>
        <v>160</v>
      </c>
      <c r="B163" s="56" t="str">
        <f t="shared" si="2"/>
        <v>MS5</v>
      </c>
      <c r="C163" s="57" t="s">
        <v>513</v>
      </c>
      <c r="D163" s="56" t="s">
        <v>128</v>
      </c>
      <c r="E163" s="56" t="s">
        <v>40</v>
      </c>
      <c r="F163" s="56" t="s">
        <v>43</v>
      </c>
      <c r="G163" s="56"/>
      <c r="H163" s="56" t="s">
        <v>118</v>
      </c>
      <c r="I163" s="59">
        <v>38908.0</v>
      </c>
      <c r="J163" s="56">
        <f t="shared" si="6"/>
        <v>19</v>
      </c>
      <c r="K163" s="56"/>
      <c r="L163" s="60" t="s">
        <v>514</v>
      </c>
      <c r="M163" s="59">
        <v>44512.0</v>
      </c>
      <c r="N163" s="60" t="s">
        <v>515</v>
      </c>
      <c r="O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8.75" customHeight="1">
      <c r="A164" s="56">
        <f t="shared" si="1"/>
        <v>161</v>
      </c>
      <c r="B164" s="56" t="str">
        <f t="shared" si="2"/>
        <v>ML8</v>
      </c>
      <c r="C164" s="57" t="s">
        <v>516</v>
      </c>
      <c r="D164" s="56" t="s">
        <v>128</v>
      </c>
      <c r="E164" s="56" t="s">
        <v>22</v>
      </c>
      <c r="F164" s="56" t="s">
        <v>12</v>
      </c>
      <c r="G164" s="56"/>
      <c r="H164" s="56" t="s">
        <v>118</v>
      </c>
      <c r="I164" s="59">
        <v>31179.0</v>
      </c>
      <c r="J164" s="56">
        <f t="shared" si="6"/>
        <v>40</v>
      </c>
      <c r="K164" s="56">
        <v>3.319289902E9</v>
      </c>
      <c r="L164" s="60" t="s">
        <v>517</v>
      </c>
      <c r="M164" s="59"/>
      <c r="N164" s="60"/>
      <c r="O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8.75" customHeight="1">
      <c r="A165" s="56">
        <f t="shared" si="1"/>
        <v>162</v>
      </c>
      <c r="B165" s="56" t="str">
        <f t="shared" si="2"/>
        <v>HL7</v>
      </c>
      <c r="C165" s="57" t="s">
        <v>518</v>
      </c>
      <c r="D165" s="56" t="s">
        <v>117</v>
      </c>
      <c r="E165" s="56" t="s">
        <v>22</v>
      </c>
      <c r="F165" s="56" t="s">
        <v>12</v>
      </c>
      <c r="G165" s="56"/>
      <c r="H165" s="56" t="s">
        <v>118</v>
      </c>
      <c r="I165" s="59">
        <v>32436.0</v>
      </c>
      <c r="J165" s="56">
        <f t="shared" si="6"/>
        <v>37</v>
      </c>
      <c r="K165" s="56">
        <v>3.311500936E9</v>
      </c>
      <c r="L165" s="60" t="s">
        <v>519</v>
      </c>
      <c r="M165" s="59"/>
      <c r="N165" s="60"/>
      <c r="O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8.75" customHeight="1">
      <c r="A166" s="43">
        <f t="shared" si="1"/>
        <v>163</v>
      </c>
      <c r="B166" s="43" t="str">
        <f t="shared" si="2"/>
        <v>HV5</v>
      </c>
      <c r="C166" s="62" t="s">
        <v>38</v>
      </c>
      <c r="D166" s="43" t="s">
        <v>117</v>
      </c>
      <c r="E166" s="43" t="s">
        <v>34</v>
      </c>
      <c r="F166" s="43" t="s">
        <v>36</v>
      </c>
      <c r="G166" s="43"/>
      <c r="H166" s="43" t="s">
        <v>118</v>
      </c>
      <c r="I166" s="46">
        <v>33048.0</v>
      </c>
      <c r="J166" s="43">
        <f t="shared" si="6"/>
        <v>35</v>
      </c>
      <c r="K166" s="43">
        <v>3.313451816E9</v>
      </c>
      <c r="L166" s="47" t="s">
        <v>520</v>
      </c>
      <c r="M166" s="46"/>
      <c r="N166" s="47"/>
      <c r="O166" s="49"/>
      <c r="P166" s="69"/>
      <c r="Q166" s="6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8.75" hidden="1" customHeight="1">
      <c r="A167" s="56">
        <f t="shared" si="1"/>
        <v>164</v>
      </c>
      <c r="B167" s="56" t="str">
        <f t="shared" si="2"/>
        <v>MB44</v>
      </c>
      <c r="C167" s="57" t="s">
        <v>521</v>
      </c>
      <c r="D167" s="56" t="s">
        <v>128</v>
      </c>
      <c r="E167" s="56" t="s">
        <v>22</v>
      </c>
      <c r="F167" s="58" t="s">
        <v>7</v>
      </c>
      <c r="G167" s="56" t="s">
        <v>118</v>
      </c>
      <c r="H167" s="56" t="s">
        <v>118</v>
      </c>
      <c r="I167" s="59">
        <v>29849.0</v>
      </c>
      <c r="J167" s="56">
        <f t="shared" si="6"/>
        <v>44</v>
      </c>
      <c r="K167" s="56">
        <v>3.321715607E9</v>
      </c>
      <c r="L167" s="60" t="s">
        <v>522</v>
      </c>
      <c r="M167" s="59">
        <v>43131.0</v>
      </c>
      <c r="N167" s="60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8.75" customHeight="1">
      <c r="A168" s="56">
        <f t="shared" si="1"/>
        <v>165</v>
      </c>
      <c r="B168" s="56" t="str">
        <f t="shared" si="2"/>
        <v>MJ19</v>
      </c>
      <c r="C168" s="57" t="s">
        <v>523</v>
      </c>
      <c r="D168" s="56" t="s">
        <v>128</v>
      </c>
      <c r="E168" s="56" t="s">
        <v>446</v>
      </c>
      <c r="F168" s="58" t="s">
        <v>30</v>
      </c>
      <c r="G168" s="56"/>
      <c r="H168" s="56" t="s">
        <v>118</v>
      </c>
      <c r="I168" s="59">
        <v>33953.0</v>
      </c>
      <c r="J168" s="56">
        <f t="shared" si="6"/>
        <v>33</v>
      </c>
      <c r="K168" s="56">
        <v>3.31560866E9</v>
      </c>
      <c r="L168" s="60" t="s">
        <v>517</v>
      </c>
      <c r="M168" s="59"/>
      <c r="N168" s="60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8.75" hidden="1" customHeight="1">
      <c r="A169" s="56">
        <f t="shared" si="1"/>
        <v>166</v>
      </c>
      <c r="B169" s="56" t="str">
        <f t="shared" si="2"/>
        <v>HB35</v>
      </c>
      <c r="C169" s="57" t="s">
        <v>524</v>
      </c>
      <c r="D169" s="56" t="s">
        <v>117</v>
      </c>
      <c r="E169" s="56" t="s">
        <v>40</v>
      </c>
      <c r="F169" s="56" t="s">
        <v>7</v>
      </c>
      <c r="G169" s="56" t="s">
        <v>118</v>
      </c>
      <c r="H169" s="56" t="s">
        <v>118</v>
      </c>
      <c r="I169" s="59">
        <v>33422.0</v>
      </c>
      <c r="J169" s="56">
        <f t="shared" si="6"/>
        <v>34</v>
      </c>
      <c r="K169" s="56">
        <v>3.317209345E9</v>
      </c>
      <c r="L169" s="60" t="s">
        <v>525</v>
      </c>
      <c r="M169" s="59"/>
      <c r="N169" s="60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8.75" customHeight="1">
      <c r="A170" s="56">
        <f t="shared" si="1"/>
        <v>167</v>
      </c>
      <c r="B170" s="56" t="str">
        <f>IF(C170="","",D170&amp;$F$761&amp;COUNTIFS($D$4:D170,$D$761,$F$4:F170,$F$761))</f>
        <v>ML9</v>
      </c>
      <c r="C170" s="72" t="s">
        <v>526</v>
      </c>
      <c r="D170" s="58" t="s">
        <v>128</v>
      </c>
      <c r="E170" s="58" t="s">
        <v>40</v>
      </c>
      <c r="F170" s="58" t="s">
        <v>12</v>
      </c>
      <c r="G170" s="58"/>
      <c r="H170" s="58" t="s">
        <v>118</v>
      </c>
      <c r="I170" s="59"/>
      <c r="J170" s="56"/>
      <c r="K170" s="58">
        <v>2.382755046E9</v>
      </c>
      <c r="L170" s="60"/>
      <c r="M170" s="73">
        <v>45467.0</v>
      </c>
      <c r="N170" s="71" t="s">
        <v>300</v>
      </c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8.75" customHeight="1">
      <c r="A171" s="56">
        <f t="shared" si="1"/>
        <v>168</v>
      </c>
      <c r="B171" s="56" t="str">
        <f t="shared" ref="B171:B293" si="7">IF(C171="","",D171&amp;F171&amp;COUNTIFS($D$4:D171,D171,$F$4:F171,F171))</f>
        <v>HS8</v>
      </c>
      <c r="C171" s="57" t="s">
        <v>527</v>
      </c>
      <c r="D171" s="56" t="s">
        <v>117</v>
      </c>
      <c r="E171" s="56" t="s">
        <v>40</v>
      </c>
      <c r="F171" s="56" t="s">
        <v>43</v>
      </c>
      <c r="G171" s="56"/>
      <c r="H171" s="56" t="s">
        <v>118</v>
      </c>
      <c r="I171" s="59">
        <v>38550.0</v>
      </c>
      <c r="J171" s="56">
        <f t="shared" ref="J171:J207" si="8">IF(C171="","",DATEDIF(I171,TODAY(),"Y"))</f>
        <v>20</v>
      </c>
      <c r="K171" s="56">
        <v>3.317780958E9</v>
      </c>
      <c r="L171" s="60" t="s">
        <v>528</v>
      </c>
      <c r="M171" s="59">
        <v>43641.0</v>
      </c>
      <c r="N171" s="60" t="s">
        <v>202</v>
      </c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8.75" hidden="1" customHeight="1">
      <c r="A172" s="56">
        <f t="shared" si="1"/>
        <v>169</v>
      </c>
      <c r="B172" s="56" t="str">
        <f t="shared" si="7"/>
        <v>MB45</v>
      </c>
      <c r="C172" s="57" t="s">
        <v>529</v>
      </c>
      <c r="D172" s="56" t="s">
        <v>128</v>
      </c>
      <c r="E172" s="56" t="s">
        <v>40</v>
      </c>
      <c r="F172" s="56" t="s">
        <v>7</v>
      </c>
      <c r="G172" s="56" t="s">
        <v>118</v>
      </c>
      <c r="H172" s="56" t="s">
        <v>118</v>
      </c>
      <c r="I172" s="59">
        <v>37653.0</v>
      </c>
      <c r="J172" s="56">
        <f t="shared" si="8"/>
        <v>23</v>
      </c>
      <c r="K172" s="56">
        <v>3.317780958E9</v>
      </c>
      <c r="L172" s="60" t="s">
        <v>530</v>
      </c>
      <c r="M172" s="59">
        <v>42979.0</v>
      </c>
      <c r="N172" s="60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8.75" hidden="1" customHeight="1">
      <c r="A173" s="56">
        <f t="shared" si="1"/>
        <v>170</v>
      </c>
      <c r="B173" s="56" t="str">
        <f t="shared" si="7"/>
        <v>HB36</v>
      </c>
      <c r="C173" s="57" t="s">
        <v>531</v>
      </c>
      <c r="D173" s="56" t="s">
        <v>117</v>
      </c>
      <c r="E173" s="56" t="s">
        <v>40</v>
      </c>
      <c r="F173" s="56" t="s">
        <v>7</v>
      </c>
      <c r="G173" s="56" t="s">
        <v>118</v>
      </c>
      <c r="H173" s="56" t="s">
        <v>118</v>
      </c>
      <c r="I173" s="59">
        <v>37455.0</v>
      </c>
      <c r="J173" s="56">
        <f t="shared" si="8"/>
        <v>23</v>
      </c>
      <c r="K173" s="56">
        <v>3.326688116E9</v>
      </c>
      <c r="L173" s="60" t="s">
        <v>532</v>
      </c>
      <c r="M173" s="59">
        <v>43433.0</v>
      </c>
      <c r="N173" s="60" t="s">
        <v>233</v>
      </c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8.75" customHeight="1">
      <c r="A174" s="56">
        <f t="shared" si="1"/>
        <v>171</v>
      </c>
      <c r="B174" s="56" t="str">
        <f t="shared" si="7"/>
        <v>MJ20</v>
      </c>
      <c r="C174" s="57" t="s">
        <v>533</v>
      </c>
      <c r="D174" s="56" t="s">
        <v>128</v>
      </c>
      <c r="E174" s="56" t="s">
        <v>40</v>
      </c>
      <c r="F174" s="56" t="s">
        <v>30</v>
      </c>
      <c r="G174" s="56"/>
      <c r="H174" s="56" t="s">
        <v>118</v>
      </c>
      <c r="I174" s="59">
        <v>38777.0</v>
      </c>
      <c r="J174" s="56">
        <f t="shared" si="8"/>
        <v>20</v>
      </c>
      <c r="K174" s="56">
        <v>3.328329014E9</v>
      </c>
      <c r="L174" s="60" t="s">
        <v>534</v>
      </c>
      <c r="M174" s="59">
        <v>44761.0</v>
      </c>
      <c r="N174" s="60" t="s">
        <v>535</v>
      </c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8.75" customHeight="1">
      <c r="A175" s="56">
        <f t="shared" si="1"/>
        <v>172</v>
      </c>
      <c r="B175" s="56" t="str">
        <f t="shared" si="7"/>
        <v>MMa5</v>
      </c>
      <c r="C175" s="72" t="s">
        <v>536</v>
      </c>
      <c r="D175" s="56" t="s">
        <v>128</v>
      </c>
      <c r="E175" s="56" t="s">
        <v>34</v>
      </c>
      <c r="F175" s="58" t="s">
        <v>18</v>
      </c>
      <c r="G175" s="58" t="s">
        <v>118</v>
      </c>
      <c r="H175" s="56" t="s">
        <v>118</v>
      </c>
      <c r="I175" s="73">
        <v>21994.0</v>
      </c>
      <c r="J175" s="56">
        <f t="shared" si="8"/>
        <v>66</v>
      </c>
      <c r="K175" s="58">
        <v>3.313523387E9</v>
      </c>
      <c r="L175" s="60"/>
      <c r="M175" s="59"/>
      <c r="N175" s="71" t="s">
        <v>537</v>
      </c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8.75" customHeight="1">
      <c r="A176" s="56">
        <f t="shared" si="1"/>
        <v>173</v>
      </c>
      <c r="B176" s="56" t="str">
        <f t="shared" si="7"/>
        <v>MS6</v>
      </c>
      <c r="C176" s="72" t="s">
        <v>538</v>
      </c>
      <c r="D176" s="58" t="s">
        <v>128</v>
      </c>
      <c r="E176" s="58" t="s">
        <v>40</v>
      </c>
      <c r="F176" s="58" t="s">
        <v>43</v>
      </c>
      <c r="G176" s="58" t="s">
        <v>118</v>
      </c>
      <c r="H176" s="56" t="s">
        <v>118</v>
      </c>
      <c r="I176" s="73">
        <v>40266.0</v>
      </c>
      <c r="J176" s="56">
        <f t="shared" si="8"/>
        <v>16</v>
      </c>
      <c r="K176" s="58">
        <v>3.314944963E9</v>
      </c>
      <c r="L176" s="71" t="s">
        <v>539</v>
      </c>
      <c r="M176" s="58" t="s">
        <v>540</v>
      </c>
      <c r="N176" s="71" t="s">
        <v>300</v>
      </c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8.75" hidden="1" customHeight="1">
      <c r="A177" s="56">
        <f t="shared" si="1"/>
        <v>174</v>
      </c>
      <c r="B177" s="56" t="str">
        <f t="shared" si="7"/>
        <v>HB37</v>
      </c>
      <c r="C177" s="57" t="s">
        <v>541</v>
      </c>
      <c r="D177" s="56" t="s">
        <v>117</v>
      </c>
      <c r="E177" s="56" t="s">
        <v>40</v>
      </c>
      <c r="F177" s="58" t="s">
        <v>7</v>
      </c>
      <c r="G177" s="56" t="s">
        <v>118</v>
      </c>
      <c r="H177" s="56" t="s">
        <v>118</v>
      </c>
      <c r="I177" s="59">
        <v>40331.0</v>
      </c>
      <c r="J177" s="56">
        <f t="shared" si="8"/>
        <v>15</v>
      </c>
      <c r="K177" s="56"/>
      <c r="L177" s="60" t="s">
        <v>542</v>
      </c>
      <c r="M177" s="59">
        <v>45210.0</v>
      </c>
      <c r="N177" s="60" t="s">
        <v>543</v>
      </c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8.75" hidden="1" customHeight="1">
      <c r="A178" s="56">
        <f t="shared" si="1"/>
        <v>175</v>
      </c>
      <c r="B178" s="56" t="str">
        <f t="shared" si="7"/>
        <v>MB46</v>
      </c>
      <c r="C178" s="57" t="s">
        <v>544</v>
      </c>
      <c r="D178" s="56" t="s">
        <v>128</v>
      </c>
      <c r="E178" s="56" t="s">
        <v>28</v>
      </c>
      <c r="F178" s="56" t="s">
        <v>7</v>
      </c>
      <c r="G178" s="56" t="s">
        <v>118</v>
      </c>
      <c r="H178" s="56" t="s">
        <v>118</v>
      </c>
      <c r="I178" s="59">
        <v>34335.0</v>
      </c>
      <c r="J178" s="56">
        <f t="shared" si="8"/>
        <v>32</v>
      </c>
      <c r="K178" s="56">
        <v>3.314062964E9</v>
      </c>
      <c r="L178" s="60" t="s">
        <v>545</v>
      </c>
      <c r="M178" s="59">
        <v>43298.0</v>
      </c>
      <c r="N178" s="60" t="s">
        <v>546</v>
      </c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8.75" customHeight="1">
      <c r="A179" s="56">
        <f t="shared" si="1"/>
        <v>176</v>
      </c>
      <c r="B179" s="56" t="str">
        <f t="shared" si="7"/>
        <v>HD4</v>
      </c>
      <c r="C179" s="57" t="s">
        <v>547</v>
      </c>
      <c r="D179" s="56" t="s">
        <v>117</v>
      </c>
      <c r="E179" s="56" t="s">
        <v>22</v>
      </c>
      <c r="F179" s="56" t="s">
        <v>49</v>
      </c>
      <c r="G179" s="56"/>
      <c r="H179" s="56" t="s">
        <v>118</v>
      </c>
      <c r="I179" s="59">
        <v>30946.0</v>
      </c>
      <c r="J179" s="56">
        <f t="shared" si="8"/>
        <v>41</v>
      </c>
      <c r="K179" s="56">
        <v>3.327162041E9</v>
      </c>
      <c r="L179" s="60" t="s">
        <v>548</v>
      </c>
      <c r="M179" s="59">
        <v>44319.0</v>
      </c>
      <c r="N179" s="60" t="s">
        <v>549</v>
      </c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8.75" customHeight="1">
      <c r="A180" s="56">
        <f t="shared" si="1"/>
        <v>177</v>
      </c>
      <c r="B180" s="56" t="str">
        <f t="shared" si="7"/>
        <v>HS9</v>
      </c>
      <c r="C180" s="57" t="s">
        <v>550</v>
      </c>
      <c r="D180" s="56" t="s">
        <v>117</v>
      </c>
      <c r="E180" s="56" t="s">
        <v>140</v>
      </c>
      <c r="F180" s="56" t="s">
        <v>43</v>
      </c>
      <c r="G180" s="56"/>
      <c r="H180" s="56" t="s">
        <v>118</v>
      </c>
      <c r="I180" s="59">
        <v>19447.0</v>
      </c>
      <c r="J180" s="56">
        <f t="shared" si="8"/>
        <v>73</v>
      </c>
      <c r="K180" s="56" t="s">
        <v>223</v>
      </c>
      <c r="L180" s="60" t="s">
        <v>551</v>
      </c>
      <c r="M180" s="59"/>
      <c r="N180" s="60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8.75" customHeight="1">
      <c r="A181" s="43">
        <f t="shared" si="1"/>
        <v>178</v>
      </c>
      <c r="B181" s="43" t="str">
        <f t="shared" si="7"/>
        <v>HV6</v>
      </c>
      <c r="C181" s="44" t="s">
        <v>552</v>
      </c>
      <c r="D181" s="45" t="s">
        <v>117</v>
      </c>
      <c r="E181" s="45" t="s">
        <v>40</v>
      </c>
      <c r="F181" s="45" t="s">
        <v>36</v>
      </c>
      <c r="G181" s="45" t="s">
        <v>165</v>
      </c>
      <c r="H181" s="43" t="s">
        <v>118</v>
      </c>
      <c r="I181" s="63">
        <v>39305.0</v>
      </c>
      <c r="J181" s="43">
        <f t="shared" si="8"/>
        <v>18</v>
      </c>
      <c r="K181" s="45">
        <v>3.329583134E9</v>
      </c>
      <c r="L181" s="48" t="s">
        <v>553</v>
      </c>
      <c r="M181" s="63">
        <v>45730.0</v>
      </c>
      <c r="N181" s="48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8.75" hidden="1" customHeight="1">
      <c r="A182" s="56">
        <f t="shared" si="1"/>
        <v>179</v>
      </c>
      <c r="B182" s="56" t="str">
        <f t="shared" si="7"/>
        <v>HB38</v>
      </c>
      <c r="C182" s="57" t="s">
        <v>554</v>
      </c>
      <c r="D182" s="56" t="s">
        <v>117</v>
      </c>
      <c r="E182" s="56" t="s">
        <v>40</v>
      </c>
      <c r="F182" s="58" t="s">
        <v>7</v>
      </c>
      <c r="G182" s="56" t="s">
        <v>118</v>
      </c>
      <c r="H182" s="56" t="s">
        <v>118</v>
      </c>
      <c r="I182" s="59">
        <v>38478.0</v>
      </c>
      <c r="J182" s="56">
        <f t="shared" si="8"/>
        <v>20</v>
      </c>
      <c r="K182" s="56"/>
      <c r="L182" s="60" t="s">
        <v>555</v>
      </c>
      <c r="M182" s="59">
        <v>43662.0</v>
      </c>
      <c r="N182" s="60" t="s">
        <v>233</v>
      </c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8.75" hidden="1" customHeight="1">
      <c r="A183" s="56">
        <f t="shared" si="1"/>
        <v>180</v>
      </c>
      <c r="B183" s="56" t="str">
        <f t="shared" si="7"/>
        <v>HB39</v>
      </c>
      <c r="C183" s="57" t="s">
        <v>556</v>
      </c>
      <c r="D183" s="56" t="s">
        <v>117</v>
      </c>
      <c r="E183" s="56" t="s">
        <v>40</v>
      </c>
      <c r="F183" s="58" t="s">
        <v>7</v>
      </c>
      <c r="G183" s="56" t="s">
        <v>118</v>
      </c>
      <c r="H183" s="56" t="s">
        <v>118</v>
      </c>
      <c r="I183" s="59">
        <v>39314.0</v>
      </c>
      <c r="J183" s="56">
        <f t="shared" si="8"/>
        <v>18</v>
      </c>
      <c r="K183" s="56"/>
      <c r="L183" s="60" t="s">
        <v>555</v>
      </c>
      <c r="M183" s="59">
        <v>44548.0</v>
      </c>
      <c r="N183" s="60" t="s">
        <v>218</v>
      </c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8.75" hidden="1" customHeight="1">
      <c r="A184" s="56">
        <f t="shared" si="1"/>
        <v>181</v>
      </c>
      <c r="B184" s="56" t="str">
        <f t="shared" si="7"/>
        <v>MB47</v>
      </c>
      <c r="C184" s="57" t="s">
        <v>557</v>
      </c>
      <c r="D184" s="56" t="s">
        <v>128</v>
      </c>
      <c r="E184" s="56" t="s">
        <v>34</v>
      </c>
      <c r="F184" s="58" t="s">
        <v>7</v>
      </c>
      <c r="G184" s="56" t="s">
        <v>118</v>
      </c>
      <c r="H184" s="56"/>
      <c r="I184" s="59">
        <v>13939.0</v>
      </c>
      <c r="J184" s="56">
        <f t="shared" si="8"/>
        <v>88</v>
      </c>
      <c r="K184" s="56">
        <v>3.6082751E7</v>
      </c>
      <c r="L184" s="60" t="s">
        <v>558</v>
      </c>
      <c r="M184" s="59"/>
      <c r="N184" s="60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8.75" hidden="1" customHeight="1">
      <c r="A185" s="56">
        <f t="shared" si="1"/>
        <v>182</v>
      </c>
      <c r="B185" s="56" t="str">
        <f t="shared" si="7"/>
        <v>HB40</v>
      </c>
      <c r="C185" s="57" t="s">
        <v>559</v>
      </c>
      <c r="D185" s="56" t="s">
        <v>117</v>
      </c>
      <c r="E185" s="56" t="s">
        <v>40</v>
      </c>
      <c r="F185" s="56" t="s">
        <v>7</v>
      </c>
      <c r="G185" s="56" t="s">
        <v>165</v>
      </c>
      <c r="H185" s="56" t="s">
        <v>118</v>
      </c>
      <c r="I185" s="59">
        <v>36182.0</v>
      </c>
      <c r="J185" s="56">
        <f t="shared" si="8"/>
        <v>27</v>
      </c>
      <c r="K185" s="56">
        <v>3.321658098E9</v>
      </c>
      <c r="L185" s="60" t="s">
        <v>560</v>
      </c>
      <c r="M185" s="59">
        <v>43437.0</v>
      </c>
      <c r="N185" s="60" t="s">
        <v>561</v>
      </c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8.75" hidden="1" customHeight="1">
      <c r="A186" s="56">
        <f t="shared" si="1"/>
        <v>183</v>
      </c>
      <c r="B186" s="56" t="str">
        <f t="shared" si="7"/>
        <v>MB48</v>
      </c>
      <c r="C186" s="57" t="s">
        <v>562</v>
      </c>
      <c r="D186" s="56" t="s">
        <v>128</v>
      </c>
      <c r="E186" s="56" t="s">
        <v>28</v>
      </c>
      <c r="F186" s="56" t="s">
        <v>7</v>
      </c>
      <c r="G186" s="56" t="s">
        <v>118</v>
      </c>
      <c r="H186" s="56" t="s">
        <v>118</v>
      </c>
      <c r="I186" s="59">
        <v>31952.0</v>
      </c>
      <c r="J186" s="56">
        <f t="shared" si="8"/>
        <v>38</v>
      </c>
      <c r="K186" s="56">
        <v>3.314895765E9</v>
      </c>
      <c r="L186" s="60" t="s">
        <v>563</v>
      </c>
      <c r="M186" s="59">
        <v>42948.0</v>
      </c>
      <c r="N186" s="60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8.75" hidden="1" customHeight="1">
      <c r="A187" s="56">
        <f t="shared" si="1"/>
        <v>184</v>
      </c>
      <c r="B187" s="56" t="str">
        <f t="shared" si="7"/>
        <v>MB49</v>
      </c>
      <c r="C187" s="57" t="s">
        <v>564</v>
      </c>
      <c r="D187" s="56" t="s">
        <v>128</v>
      </c>
      <c r="E187" s="56" t="s">
        <v>40</v>
      </c>
      <c r="F187" s="56" t="s">
        <v>7</v>
      </c>
      <c r="G187" s="56" t="s">
        <v>118</v>
      </c>
      <c r="H187" s="56" t="s">
        <v>118</v>
      </c>
      <c r="I187" s="59">
        <v>35911.0</v>
      </c>
      <c r="J187" s="56">
        <f t="shared" si="8"/>
        <v>27</v>
      </c>
      <c r="K187" s="56">
        <v>3.312688826E9</v>
      </c>
      <c r="L187" s="60" t="s">
        <v>565</v>
      </c>
      <c r="M187" s="59">
        <v>44550.0</v>
      </c>
      <c r="N187" s="60" t="s">
        <v>566</v>
      </c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8.75" customHeight="1">
      <c r="A188" s="56">
        <f t="shared" si="1"/>
        <v>185</v>
      </c>
      <c r="B188" s="56" t="str">
        <f t="shared" si="7"/>
        <v>HL8</v>
      </c>
      <c r="C188" s="57" t="s">
        <v>567</v>
      </c>
      <c r="D188" s="56" t="s">
        <v>117</v>
      </c>
      <c r="E188" s="56" t="s">
        <v>16</v>
      </c>
      <c r="F188" s="56" t="s">
        <v>12</v>
      </c>
      <c r="G188" s="58" t="s">
        <v>118</v>
      </c>
      <c r="H188" s="56" t="s">
        <v>118</v>
      </c>
      <c r="I188" s="59">
        <v>26624.0</v>
      </c>
      <c r="J188" s="56">
        <f t="shared" si="8"/>
        <v>53</v>
      </c>
      <c r="K188" s="56">
        <v>3.321999285E9</v>
      </c>
      <c r="L188" s="60" t="s">
        <v>568</v>
      </c>
      <c r="M188" s="59">
        <v>43718.0</v>
      </c>
      <c r="N188" s="60" t="s">
        <v>486</v>
      </c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8.75" hidden="1" customHeight="1">
      <c r="A189" s="56">
        <f t="shared" si="1"/>
        <v>186</v>
      </c>
      <c r="B189" s="56" t="str">
        <f t="shared" si="7"/>
        <v>MB50</v>
      </c>
      <c r="C189" s="57" t="s">
        <v>569</v>
      </c>
      <c r="D189" s="56" t="s">
        <v>128</v>
      </c>
      <c r="E189" s="56" t="s">
        <v>40</v>
      </c>
      <c r="F189" s="56" t="s">
        <v>7</v>
      </c>
      <c r="G189" s="56" t="s">
        <v>118</v>
      </c>
      <c r="H189" s="56" t="s">
        <v>118</v>
      </c>
      <c r="I189" s="59">
        <v>37395.0</v>
      </c>
      <c r="J189" s="56">
        <f t="shared" si="8"/>
        <v>23</v>
      </c>
      <c r="K189" s="56" t="s">
        <v>570</v>
      </c>
      <c r="L189" s="60" t="s">
        <v>568</v>
      </c>
      <c r="M189" s="59">
        <v>43233.0</v>
      </c>
      <c r="N189" s="60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8.75" hidden="1" customHeight="1">
      <c r="A190" s="56">
        <f t="shared" si="1"/>
        <v>187</v>
      </c>
      <c r="B190" s="56" t="str">
        <f t="shared" si="7"/>
        <v>MB51</v>
      </c>
      <c r="C190" s="57" t="s">
        <v>569</v>
      </c>
      <c r="D190" s="56" t="s">
        <v>128</v>
      </c>
      <c r="E190" s="56" t="s">
        <v>40</v>
      </c>
      <c r="F190" s="56" t="s">
        <v>7</v>
      </c>
      <c r="G190" s="56" t="s">
        <v>118</v>
      </c>
      <c r="H190" s="56" t="s">
        <v>118</v>
      </c>
      <c r="I190" s="59">
        <v>37395.0</v>
      </c>
      <c r="J190" s="56">
        <f t="shared" si="8"/>
        <v>23</v>
      </c>
      <c r="K190" s="56">
        <v>3.311522115E9</v>
      </c>
      <c r="L190" s="60" t="s">
        <v>568</v>
      </c>
      <c r="M190" s="59">
        <v>43469.0</v>
      </c>
      <c r="N190" s="60" t="s">
        <v>571</v>
      </c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8.75" customHeight="1">
      <c r="A191" s="43">
        <f t="shared" si="1"/>
        <v>188</v>
      </c>
      <c r="B191" s="43" t="str">
        <f t="shared" si="7"/>
        <v>HV7</v>
      </c>
      <c r="C191" s="44" t="s">
        <v>572</v>
      </c>
      <c r="D191" s="45" t="s">
        <v>117</v>
      </c>
      <c r="E191" s="45" t="s">
        <v>40</v>
      </c>
      <c r="F191" s="45" t="s">
        <v>36</v>
      </c>
      <c r="G191" s="45" t="s">
        <v>165</v>
      </c>
      <c r="H191" s="43" t="s">
        <v>118</v>
      </c>
      <c r="I191" s="63">
        <v>40597.0</v>
      </c>
      <c r="J191" s="43">
        <f t="shared" si="8"/>
        <v>15</v>
      </c>
      <c r="K191" s="45">
        <v>3.32431512E9</v>
      </c>
      <c r="L191" s="48" t="s">
        <v>573</v>
      </c>
      <c r="M191" s="65">
        <v>46041.0</v>
      </c>
      <c r="N191" s="48" t="s">
        <v>574</v>
      </c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8.75" customHeight="1">
      <c r="A192" s="56">
        <f t="shared" si="1"/>
        <v>189</v>
      </c>
      <c r="B192" s="56" t="str">
        <f t="shared" si="7"/>
        <v>MMa6</v>
      </c>
      <c r="C192" s="72" t="s">
        <v>575</v>
      </c>
      <c r="D192" s="56" t="s">
        <v>128</v>
      </c>
      <c r="E192" s="56" t="s">
        <v>40</v>
      </c>
      <c r="F192" s="58" t="s">
        <v>18</v>
      </c>
      <c r="G192" s="56"/>
      <c r="H192" s="56" t="s">
        <v>118</v>
      </c>
      <c r="I192" s="73">
        <v>37595.0</v>
      </c>
      <c r="J192" s="56">
        <f t="shared" si="8"/>
        <v>23</v>
      </c>
      <c r="K192" s="58">
        <v>3.316944841E9</v>
      </c>
      <c r="L192" s="71" t="s">
        <v>576</v>
      </c>
      <c r="M192" s="73">
        <v>45496.0</v>
      </c>
      <c r="N192" s="71" t="s">
        <v>577</v>
      </c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8.75" hidden="1" customHeight="1">
      <c r="A193" s="56">
        <f t="shared" si="1"/>
        <v>190</v>
      </c>
      <c r="B193" s="56" t="str">
        <f t="shared" si="7"/>
        <v>HB41</v>
      </c>
      <c r="C193" s="57" t="s">
        <v>578</v>
      </c>
      <c r="D193" s="56" t="s">
        <v>117</v>
      </c>
      <c r="E193" s="56" t="s">
        <v>22</v>
      </c>
      <c r="F193" s="56" t="s">
        <v>7</v>
      </c>
      <c r="G193" s="56" t="s">
        <v>118</v>
      </c>
      <c r="H193" s="56" t="s">
        <v>118</v>
      </c>
      <c r="I193" s="59">
        <v>27110.0</v>
      </c>
      <c r="J193" s="56">
        <f t="shared" si="8"/>
        <v>52</v>
      </c>
      <c r="K193" s="56" t="s">
        <v>579</v>
      </c>
      <c r="L193" s="60" t="s">
        <v>580</v>
      </c>
      <c r="M193" s="59">
        <v>42683.0</v>
      </c>
      <c r="N193" s="60" t="s">
        <v>581</v>
      </c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8.75" customHeight="1">
      <c r="A194" s="56">
        <f t="shared" si="1"/>
        <v>191</v>
      </c>
      <c r="B194" s="56" t="str">
        <f t="shared" si="7"/>
        <v>MV13</v>
      </c>
      <c r="C194" s="57" t="s">
        <v>582</v>
      </c>
      <c r="D194" s="56" t="s">
        <v>128</v>
      </c>
      <c r="E194" s="56" t="s">
        <v>16</v>
      </c>
      <c r="F194" s="56" t="s">
        <v>36</v>
      </c>
      <c r="G194" s="58" t="s">
        <v>118</v>
      </c>
      <c r="H194" s="56" t="s">
        <v>118</v>
      </c>
      <c r="I194" s="59">
        <v>27176.0</v>
      </c>
      <c r="J194" s="56">
        <f t="shared" si="8"/>
        <v>51</v>
      </c>
      <c r="K194" s="56">
        <v>3.310885028E9</v>
      </c>
      <c r="L194" s="60" t="s">
        <v>583</v>
      </c>
      <c r="M194" s="59"/>
      <c r="N194" s="71" t="s">
        <v>584</v>
      </c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8.75" hidden="1" customHeight="1">
      <c r="A195" s="56">
        <f t="shared" si="1"/>
        <v>192</v>
      </c>
      <c r="B195" s="56" t="str">
        <f t="shared" si="7"/>
        <v>MB52</v>
      </c>
      <c r="C195" s="57" t="s">
        <v>585</v>
      </c>
      <c r="D195" s="56" t="s">
        <v>128</v>
      </c>
      <c r="E195" s="56" t="s">
        <v>28</v>
      </c>
      <c r="F195" s="56" t="s">
        <v>7</v>
      </c>
      <c r="G195" s="56" t="s">
        <v>118</v>
      </c>
      <c r="H195" s="56" t="s">
        <v>118</v>
      </c>
      <c r="I195" s="59">
        <v>32762.0</v>
      </c>
      <c r="J195" s="56">
        <f t="shared" si="8"/>
        <v>36</v>
      </c>
      <c r="K195" s="56">
        <v>3.310120359E9</v>
      </c>
      <c r="L195" s="60" t="s">
        <v>586</v>
      </c>
      <c r="M195" s="59">
        <v>43642.0</v>
      </c>
      <c r="N195" s="60" t="s">
        <v>587</v>
      </c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8.75" hidden="1" customHeight="1">
      <c r="A196" s="56">
        <f t="shared" si="1"/>
        <v>193</v>
      </c>
      <c r="B196" s="56" t="str">
        <f t="shared" si="7"/>
        <v>MB53</v>
      </c>
      <c r="C196" s="57" t="s">
        <v>588</v>
      </c>
      <c r="D196" s="56" t="s">
        <v>128</v>
      </c>
      <c r="E196" s="56" t="s">
        <v>40</v>
      </c>
      <c r="F196" s="56" t="s">
        <v>7</v>
      </c>
      <c r="G196" s="56" t="s">
        <v>118</v>
      </c>
      <c r="H196" s="56" t="s">
        <v>118</v>
      </c>
      <c r="I196" s="59">
        <v>38132.0</v>
      </c>
      <c r="J196" s="56">
        <f t="shared" si="8"/>
        <v>21</v>
      </c>
      <c r="K196" s="56">
        <v>3.329679261E9</v>
      </c>
      <c r="L196" s="60" t="s">
        <v>589</v>
      </c>
      <c r="M196" s="59">
        <v>44796.0</v>
      </c>
      <c r="N196" s="60" t="s">
        <v>590</v>
      </c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8.75" customHeight="1">
      <c r="A197" s="56">
        <f t="shared" si="1"/>
        <v>194</v>
      </c>
      <c r="B197" s="56" t="str">
        <f t="shared" si="7"/>
        <v>HS10</v>
      </c>
      <c r="C197" s="57" t="s">
        <v>591</v>
      </c>
      <c r="D197" s="56" t="s">
        <v>117</v>
      </c>
      <c r="E197" s="56" t="s">
        <v>16</v>
      </c>
      <c r="F197" s="56" t="s">
        <v>43</v>
      </c>
      <c r="G197" s="56"/>
      <c r="H197" s="56" t="s">
        <v>118</v>
      </c>
      <c r="I197" s="59">
        <v>26795.0</v>
      </c>
      <c r="J197" s="56">
        <f t="shared" si="8"/>
        <v>52</v>
      </c>
      <c r="K197" s="56">
        <v>3.311727835E9</v>
      </c>
      <c r="L197" s="60" t="s">
        <v>592</v>
      </c>
      <c r="M197" s="59"/>
      <c r="N197" s="60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8.75" hidden="1" customHeight="1">
      <c r="A198" s="56">
        <f t="shared" si="1"/>
        <v>195</v>
      </c>
      <c r="B198" s="56" t="str">
        <f t="shared" si="7"/>
        <v>HB42</v>
      </c>
      <c r="C198" s="57" t="s">
        <v>593</v>
      </c>
      <c r="D198" s="56" t="s">
        <v>117</v>
      </c>
      <c r="E198" s="56" t="s">
        <v>40</v>
      </c>
      <c r="F198" s="58" t="s">
        <v>7</v>
      </c>
      <c r="G198" s="56" t="s">
        <v>118</v>
      </c>
      <c r="H198" s="56" t="s">
        <v>118</v>
      </c>
      <c r="I198" s="59">
        <v>37324.0</v>
      </c>
      <c r="J198" s="56">
        <f t="shared" si="8"/>
        <v>24</v>
      </c>
      <c r="K198" s="56">
        <v>3.315559254E9</v>
      </c>
      <c r="L198" s="60" t="s">
        <v>594</v>
      </c>
      <c r="M198" s="59"/>
      <c r="N198" s="60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8.75" customHeight="1">
      <c r="A199" s="56">
        <f t="shared" si="1"/>
        <v>196</v>
      </c>
      <c r="B199" s="56" t="str">
        <f t="shared" si="7"/>
        <v>MJ21</v>
      </c>
      <c r="C199" s="57" t="s">
        <v>595</v>
      </c>
      <c r="D199" s="56" t="s">
        <v>128</v>
      </c>
      <c r="E199" s="56" t="s">
        <v>22</v>
      </c>
      <c r="F199" s="56" t="s">
        <v>30</v>
      </c>
      <c r="G199" s="56"/>
      <c r="H199" s="56" t="s">
        <v>118</v>
      </c>
      <c r="I199" s="59">
        <v>31899.0</v>
      </c>
      <c r="J199" s="56">
        <f t="shared" si="8"/>
        <v>38</v>
      </c>
      <c r="K199" s="56">
        <v>3.324521167E9</v>
      </c>
      <c r="L199" s="60" t="s">
        <v>596</v>
      </c>
      <c r="M199" s="59">
        <v>43609.0</v>
      </c>
      <c r="N199" s="60" t="s">
        <v>587</v>
      </c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8.75" customHeight="1">
      <c r="A200" s="56">
        <f t="shared" si="1"/>
        <v>197</v>
      </c>
      <c r="B200" s="56" t="str">
        <f t="shared" si="7"/>
        <v>HD5</v>
      </c>
      <c r="C200" s="57" t="s">
        <v>597</v>
      </c>
      <c r="D200" s="56" t="s">
        <v>117</v>
      </c>
      <c r="E200" s="56" t="s">
        <v>22</v>
      </c>
      <c r="F200" s="56" t="s">
        <v>49</v>
      </c>
      <c r="G200" s="56"/>
      <c r="H200" s="56" t="s">
        <v>118</v>
      </c>
      <c r="I200" s="59">
        <v>28450.0</v>
      </c>
      <c r="J200" s="56">
        <f t="shared" si="8"/>
        <v>48</v>
      </c>
      <c r="K200" s="56">
        <v>3.320820072E9</v>
      </c>
      <c r="L200" s="60" t="s">
        <v>598</v>
      </c>
      <c r="M200" s="59"/>
      <c r="N200" s="60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8.75" customHeight="1">
      <c r="A201" s="56">
        <f t="shared" si="1"/>
        <v>198</v>
      </c>
      <c r="B201" s="56" t="str">
        <f t="shared" si="7"/>
        <v>MMa7</v>
      </c>
      <c r="C201" s="72" t="s">
        <v>599</v>
      </c>
      <c r="D201" s="58" t="s">
        <v>128</v>
      </c>
      <c r="E201" s="58" t="s">
        <v>34</v>
      </c>
      <c r="F201" s="58" t="s">
        <v>18</v>
      </c>
      <c r="G201" s="56" t="s">
        <v>118</v>
      </c>
      <c r="H201" s="56" t="s">
        <v>118</v>
      </c>
      <c r="I201" s="73">
        <v>19847.0</v>
      </c>
      <c r="J201" s="56">
        <f t="shared" si="8"/>
        <v>71</v>
      </c>
      <c r="K201" s="58">
        <v>3.319923217E9</v>
      </c>
      <c r="L201" s="71" t="s">
        <v>600</v>
      </c>
      <c r="M201" s="73">
        <v>45761.0</v>
      </c>
      <c r="N201" s="71" t="s">
        <v>379</v>
      </c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8.75" hidden="1" customHeight="1">
      <c r="A202" s="56">
        <f t="shared" si="1"/>
        <v>199</v>
      </c>
      <c r="B202" s="56" t="str">
        <f t="shared" si="7"/>
        <v>HB43</v>
      </c>
      <c r="C202" s="57" t="s">
        <v>601</v>
      </c>
      <c r="D202" s="56" t="s">
        <v>117</v>
      </c>
      <c r="E202" s="56" t="s">
        <v>40</v>
      </c>
      <c r="F202" s="56" t="s">
        <v>7</v>
      </c>
      <c r="G202" s="56" t="s">
        <v>118</v>
      </c>
      <c r="H202" s="56" t="s">
        <v>165</v>
      </c>
      <c r="I202" s="59"/>
      <c r="J202" s="56">
        <f t="shared" si="8"/>
        <v>126</v>
      </c>
      <c r="K202" s="56"/>
      <c r="L202" s="60" t="s">
        <v>602</v>
      </c>
      <c r="M202" s="59">
        <v>42675.0</v>
      </c>
      <c r="N202" s="60" t="s">
        <v>603</v>
      </c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8.75" customHeight="1">
      <c r="A203" s="56">
        <f t="shared" si="1"/>
        <v>200</v>
      </c>
      <c r="B203" s="56" t="str">
        <f t="shared" si="7"/>
        <v>MD6</v>
      </c>
      <c r="C203" s="57" t="s">
        <v>604</v>
      </c>
      <c r="D203" s="56" t="s">
        <v>128</v>
      </c>
      <c r="E203" s="56" t="s">
        <v>40</v>
      </c>
      <c r="F203" s="56" t="s">
        <v>49</v>
      </c>
      <c r="G203" s="56"/>
      <c r="H203" s="56" t="s">
        <v>118</v>
      </c>
      <c r="I203" s="59">
        <v>39625.0</v>
      </c>
      <c r="J203" s="56">
        <f t="shared" si="8"/>
        <v>17</v>
      </c>
      <c r="K203" s="56">
        <v>3.321213061E9</v>
      </c>
      <c r="L203" s="60" t="s">
        <v>605</v>
      </c>
      <c r="M203" s="59">
        <v>45287.0</v>
      </c>
      <c r="N203" s="60" t="s">
        <v>403</v>
      </c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8.75" hidden="1" customHeight="1">
      <c r="A204" s="56">
        <f t="shared" si="1"/>
        <v>201</v>
      </c>
      <c r="B204" s="56" t="str">
        <f t="shared" si="7"/>
        <v>MB54</v>
      </c>
      <c r="C204" s="57" t="s">
        <v>606</v>
      </c>
      <c r="D204" s="56" t="s">
        <v>128</v>
      </c>
      <c r="E204" s="56" t="s">
        <v>40</v>
      </c>
      <c r="F204" s="58" t="s">
        <v>7</v>
      </c>
      <c r="G204" s="56" t="s">
        <v>118</v>
      </c>
      <c r="H204" s="56" t="s">
        <v>118</v>
      </c>
      <c r="I204" s="59">
        <v>36699.0</v>
      </c>
      <c r="J204" s="56">
        <f t="shared" si="8"/>
        <v>25</v>
      </c>
      <c r="K204" s="56">
        <v>3.314824413E9</v>
      </c>
      <c r="L204" s="60" t="s">
        <v>607</v>
      </c>
      <c r="M204" s="59">
        <v>44557.0</v>
      </c>
      <c r="N204" s="60" t="s">
        <v>608</v>
      </c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8.75" hidden="1" customHeight="1">
      <c r="A205" s="56">
        <f t="shared" si="1"/>
        <v>202</v>
      </c>
      <c r="B205" s="56" t="str">
        <f t="shared" si="7"/>
        <v>MB55</v>
      </c>
      <c r="C205" s="57" t="s">
        <v>609</v>
      </c>
      <c r="D205" s="56" t="s">
        <v>128</v>
      </c>
      <c r="E205" s="56" t="s">
        <v>40</v>
      </c>
      <c r="F205" s="56" t="s">
        <v>7</v>
      </c>
      <c r="G205" s="56" t="s">
        <v>118</v>
      </c>
      <c r="H205" s="56" t="s">
        <v>118</v>
      </c>
      <c r="I205" s="59">
        <v>36231.0</v>
      </c>
      <c r="J205" s="56">
        <f t="shared" si="8"/>
        <v>27</v>
      </c>
      <c r="K205" s="56">
        <v>3.322717698E9</v>
      </c>
      <c r="L205" s="60" t="s">
        <v>610</v>
      </c>
      <c r="M205" s="59">
        <v>43016.0</v>
      </c>
      <c r="N205" s="60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8.75" hidden="1" customHeight="1">
      <c r="A206" s="56">
        <f t="shared" si="1"/>
        <v>203</v>
      </c>
      <c r="B206" s="56" t="str">
        <f t="shared" si="7"/>
        <v>MB56</v>
      </c>
      <c r="C206" s="57" t="s">
        <v>611</v>
      </c>
      <c r="D206" s="56" t="s">
        <v>128</v>
      </c>
      <c r="E206" s="56" t="s">
        <v>40</v>
      </c>
      <c r="F206" s="58" t="s">
        <v>7</v>
      </c>
      <c r="G206" s="56" t="s">
        <v>118</v>
      </c>
      <c r="H206" s="56" t="s">
        <v>118</v>
      </c>
      <c r="I206" s="59">
        <v>37397.0</v>
      </c>
      <c r="J206" s="56">
        <f t="shared" si="8"/>
        <v>23</v>
      </c>
      <c r="K206" s="56">
        <v>3.312167198E9</v>
      </c>
      <c r="L206" s="60" t="s">
        <v>610</v>
      </c>
      <c r="M206" s="59">
        <v>42767.0</v>
      </c>
      <c r="N206" s="60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8.75" customHeight="1">
      <c r="A207" s="75">
        <f t="shared" si="1"/>
        <v>204</v>
      </c>
      <c r="B207" s="75" t="str">
        <f t="shared" si="7"/>
        <v>HMi2</v>
      </c>
      <c r="C207" s="76" t="s">
        <v>612</v>
      </c>
      <c r="D207" s="77" t="s">
        <v>117</v>
      </c>
      <c r="E207" s="77" t="s">
        <v>40</v>
      </c>
      <c r="F207" s="77" t="s">
        <v>24</v>
      </c>
      <c r="G207" s="77" t="s">
        <v>118</v>
      </c>
      <c r="H207" s="75" t="s">
        <v>118</v>
      </c>
      <c r="I207" s="78">
        <v>38687.0</v>
      </c>
      <c r="J207" s="75">
        <f t="shared" si="8"/>
        <v>20</v>
      </c>
      <c r="K207" s="77">
        <v>6.242280922E9</v>
      </c>
      <c r="L207" s="79" t="s">
        <v>613</v>
      </c>
      <c r="M207" s="80">
        <v>45924.0</v>
      </c>
      <c r="N207" s="71" t="s">
        <v>614</v>
      </c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8.75" customHeight="1">
      <c r="A208" s="56">
        <f t="shared" si="1"/>
        <v>205</v>
      </c>
      <c r="B208" s="56" t="str">
        <f t="shared" si="7"/>
        <v>MS7</v>
      </c>
      <c r="C208" s="72" t="s">
        <v>615</v>
      </c>
      <c r="D208" s="58" t="s">
        <v>128</v>
      </c>
      <c r="E208" s="58" t="s">
        <v>40</v>
      </c>
      <c r="F208" s="58" t="s">
        <v>43</v>
      </c>
      <c r="G208" s="58"/>
      <c r="H208" s="58" t="s">
        <v>118</v>
      </c>
      <c r="I208" s="73">
        <v>39891.0</v>
      </c>
      <c r="J208" s="56">
        <f>IF($C$761="","",DATEDIF(I208,TODAY(),"Y"))</f>
        <v>17</v>
      </c>
      <c r="K208" s="58">
        <v>3.320544046E9</v>
      </c>
      <c r="L208" s="71" t="s">
        <v>616</v>
      </c>
      <c r="M208" s="73">
        <v>45428.0</v>
      </c>
      <c r="N208" s="60" t="s">
        <v>300</v>
      </c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8.75" hidden="1" customHeight="1">
      <c r="A209" s="56">
        <f t="shared" si="1"/>
        <v>206</v>
      </c>
      <c r="B209" s="56" t="str">
        <f t="shared" si="7"/>
        <v>HB44</v>
      </c>
      <c r="C209" s="57" t="s">
        <v>617</v>
      </c>
      <c r="D209" s="56" t="s">
        <v>117</v>
      </c>
      <c r="E209" s="56" t="s">
        <v>40</v>
      </c>
      <c r="F209" s="56" t="s">
        <v>7</v>
      </c>
      <c r="G209" s="56" t="s">
        <v>118</v>
      </c>
      <c r="H209" s="56" t="s">
        <v>118</v>
      </c>
      <c r="I209" s="59">
        <v>33933.0</v>
      </c>
      <c r="J209" s="56">
        <f t="shared" ref="J209:J268" si="9">IF(C209="","",DATEDIF(I209,TODAY(),"Y"))</f>
        <v>33</v>
      </c>
      <c r="K209" s="56">
        <v>3.318254382E9</v>
      </c>
      <c r="L209" s="60" t="s">
        <v>618</v>
      </c>
      <c r="M209" s="59">
        <v>43115.0</v>
      </c>
      <c r="N209" s="60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8.75" hidden="1" customHeight="1">
      <c r="A210" s="56">
        <f t="shared" si="1"/>
        <v>207</v>
      </c>
      <c r="B210" s="56" t="str">
        <f t="shared" si="7"/>
        <v>MB57</v>
      </c>
      <c r="C210" s="57" t="s">
        <v>619</v>
      </c>
      <c r="D210" s="56" t="s">
        <v>128</v>
      </c>
      <c r="E210" s="56" t="s">
        <v>40</v>
      </c>
      <c r="F210" s="56" t="s">
        <v>7</v>
      </c>
      <c r="G210" s="56" t="s">
        <v>118</v>
      </c>
      <c r="H210" s="56" t="s">
        <v>118</v>
      </c>
      <c r="I210" s="59">
        <v>37395.0</v>
      </c>
      <c r="J210" s="56">
        <f t="shared" si="9"/>
        <v>23</v>
      </c>
      <c r="K210" s="56">
        <v>3.314234474E9</v>
      </c>
      <c r="L210" s="60" t="s">
        <v>620</v>
      </c>
      <c r="M210" s="59">
        <v>44077.0</v>
      </c>
      <c r="N210" s="60" t="s">
        <v>249</v>
      </c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8.75" customHeight="1">
      <c r="A211" s="56">
        <f t="shared" si="1"/>
        <v>208</v>
      </c>
      <c r="B211" s="56" t="str">
        <f t="shared" si="7"/>
        <v>MV14</v>
      </c>
      <c r="C211" s="57" t="s">
        <v>621</v>
      </c>
      <c r="D211" s="56" t="s">
        <v>128</v>
      </c>
      <c r="E211" s="56" t="s">
        <v>16</v>
      </c>
      <c r="F211" s="56" t="s">
        <v>36</v>
      </c>
      <c r="G211" s="58" t="s">
        <v>118</v>
      </c>
      <c r="H211" s="56" t="s">
        <v>118</v>
      </c>
      <c r="I211" s="59">
        <v>27015.0</v>
      </c>
      <c r="J211" s="56">
        <f t="shared" si="9"/>
        <v>52</v>
      </c>
      <c r="K211" s="56">
        <v>3.316030716E9</v>
      </c>
      <c r="L211" s="60" t="s">
        <v>622</v>
      </c>
      <c r="M211" s="59"/>
      <c r="N211" s="71" t="s">
        <v>623</v>
      </c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8.75" hidden="1" customHeight="1">
      <c r="A212" s="56">
        <f t="shared" si="1"/>
        <v>209</v>
      </c>
      <c r="B212" s="56" t="str">
        <f t="shared" si="7"/>
        <v>HB45</v>
      </c>
      <c r="C212" s="57" t="s">
        <v>624</v>
      </c>
      <c r="D212" s="56" t="s">
        <v>117</v>
      </c>
      <c r="E212" s="56" t="s">
        <v>40</v>
      </c>
      <c r="F212" s="58" t="s">
        <v>7</v>
      </c>
      <c r="G212" s="56"/>
      <c r="H212" s="56" t="s">
        <v>118</v>
      </c>
      <c r="I212" s="59">
        <v>36590.0</v>
      </c>
      <c r="J212" s="56">
        <f t="shared" si="9"/>
        <v>26</v>
      </c>
      <c r="K212" s="56">
        <v>3.333202989E9</v>
      </c>
      <c r="L212" s="60"/>
      <c r="M212" s="59">
        <v>44323.0</v>
      </c>
      <c r="N212" s="60" t="s">
        <v>625</v>
      </c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8.75" customHeight="1">
      <c r="A213" s="75">
        <f t="shared" si="1"/>
        <v>210</v>
      </c>
      <c r="B213" s="75" t="str">
        <f t="shared" si="7"/>
        <v>HS11</v>
      </c>
      <c r="C213" s="76" t="s">
        <v>626</v>
      </c>
      <c r="D213" s="77" t="s">
        <v>117</v>
      </c>
      <c r="E213" s="77" t="s">
        <v>40</v>
      </c>
      <c r="F213" s="77" t="s">
        <v>43</v>
      </c>
      <c r="G213" s="77" t="s">
        <v>165</v>
      </c>
      <c r="H213" s="75" t="s">
        <v>118</v>
      </c>
      <c r="I213" s="78">
        <v>40565.0</v>
      </c>
      <c r="J213" s="75">
        <f t="shared" si="9"/>
        <v>15</v>
      </c>
      <c r="K213" s="77">
        <v>3.326206438E9</v>
      </c>
      <c r="L213" s="79" t="s">
        <v>627</v>
      </c>
      <c r="M213" s="80">
        <v>45973.0</v>
      </c>
      <c r="N213" s="71" t="s">
        <v>628</v>
      </c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8.75" customHeight="1">
      <c r="A214" s="56">
        <f t="shared" si="1"/>
        <v>211</v>
      </c>
      <c r="B214" s="56" t="str">
        <f t="shared" si="7"/>
        <v>MD7</v>
      </c>
      <c r="C214" s="57" t="s">
        <v>629</v>
      </c>
      <c r="D214" s="56" t="s">
        <v>128</v>
      </c>
      <c r="E214" s="56" t="s">
        <v>140</v>
      </c>
      <c r="F214" s="56" t="s">
        <v>49</v>
      </c>
      <c r="G214" s="56"/>
      <c r="H214" s="56" t="s">
        <v>118</v>
      </c>
      <c r="I214" s="59">
        <v>21766.0</v>
      </c>
      <c r="J214" s="56">
        <f t="shared" si="9"/>
        <v>66</v>
      </c>
      <c r="K214" s="56">
        <v>3.312162206E9</v>
      </c>
      <c r="L214" s="60" t="s">
        <v>630</v>
      </c>
      <c r="M214" s="59"/>
      <c r="N214" s="60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8.75" customHeight="1">
      <c r="A215" s="56">
        <f t="shared" si="1"/>
        <v>212</v>
      </c>
      <c r="B215" s="56" t="str">
        <f t="shared" si="7"/>
        <v>HS12</v>
      </c>
      <c r="C215" s="57" t="s">
        <v>631</v>
      </c>
      <c r="D215" s="56" t="s">
        <v>117</v>
      </c>
      <c r="E215" s="56" t="s">
        <v>34</v>
      </c>
      <c r="F215" s="56" t="s">
        <v>43</v>
      </c>
      <c r="G215" s="56"/>
      <c r="H215" s="56" t="s">
        <v>118</v>
      </c>
      <c r="I215" s="59">
        <v>21448.0</v>
      </c>
      <c r="J215" s="56">
        <f t="shared" si="9"/>
        <v>67</v>
      </c>
      <c r="K215" s="56">
        <v>2.411038682E9</v>
      </c>
      <c r="L215" s="60" t="s">
        <v>632</v>
      </c>
      <c r="M215" s="59"/>
      <c r="N215" s="60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8.75" hidden="1" customHeight="1">
      <c r="A216" s="56">
        <f t="shared" si="1"/>
        <v>213</v>
      </c>
      <c r="B216" s="56" t="str">
        <f t="shared" si="7"/>
        <v>HB46</v>
      </c>
      <c r="C216" s="57" t="s">
        <v>633</v>
      </c>
      <c r="D216" s="56" t="s">
        <v>117</v>
      </c>
      <c r="E216" s="56" t="s">
        <v>40</v>
      </c>
      <c r="F216" s="58" t="s">
        <v>7</v>
      </c>
      <c r="G216" s="56" t="s">
        <v>118</v>
      </c>
      <c r="H216" s="56" t="s">
        <v>118</v>
      </c>
      <c r="I216" s="59">
        <v>33656.0</v>
      </c>
      <c r="J216" s="56">
        <f t="shared" si="9"/>
        <v>34</v>
      </c>
      <c r="K216" s="56">
        <v>3.315558514E9</v>
      </c>
      <c r="L216" s="60" t="s">
        <v>634</v>
      </c>
      <c r="M216" s="59"/>
      <c r="N216" s="60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8.75" hidden="1" customHeight="1">
      <c r="A217" s="56">
        <f t="shared" si="1"/>
        <v>214</v>
      </c>
      <c r="B217" s="56" t="str">
        <f t="shared" si="7"/>
        <v>HB47</v>
      </c>
      <c r="C217" s="57" t="s">
        <v>635</v>
      </c>
      <c r="D217" s="56" t="s">
        <v>117</v>
      </c>
      <c r="E217" s="56" t="s">
        <v>40</v>
      </c>
      <c r="F217" s="58" t="s">
        <v>7</v>
      </c>
      <c r="G217" s="56" t="s">
        <v>118</v>
      </c>
      <c r="H217" s="56" t="s">
        <v>118</v>
      </c>
      <c r="I217" s="59">
        <v>32300.0</v>
      </c>
      <c r="J217" s="56">
        <f t="shared" si="9"/>
        <v>37</v>
      </c>
      <c r="K217" s="56">
        <v>3.312182604E9</v>
      </c>
      <c r="L217" s="60" t="s">
        <v>634</v>
      </c>
      <c r="M217" s="59"/>
      <c r="N217" s="60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8.75" hidden="1" customHeight="1">
      <c r="A218" s="56">
        <f t="shared" si="1"/>
        <v>215</v>
      </c>
      <c r="B218" s="56" t="str">
        <f t="shared" si="7"/>
        <v>HB48</v>
      </c>
      <c r="C218" s="57" t="s">
        <v>636</v>
      </c>
      <c r="D218" s="56" t="s">
        <v>117</v>
      </c>
      <c r="E218" s="56" t="s">
        <v>40</v>
      </c>
      <c r="F218" s="58" t="s">
        <v>7</v>
      </c>
      <c r="G218" s="56" t="s">
        <v>118</v>
      </c>
      <c r="H218" s="56" t="s">
        <v>118</v>
      </c>
      <c r="I218" s="59">
        <v>39281.0</v>
      </c>
      <c r="J218" s="56">
        <f t="shared" si="9"/>
        <v>18</v>
      </c>
      <c r="K218" s="56">
        <v>3.337228328E9</v>
      </c>
      <c r="L218" s="60" t="s">
        <v>637</v>
      </c>
      <c r="M218" s="59">
        <v>44753.0</v>
      </c>
      <c r="N218" s="60" t="s">
        <v>638</v>
      </c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8.75" customHeight="1">
      <c r="A219" s="56">
        <f t="shared" si="1"/>
        <v>216</v>
      </c>
      <c r="B219" s="56" t="str">
        <f t="shared" si="7"/>
        <v>MMi4</v>
      </c>
      <c r="C219" s="57" t="s">
        <v>639</v>
      </c>
      <c r="D219" s="56" t="s">
        <v>128</v>
      </c>
      <c r="E219" s="56" t="s">
        <v>40</v>
      </c>
      <c r="F219" s="56" t="s">
        <v>24</v>
      </c>
      <c r="G219" s="56"/>
      <c r="H219" s="56" t="s">
        <v>118</v>
      </c>
      <c r="I219" s="59">
        <v>38892.0</v>
      </c>
      <c r="J219" s="56">
        <f t="shared" si="9"/>
        <v>19</v>
      </c>
      <c r="K219" s="56">
        <v>3.328000415E9</v>
      </c>
      <c r="L219" s="60" t="s">
        <v>640</v>
      </c>
      <c r="M219" s="59">
        <v>45340.0</v>
      </c>
      <c r="N219" s="60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8.75" hidden="1" customHeight="1">
      <c r="A220" s="56">
        <f t="shared" si="1"/>
        <v>217</v>
      </c>
      <c r="B220" s="56" t="str">
        <f t="shared" si="7"/>
        <v>MB58</v>
      </c>
      <c r="C220" s="57" t="s">
        <v>641</v>
      </c>
      <c r="D220" s="56" t="s">
        <v>128</v>
      </c>
      <c r="E220" s="56" t="s">
        <v>40</v>
      </c>
      <c r="F220" s="58" t="s">
        <v>7</v>
      </c>
      <c r="G220" s="56" t="s">
        <v>118</v>
      </c>
      <c r="H220" s="56" t="s">
        <v>118</v>
      </c>
      <c r="I220" s="59">
        <v>38278.0</v>
      </c>
      <c r="J220" s="56">
        <f t="shared" si="9"/>
        <v>21</v>
      </c>
      <c r="K220" s="56" t="s">
        <v>642</v>
      </c>
      <c r="L220" s="60" t="s">
        <v>643</v>
      </c>
      <c r="M220" s="59">
        <v>43434.0</v>
      </c>
      <c r="N220" s="60" t="s">
        <v>644</v>
      </c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8.75" hidden="1" customHeight="1">
      <c r="A221" s="56">
        <f t="shared" si="1"/>
        <v>218</v>
      </c>
      <c r="B221" s="56" t="str">
        <f t="shared" si="7"/>
        <v>HB49</v>
      </c>
      <c r="C221" s="57" t="s">
        <v>645</v>
      </c>
      <c r="D221" s="56" t="s">
        <v>117</v>
      </c>
      <c r="E221" s="56" t="s">
        <v>40</v>
      </c>
      <c r="F221" s="58" t="s">
        <v>7</v>
      </c>
      <c r="G221" s="56" t="s">
        <v>118</v>
      </c>
      <c r="H221" s="56" t="s">
        <v>118</v>
      </c>
      <c r="I221" s="59">
        <v>38839.0</v>
      </c>
      <c r="J221" s="56">
        <f t="shared" si="9"/>
        <v>19</v>
      </c>
      <c r="K221" s="56">
        <v>3.325700229E9</v>
      </c>
      <c r="L221" s="60" t="s">
        <v>646</v>
      </c>
      <c r="M221" s="59">
        <v>44680.0</v>
      </c>
      <c r="N221" s="60" t="s">
        <v>218</v>
      </c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8.75" customHeight="1">
      <c r="A222" s="56">
        <f t="shared" si="1"/>
        <v>219</v>
      </c>
      <c r="B222" s="56" t="str">
        <f t="shared" si="7"/>
        <v>MMa8</v>
      </c>
      <c r="C222" s="72" t="s">
        <v>647</v>
      </c>
      <c r="D222" s="58" t="s">
        <v>128</v>
      </c>
      <c r="E222" s="58" t="s">
        <v>16</v>
      </c>
      <c r="F222" s="58" t="s">
        <v>18</v>
      </c>
      <c r="G222" s="58" t="s">
        <v>118</v>
      </c>
      <c r="H222" s="56" t="s">
        <v>118</v>
      </c>
      <c r="I222" s="73">
        <v>23283.0</v>
      </c>
      <c r="J222" s="56">
        <f t="shared" si="9"/>
        <v>62</v>
      </c>
      <c r="K222" s="58">
        <v>3.32991958E9</v>
      </c>
      <c r="L222" s="71" t="s">
        <v>648</v>
      </c>
      <c r="M222" s="83">
        <v>45965.0</v>
      </c>
      <c r="N222" s="71" t="s">
        <v>649</v>
      </c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8.75" customHeight="1">
      <c r="A223" s="56">
        <f t="shared" si="1"/>
        <v>220</v>
      </c>
      <c r="B223" s="56" t="str">
        <f t="shared" si="7"/>
        <v>MD8</v>
      </c>
      <c r="C223" s="57" t="s">
        <v>650</v>
      </c>
      <c r="D223" s="56" t="s">
        <v>128</v>
      </c>
      <c r="E223" s="56" t="s">
        <v>40</v>
      </c>
      <c r="F223" s="56" t="s">
        <v>49</v>
      </c>
      <c r="G223" s="56"/>
      <c r="H223" s="56" t="s">
        <v>118</v>
      </c>
      <c r="I223" s="59">
        <v>39341.0</v>
      </c>
      <c r="J223" s="56">
        <f t="shared" si="9"/>
        <v>18</v>
      </c>
      <c r="K223" s="56">
        <v>3.324902532E9</v>
      </c>
      <c r="L223" s="60" t="s">
        <v>651</v>
      </c>
      <c r="M223" s="59">
        <v>45163.0</v>
      </c>
      <c r="N223" s="60" t="s">
        <v>403</v>
      </c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8.75" customHeight="1">
      <c r="A224" s="56">
        <f t="shared" si="1"/>
        <v>221</v>
      </c>
      <c r="B224" s="56" t="str">
        <f t="shared" si="7"/>
        <v>MV15</v>
      </c>
      <c r="C224" s="57" t="s">
        <v>652</v>
      </c>
      <c r="D224" s="56" t="s">
        <v>128</v>
      </c>
      <c r="E224" s="56" t="s">
        <v>22</v>
      </c>
      <c r="F224" s="56" t="s">
        <v>36</v>
      </c>
      <c r="G224" s="58" t="s">
        <v>118</v>
      </c>
      <c r="H224" s="56" t="s">
        <v>118</v>
      </c>
      <c r="I224" s="59">
        <v>29976.0</v>
      </c>
      <c r="J224" s="56">
        <f t="shared" si="9"/>
        <v>44</v>
      </c>
      <c r="K224" s="56">
        <v>3.31790898E9</v>
      </c>
      <c r="L224" s="60" t="s">
        <v>653</v>
      </c>
      <c r="M224" s="59">
        <v>43733.0</v>
      </c>
      <c r="N224" s="71" t="s">
        <v>654</v>
      </c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8.75" hidden="1" customHeight="1">
      <c r="A225" s="56">
        <f t="shared" si="1"/>
        <v>222</v>
      </c>
      <c r="B225" s="56" t="str">
        <f t="shared" si="7"/>
        <v>MB59</v>
      </c>
      <c r="C225" s="57" t="s">
        <v>655</v>
      </c>
      <c r="D225" s="56" t="s">
        <v>128</v>
      </c>
      <c r="E225" s="56" t="s">
        <v>34</v>
      </c>
      <c r="F225" s="58" t="s">
        <v>7</v>
      </c>
      <c r="G225" s="56" t="s">
        <v>118</v>
      </c>
      <c r="H225" s="56" t="s">
        <v>118</v>
      </c>
      <c r="I225" s="59">
        <v>38552.0</v>
      </c>
      <c r="J225" s="56">
        <f t="shared" si="9"/>
        <v>20</v>
      </c>
      <c r="K225" s="56">
        <v>3.340106079E9</v>
      </c>
      <c r="L225" s="60" t="s">
        <v>656</v>
      </c>
      <c r="M225" s="59">
        <v>44941.0</v>
      </c>
      <c r="N225" s="60" t="s">
        <v>657</v>
      </c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8.75" customHeight="1">
      <c r="A226" s="56">
        <f t="shared" si="1"/>
        <v>223</v>
      </c>
      <c r="B226" s="56" t="str">
        <f t="shared" si="7"/>
        <v>MD9</v>
      </c>
      <c r="C226" s="57" t="s">
        <v>658</v>
      </c>
      <c r="D226" s="56" t="s">
        <v>128</v>
      </c>
      <c r="E226" s="56" t="s">
        <v>16</v>
      </c>
      <c r="F226" s="56" t="s">
        <v>49</v>
      </c>
      <c r="G226" s="58" t="s">
        <v>118</v>
      </c>
      <c r="H226" s="56" t="s">
        <v>118</v>
      </c>
      <c r="I226" s="59">
        <v>23423.0</v>
      </c>
      <c r="J226" s="56">
        <f t="shared" si="9"/>
        <v>62</v>
      </c>
      <c r="K226" s="56">
        <v>3.32416899E9</v>
      </c>
      <c r="L226" s="60" t="s">
        <v>659</v>
      </c>
      <c r="M226" s="59">
        <v>43969.0</v>
      </c>
      <c r="N226" s="71" t="s">
        <v>221</v>
      </c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8.75" customHeight="1">
      <c r="A227" s="56">
        <f t="shared" si="1"/>
        <v>224</v>
      </c>
      <c r="B227" s="56" t="str">
        <f t="shared" si="7"/>
        <v>MMa9</v>
      </c>
      <c r="C227" s="72" t="s">
        <v>660</v>
      </c>
      <c r="D227" s="58" t="s">
        <v>128</v>
      </c>
      <c r="E227" s="58" t="s">
        <v>34</v>
      </c>
      <c r="F227" s="58" t="s">
        <v>18</v>
      </c>
      <c r="G227" s="58" t="s">
        <v>118</v>
      </c>
      <c r="H227" s="56" t="s">
        <v>118</v>
      </c>
      <c r="I227" s="73">
        <v>30874.0</v>
      </c>
      <c r="J227" s="56">
        <f t="shared" si="9"/>
        <v>41</v>
      </c>
      <c r="K227" s="58">
        <v>3.318212307E9</v>
      </c>
      <c r="L227" s="71" t="s">
        <v>661</v>
      </c>
      <c r="M227" s="73">
        <v>46033.0</v>
      </c>
      <c r="N227" s="71" t="s">
        <v>662</v>
      </c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8.75" customHeight="1">
      <c r="A228" s="56">
        <f t="shared" si="1"/>
        <v>225</v>
      </c>
      <c r="B228" s="56" t="str">
        <f t="shared" si="7"/>
        <v>MJ22</v>
      </c>
      <c r="C228" s="57" t="s">
        <v>663</v>
      </c>
      <c r="D228" s="56" t="s">
        <v>128</v>
      </c>
      <c r="E228" s="58" t="s">
        <v>34</v>
      </c>
      <c r="F228" s="56" t="s">
        <v>30</v>
      </c>
      <c r="G228" s="58" t="s">
        <v>118</v>
      </c>
      <c r="H228" s="56" t="s">
        <v>118</v>
      </c>
      <c r="I228" s="59">
        <v>20606.0</v>
      </c>
      <c r="J228" s="56">
        <f t="shared" si="9"/>
        <v>69</v>
      </c>
      <c r="K228" s="56">
        <v>3.317917891E9</v>
      </c>
      <c r="L228" s="60" t="s">
        <v>664</v>
      </c>
      <c r="M228" s="59"/>
      <c r="N228" s="71" t="s">
        <v>665</v>
      </c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8.75" hidden="1" customHeight="1">
      <c r="A229" s="56">
        <f t="shared" si="1"/>
        <v>226</v>
      </c>
      <c r="B229" s="56" t="str">
        <f t="shared" si="7"/>
        <v>MB60</v>
      </c>
      <c r="C229" s="57" t="s">
        <v>666</v>
      </c>
      <c r="D229" s="56" t="s">
        <v>128</v>
      </c>
      <c r="E229" s="56" t="s">
        <v>34</v>
      </c>
      <c r="F229" s="58" t="s">
        <v>7</v>
      </c>
      <c r="G229" s="56" t="s">
        <v>118</v>
      </c>
      <c r="H229" s="56" t="s">
        <v>118</v>
      </c>
      <c r="I229" s="59">
        <v>25897.0</v>
      </c>
      <c r="J229" s="56">
        <f t="shared" si="9"/>
        <v>55</v>
      </c>
      <c r="K229" s="56">
        <v>3.334633263E9</v>
      </c>
      <c r="L229" s="60" t="s">
        <v>667</v>
      </c>
      <c r="M229" s="59"/>
      <c r="N229" s="60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8.75" customHeight="1">
      <c r="A230" s="56">
        <f t="shared" si="1"/>
        <v>227</v>
      </c>
      <c r="B230" s="56" t="str">
        <f t="shared" si="7"/>
        <v>MJ23</v>
      </c>
      <c r="C230" s="57" t="s">
        <v>668</v>
      </c>
      <c r="D230" s="56" t="s">
        <v>128</v>
      </c>
      <c r="E230" s="56" t="s">
        <v>140</v>
      </c>
      <c r="F230" s="56" t="s">
        <v>30</v>
      </c>
      <c r="G230" s="58" t="s">
        <v>118</v>
      </c>
      <c r="H230" s="56" t="s">
        <v>118</v>
      </c>
      <c r="I230" s="59">
        <v>22284.0</v>
      </c>
      <c r="J230" s="56">
        <f t="shared" si="9"/>
        <v>65</v>
      </c>
      <c r="K230" s="56">
        <v>3.339496678E9</v>
      </c>
      <c r="L230" s="60" t="s">
        <v>669</v>
      </c>
      <c r="M230" s="59"/>
      <c r="N230" s="71" t="s">
        <v>142</v>
      </c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8.75" customHeight="1">
      <c r="A231" s="56">
        <f t="shared" si="1"/>
        <v>228</v>
      </c>
      <c r="B231" s="56" t="str">
        <f t="shared" si="7"/>
        <v>MMi5</v>
      </c>
      <c r="C231" s="57" t="s">
        <v>670</v>
      </c>
      <c r="D231" s="56" t="s">
        <v>128</v>
      </c>
      <c r="E231" s="56" t="s">
        <v>140</v>
      </c>
      <c r="F231" s="56" t="s">
        <v>24</v>
      </c>
      <c r="G231" s="58" t="s">
        <v>118</v>
      </c>
      <c r="H231" s="56" t="s">
        <v>118</v>
      </c>
      <c r="I231" s="59">
        <v>24699.0</v>
      </c>
      <c r="J231" s="56">
        <f t="shared" si="9"/>
        <v>58</v>
      </c>
      <c r="K231" s="56">
        <v>3.331575056E9</v>
      </c>
      <c r="L231" s="60" t="s">
        <v>671</v>
      </c>
      <c r="M231" s="59"/>
      <c r="N231" s="71" t="s">
        <v>672</v>
      </c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8.75" hidden="1" customHeight="1">
      <c r="A232" s="56">
        <f t="shared" si="1"/>
        <v>229</v>
      </c>
      <c r="B232" s="56" t="str">
        <f t="shared" si="7"/>
        <v>HB50</v>
      </c>
      <c r="C232" s="57" t="s">
        <v>673</v>
      </c>
      <c r="D232" s="56" t="s">
        <v>117</v>
      </c>
      <c r="E232" s="56" t="s">
        <v>40</v>
      </c>
      <c r="F232" s="56" t="s">
        <v>7</v>
      </c>
      <c r="G232" s="56" t="s">
        <v>118</v>
      </c>
      <c r="H232" s="56" t="s">
        <v>118</v>
      </c>
      <c r="I232" s="59">
        <v>30840.0</v>
      </c>
      <c r="J232" s="56">
        <f t="shared" si="9"/>
        <v>41</v>
      </c>
      <c r="K232" s="56">
        <v>5.568934541E9</v>
      </c>
      <c r="L232" s="60" t="s">
        <v>674</v>
      </c>
      <c r="M232" s="59">
        <v>43694.0</v>
      </c>
      <c r="N232" s="60" t="s">
        <v>486</v>
      </c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8.75" hidden="1" customHeight="1">
      <c r="A233" s="56">
        <f t="shared" si="1"/>
        <v>230</v>
      </c>
      <c r="B233" s="56" t="str">
        <f t="shared" si="7"/>
        <v>HB51</v>
      </c>
      <c r="C233" s="57" t="s">
        <v>675</v>
      </c>
      <c r="D233" s="56" t="s">
        <v>117</v>
      </c>
      <c r="E233" s="56" t="s">
        <v>22</v>
      </c>
      <c r="F233" s="58" t="s">
        <v>7</v>
      </c>
      <c r="G233" s="56" t="s">
        <v>118</v>
      </c>
      <c r="H233" s="56" t="s">
        <v>118</v>
      </c>
      <c r="I233" s="59">
        <v>28518.0</v>
      </c>
      <c r="J233" s="56">
        <f t="shared" si="9"/>
        <v>48</v>
      </c>
      <c r="K233" s="56">
        <v>3.312712917E9</v>
      </c>
      <c r="L233" s="60" t="s">
        <v>676</v>
      </c>
      <c r="M233" s="59">
        <v>43782.0</v>
      </c>
      <c r="N233" s="60" t="s">
        <v>209</v>
      </c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8.75" customHeight="1">
      <c r="A234" s="56">
        <f t="shared" si="1"/>
        <v>231</v>
      </c>
      <c r="B234" s="56" t="str">
        <f t="shared" si="7"/>
        <v>MD10</v>
      </c>
      <c r="C234" s="57" t="s">
        <v>677</v>
      </c>
      <c r="D234" s="56" t="s">
        <v>128</v>
      </c>
      <c r="E234" s="56" t="s">
        <v>40</v>
      </c>
      <c r="F234" s="56" t="s">
        <v>49</v>
      </c>
      <c r="G234" s="56"/>
      <c r="H234" s="56" t="s">
        <v>118</v>
      </c>
      <c r="I234" s="59">
        <v>32668.0</v>
      </c>
      <c r="J234" s="56">
        <f t="shared" si="9"/>
        <v>36</v>
      </c>
      <c r="K234" s="56"/>
      <c r="L234" s="60" t="s">
        <v>678</v>
      </c>
      <c r="M234" s="59">
        <v>44987.0</v>
      </c>
      <c r="N234" s="60" t="s">
        <v>679</v>
      </c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8.75" customHeight="1">
      <c r="A235" s="56">
        <f t="shared" si="1"/>
        <v>232</v>
      </c>
      <c r="B235" s="56" t="str">
        <f t="shared" si="7"/>
        <v>HS13</v>
      </c>
      <c r="C235" s="72" t="s">
        <v>680</v>
      </c>
      <c r="D235" s="58" t="s">
        <v>117</v>
      </c>
      <c r="E235" s="58" t="s">
        <v>22</v>
      </c>
      <c r="F235" s="58" t="s">
        <v>43</v>
      </c>
      <c r="G235" s="58"/>
      <c r="H235" s="56" t="s">
        <v>118</v>
      </c>
      <c r="I235" s="73">
        <v>29830.0</v>
      </c>
      <c r="J235" s="56">
        <f t="shared" si="9"/>
        <v>44</v>
      </c>
      <c r="K235" s="58">
        <v>3.323620783E9</v>
      </c>
      <c r="L235" s="71" t="s">
        <v>381</v>
      </c>
      <c r="M235" s="58" t="s">
        <v>681</v>
      </c>
      <c r="N235" s="71" t="s">
        <v>682</v>
      </c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8.75" customHeight="1">
      <c r="A236" s="75">
        <f t="shared" si="1"/>
        <v>233</v>
      </c>
      <c r="B236" s="75" t="str">
        <f t="shared" si="7"/>
        <v>MMi6</v>
      </c>
      <c r="C236" s="76" t="s">
        <v>683</v>
      </c>
      <c r="D236" s="77" t="s">
        <v>128</v>
      </c>
      <c r="E236" s="77" t="s">
        <v>22</v>
      </c>
      <c r="F236" s="77" t="s">
        <v>24</v>
      </c>
      <c r="G236" s="77" t="s">
        <v>118</v>
      </c>
      <c r="H236" s="75" t="s">
        <v>118</v>
      </c>
      <c r="I236" s="78">
        <v>34250.0</v>
      </c>
      <c r="J236" s="75">
        <f t="shared" si="9"/>
        <v>32</v>
      </c>
      <c r="K236" s="77">
        <v>3.324117193E9</v>
      </c>
      <c r="L236" s="79" t="s">
        <v>684</v>
      </c>
      <c r="M236" s="80">
        <v>45943.0</v>
      </c>
      <c r="N236" s="71" t="s">
        <v>685</v>
      </c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8.75" hidden="1" customHeight="1">
      <c r="A237" s="56">
        <f t="shared" si="1"/>
        <v>234</v>
      </c>
      <c r="B237" s="56" t="str">
        <f t="shared" si="7"/>
        <v>HB52</v>
      </c>
      <c r="C237" s="57" t="s">
        <v>686</v>
      </c>
      <c r="D237" s="56" t="s">
        <v>117</v>
      </c>
      <c r="E237" s="56" t="s">
        <v>16</v>
      </c>
      <c r="F237" s="56" t="s">
        <v>7</v>
      </c>
      <c r="G237" s="56" t="s">
        <v>118</v>
      </c>
      <c r="H237" s="56" t="s">
        <v>165</v>
      </c>
      <c r="I237" s="59">
        <v>20552.0</v>
      </c>
      <c r="J237" s="56">
        <f t="shared" si="9"/>
        <v>70</v>
      </c>
      <c r="K237" s="56"/>
      <c r="L237" s="60" t="s">
        <v>687</v>
      </c>
      <c r="M237" s="59"/>
      <c r="N237" s="60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8.75" hidden="1" customHeight="1">
      <c r="A238" s="56">
        <f t="shared" si="1"/>
        <v>235</v>
      </c>
      <c r="B238" s="56" t="str">
        <f t="shared" si="7"/>
        <v>HB53</v>
      </c>
      <c r="C238" s="57" t="s">
        <v>688</v>
      </c>
      <c r="D238" s="56" t="s">
        <v>117</v>
      </c>
      <c r="E238" s="56" t="s">
        <v>40</v>
      </c>
      <c r="F238" s="58" t="s">
        <v>7</v>
      </c>
      <c r="G238" s="56" t="s">
        <v>118</v>
      </c>
      <c r="H238" s="56" t="s">
        <v>118</v>
      </c>
      <c r="I238" s="59">
        <v>37273.0</v>
      </c>
      <c r="J238" s="56">
        <f t="shared" si="9"/>
        <v>24</v>
      </c>
      <c r="K238" s="56">
        <v>3.323339126E9</v>
      </c>
      <c r="L238" s="60" t="s">
        <v>689</v>
      </c>
      <c r="M238" s="59"/>
      <c r="N238" s="60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8.75" customHeight="1">
      <c r="A239" s="56">
        <f t="shared" si="1"/>
        <v>236</v>
      </c>
      <c r="B239" s="56" t="str">
        <f t="shared" si="7"/>
        <v>HMa3</v>
      </c>
      <c r="C239" s="57" t="s">
        <v>690</v>
      </c>
      <c r="D239" s="56" t="s">
        <v>117</v>
      </c>
      <c r="E239" s="56" t="s">
        <v>16</v>
      </c>
      <c r="F239" s="56" t="s">
        <v>18</v>
      </c>
      <c r="G239" s="58" t="s">
        <v>118</v>
      </c>
      <c r="H239" s="56" t="s">
        <v>118</v>
      </c>
      <c r="I239" s="59">
        <v>15131.0</v>
      </c>
      <c r="J239" s="56">
        <f t="shared" si="9"/>
        <v>84</v>
      </c>
      <c r="K239" s="56">
        <v>3.312610509E9</v>
      </c>
      <c r="L239" s="60" t="s">
        <v>691</v>
      </c>
      <c r="M239" s="59">
        <v>43330.0</v>
      </c>
      <c r="N239" s="60" t="s">
        <v>692</v>
      </c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8.75" customHeight="1">
      <c r="A240" s="56">
        <f t="shared" si="1"/>
        <v>237</v>
      </c>
      <c r="B240" s="56" t="str">
        <f t="shared" si="7"/>
        <v>HS14</v>
      </c>
      <c r="C240" s="72" t="s">
        <v>693</v>
      </c>
      <c r="D240" s="58" t="s">
        <v>117</v>
      </c>
      <c r="E240" s="58" t="s">
        <v>40</v>
      </c>
      <c r="F240" s="58" t="s">
        <v>43</v>
      </c>
      <c r="G240" s="58" t="s">
        <v>165</v>
      </c>
      <c r="H240" s="56" t="s">
        <v>118</v>
      </c>
      <c r="I240" s="73">
        <v>40653.0</v>
      </c>
      <c r="J240" s="56">
        <f t="shared" si="9"/>
        <v>15</v>
      </c>
      <c r="K240" s="58">
        <v>3.333191509E9</v>
      </c>
      <c r="L240" s="71" t="s">
        <v>694</v>
      </c>
      <c r="M240" s="83">
        <v>45900.0</v>
      </c>
      <c r="N240" s="71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8.75" hidden="1" customHeight="1">
      <c r="A241" s="56">
        <f t="shared" si="1"/>
        <v>238</v>
      </c>
      <c r="B241" s="56" t="str">
        <f t="shared" si="7"/>
        <v>MB61</v>
      </c>
      <c r="C241" s="72" t="s">
        <v>695</v>
      </c>
      <c r="D241" s="56" t="s">
        <v>128</v>
      </c>
      <c r="E241" s="58" t="s">
        <v>40</v>
      </c>
      <c r="F241" s="58" t="s">
        <v>7</v>
      </c>
      <c r="G241" s="56" t="s">
        <v>118</v>
      </c>
      <c r="H241" s="56" t="s">
        <v>118</v>
      </c>
      <c r="I241" s="73">
        <v>39827.0</v>
      </c>
      <c r="J241" s="56">
        <f t="shared" si="9"/>
        <v>17</v>
      </c>
      <c r="K241" s="58">
        <v>3.319585338E9</v>
      </c>
      <c r="L241" s="71" t="s">
        <v>696</v>
      </c>
      <c r="M241" s="73">
        <v>45503.0</v>
      </c>
      <c r="N241" s="71" t="s">
        <v>697</v>
      </c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8.75" hidden="1" customHeight="1">
      <c r="A242" s="56">
        <f t="shared" si="1"/>
        <v>239</v>
      </c>
      <c r="B242" s="56" t="str">
        <f t="shared" si="7"/>
        <v>HB54</v>
      </c>
      <c r="C242" s="57" t="s">
        <v>698</v>
      </c>
      <c r="D242" s="56" t="s">
        <v>117</v>
      </c>
      <c r="E242" s="56" t="s">
        <v>16</v>
      </c>
      <c r="F242" s="56" t="s">
        <v>7</v>
      </c>
      <c r="G242" s="56" t="s">
        <v>118</v>
      </c>
      <c r="H242" s="56" t="s">
        <v>118</v>
      </c>
      <c r="I242" s="59">
        <v>20054.0</v>
      </c>
      <c r="J242" s="56">
        <f t="shared" si="9"/>
        <v>71</v>
      </c>
      <c r="K242" s="56">
        <v>4.08665546E9</v>
      </c>
      <c r="L242" s="60" t="s">
        <v>699</v>
      </c>
      <c r="M242" s="59">
        <v>43895.0</v>
      </c>
      <c r="N242" s="60" t="s">
        <v>700</v>
      </c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8.75" hidden="1" customHeight="1">
      <c r="A243" s="56">
        <f t="shared" si="1"/>
        <v>240</v>
      </c>
      <c r="B243" s="56" t="str">
        <f t="shared" si="7"/>
        <v>MB62</v>
      </c>
      <c r="C243" s="57" t="s">
        <v>701</v>
      </c>
      <c r="D243" s="56" t="s">
        <v>128</v>
      </c>
      <c r="E243" s="56" t="s">
        <v>16</v>
      </c>
      <c r="F243" s="56" t="s">
        <v>7</v>
      </c>
      <c r="G243" s="56" t="s">
        <v>118</v>
      </c>
      <c r="H243" s="56" t="s">
        <v>118</v>
      </c>
      <c r="I243" s="59">
        <v>22023.0</v>
      </c>
      <c r="J243" s="56">
        <f t="shared" si="9"/>
        <v>66</v>
      </c>
      <c r="K243" s="56">
        <v>4.08665546E9</v>
      </c>
      <c r="L243" s="60" t="s">
        <v>699</v>
      </c>
      <c r="M243" s="59">
        <v>43895.0</v>
      </c>
      <c r="N243" s="60" t="s">
        <v>700</v>
      </c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8.75" hidden="1" customHeight="1">
      <c r="A244" s="56">
        <f t="shared" si="1"/>
        <v>241</v>
      </c>
      <c r="B244" s="56" t="str">
        <f t="shared" si="7"/>
        <v>HB55</v>
      </c>
      <c r="C244" s="57" t="s">
        <v>702</v>
      </c>
      <c r="D244" s="56" t="s">
        <v>117</v>
      </c>
      <c r="E244" s="56" t="s">
        <v>40</v>
      </c>
      <c r="F244" s="58" t="s">
        <v>7</v>
      </c>
      <c r="G244" s="56" t="s">
        <v>118</v>
      </c>
      <c r="H244" s="56" t="s">
        <v>118</v>
      </c>
      <c r="I244" s="59">
        <v>38952.0</v>
      </c>
      <c r="J244" s="56">
        <f t="shared" si="9"/>
        <v>19</v>
      </c>
      <c r="K244" s="56">
        <v>9.711039062E9</v>
      </c>
      <c r="L244" s="60" t="s">
        <v>703</v>
      </c>
      <c r="M244" s="59">
        <v>44799.0</v>
      </c>
      <c r="N244" s="60" t="s">
        <v>638</v>
      </c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8.75" hidden="1" customHeight="1">
      <c r="A245" s="56">
        <f t="shared" si="1"/>
        <v>242</v>
      </c>
      <c r="B245" s="56" t="str">
        <f t="shared" si="7"/>
        <v>MB63</v>
      </c>
      <c r="C245" s="57" t="s">
        <v>704</v>
      </c>
      <c r="D245" s="56" t="s">
        <v>128</v>
      </c>
      <c r="E245" s="56" t="s">
        <v>40</v>
      </c>
      <c r="F245" s="58" t="s">
        <v>7</v>
      </c>
      <c r="G245" s="56" t="s">
        <v>118</v>
      </c>
      <c r="H245" s="56" t="s">
        <v>118</v>
      </c>
      <c r="I245" s="59">
        <v>37940.0</v>
      </c>
      <c r="J245" s="56">
        <f t="shared" si="9"/>
        <v>22</v>
      </c>
      <c r="K245" s="56">
        <v>3.324399391E9</v>
      </c>
      <c r="L245" s="60" t="s">
        <v>705</v>
      </c>
      <c r="M245" s="59">
        <v>45035.0</v>
      </c>
      <c r="N245" s="60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8.75" hidden="1" customHeight="1">
      <c r="A246" s="56">
        <f t="shared" si="1"/>
        <v>243</v>
      </c>
      <c r="B246" s="56" t="str">
        <f t="shared" si="7"/>
        <v>MB64</v>
      </c>
      <c r="C246" s="57" t="s">
        <v>706</v>
      </c>
      <c r="D246" s="56" t="s">
        <v>128</v>
      </c>
      <c r="E246" s="56" t="s">
        <v>140</v>
      </c>
      <c r="F246" s="56" t="s">
        <v>7</v>
      </c>
      <c r="G246" s="56" t="s">
        <v>118</v>
      </c>
      <c r="H246" s="56" t="s">
        <v>118</v>
      </c>
      <c r="I246" s="59">
        <v>26001.0</v>
      </c>
      <c r="J246" s="56">
        <f t="shared" si="9"/>
        <v>55</v>
      </c>
      <c r="K246" s="56">
        <v>1.674057E7</v>
      </c>
      <c r="L246" s="60" t="s">
        <v>707</v>
      </c>
      <c r="M246" s="59"/>
      <c r="N246" s="60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8.75" customHeight="1">
      <c r="A247" s="56">
        <f t="shared" si="1"/>
        <v>244</v>
      </c>
      <c r="B247" s="56" t="str">
        <f t="shared" si="7"/>
        <v>MMi7</v>
      </c>
      <c r="C247" s="72" t="s">
        <v>708</v>
      </c>
      <c r="D247" s="58" t="s">
        <v>128</v>
      </c>
      <c r="E247" s="58" t="s">
        <v>40</v>
      </c>
      <c r="F247" s="58" t="s">
        <v>24</v>
      </c>
      <c r="G247" s="58" t="s">
        <v>118</v>
      </c>
      <c r="H247" s="56" t="s">
        <v>118</v>
      </c>
      <c r="I247" s="73">
        <v>39295.0</v>
      </c>
      <c r="J247" s="56">
        <f t="shared" si="9"/>
        <v>18</v>
      </c>
      <c r="K247" s="58">
        <v>3.320500226E9</v>
      </c>
      <c r="L247" s="71" t="s">
        <v>709</v>
      </c>
      <c r="M247" s="73">
        <v>46070.0</v>
      </c>
      <c r="N247" s="71" t="s">
        <v>710</v>
      </c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8.75" customHeight="1">
      <c r="A248" s="75">
        <f t="shared" si="1"/>
        <v>245</v>
      </c>
      <c r="B248" s="75" t="str">
        <f t="shared" si="7"/>
        <v>MMa10</v>
      </c>
      <c r="C248" s="76" t="s">
        <v>711</v>
      </c>
      <c r="D248" s="75" t="s">
        <v>128</v>
      </c>
      <c r="E248" s="77" t="s">
        <v>40</v>
      </c>
      <c r="F248" s="77" t="s">
        <v>18</v>
      </c>
      <c r="G248" s="75" t="s">
        <v>118</v>
      </c>
      <c r="H248" s="75" t="s">
        <v>118</v>
      </c>
      <c r="I248" s="78">
        <v>40527.0</v>
      </c>
      <c r="J248" s="75">
        <f t="shared" si="9"/>
        <v>15</v>
      </c>
      <c r="K248" s="77">
        <v>3.323272025E9</v>
      </c>
      <c r="L248" s="79" t="s">
        <v>712</v>
      </c>
      <c r="M248" s="78">
        <v>45687.0</v>
      </c>
      <c r="N248" s="71" t="s">
        <v>439</v>
      </c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8.75" hidden="1" customHeight="1">
      <c r="A249" s="56">
        <f t="shared" si="1"/>
        <v>246</v>
      </c>
      <c r="B249" s="56" t="str">
        <f t="shared" si="7"/>
        <v>HB56</v>
      </c>
      <c r="C249" s="57" t="s">
        <v>713</v>
      </c>
      <c r="D249" s="56" t="s">
        <v>117</v>
      </c>
      <c r="E249" s="56" t="s">
        <v>40</v>
      </c>
      <c r="F249" s="56" t="s">
        <v>7</v>
      </c>
      <c r="G249" s="56" t="s">
        <v>118</v>
      </c>
      <c r="H249" s="56" t="s">
        <v>118</v>
      </c>
      <c r="I249" s="59">
        <v>38660.0</v>
      </c>
      <c r="J249" s="56">
        <f t="shared" si="9"/>
        <v>20</v>
      </c>
      <c r="K249" s="56">
        <v>3.111269841E9</v>
      </c>
      <c r="L249" s="60" t="s">
        <v>714</v>
      </c>
      <c r="M249" s="59">
        <v>43805.0</v>
      </c>
      <c r="N249" s="60" t="s">
        <v>218</v>
      </c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8.75" hidden="1" customHeight="1">
      <c r="A250" s="56">
        <f t="shared" si="1"/>
        <v>247</v>
      </c>
      <c r="B250" s="56" t="str">
        <f t="shared" si="7"/>
        <v>HB57</v>
      </c>
      <c r="C250" s="57" t="s">
        <v>715</v>
      </c>
      <c r="D250" s="56" t="s">
        <v>117</v>
      </c>
      <c r="E250" s="56" t="s">
        <v>16</v>
      </c>
      <c r="F250" s="56" t="s">
        <v>7</v>
      </c>
      <c r="G250" s="56" t="s">
        <v>118</v>
      </c>
      <c r="H250" s="56" t="s">
        <v>118</v>
      </c>
      <c r="I250" s="59">
        <v>27438.0</v>
      </c>
      <c r="J250" s="56">
        <f t="shared" si="9"/>
        <v>51</v>
      </c>
      <c r="K250" s="56">
        <v>3.339054413E9</v>
      </c>
      <c r="L250" s="60" t="s">
        <v>716</v>
      </c>
      <c r="M250" s="59"/>
      <c r="N250" s="60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8.75" hidden="1" customHeight="1">
      <c r="A251" s="56">
        <f t="shared" si="1"/>
        <v>248</v>
      </c>
      <c r="B251" s="56" t="str">
        <f t="shared" si="7"/>
        <v>HB58</v>
      </c>
      <c r="C251" s="57" t="s">
        <v>717</v>
      </c>
      <c r="D251" s="56" t="s">
        <v>117</v>
      </c>
      <c r="E251" s="56" t="s">
        <v>40</v>
      </c>
      <c r="F251" s="56" t="s">
        <v>7</v>
      </c>
      <c r="G251" s="56" t="s">
        <v>118</v>
      </c>
      <c r="H251" s="56" t="s">
        <v>118</v>
      </c>
      <c r="I251" s="59">
        <v>37904.0</v>
      </c>
      <c r="J251" s="56">
        <f t="shared" si="9"/>
        <v>22</v>
      </c>
      <c r="K251" s="56">
        <v>2.781130373E9</v>
      </c>
      <c r="L251" s="60" t="s">
        <v>476</v>
      </c>
      <c r="M251" s="59">
        <v>43383.0</v>
      </c>
      <c r="N251" s="60" t="s">
        <v>718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8.75" hidden="1" customHeight="1">
      <c r="A252" s="56">
        <f t="shared" si="1"/>
        <v>249</v>
      </c>
      <c r="B252" s="56" t="str">
        <f t="shared" si="7"/>
        <v>HB59</v>
      </c>
      <c r="C252" s="57" t="s">
        <v>719</v>
      </c>
      <c r="D252" s="56" t="s">
        <v>117</v>
      </c>
      <c r="E252" s="56" t="s">
        <v>28</v>
      </c>
      <c r="F252" s="56" t="s">
        <v>7</v>
      </c>
      <c r="G252" s="56" t="s">
        <v>118</v>
      </c>
      <c r="H252" s="56" t="s">
        <v>165</v>
      </c>
      <c r="I252" s="59">
        <v>35199.0</v>
      </c>
      <c r="J252" s="56">
        <f t="shared" si="9"/>
        <v>29</v>
      </c>
      <c r="K252" s="56">
        <v>3.322357449E9</v>
      </c>
      <c r="L252" s="60" t="s">
        <v>720</v>
      </c>
      <c r="M252" s="59">
        <v>43138.0</v>
      </c>
      <c r="N252" s="60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8.75" hidden="1" customHeight="1">
      <c r="A253" s="56">
        <f t="shared" si="1"/>
        <v>250</v>
      </c>
      <c r="B253" s="56" t="str">
        <f t="shared" si="7"/>
        <v>MB65</v>
      </c>
      <c r="C253" s="57" t="s">
        <v>721</v>
      </c>
      <c r="D253" s="56" t="s">
        <v>128</v>
      </c>
      <c r="E253" s="56" t="s">
        <v>28</v>
      </c>
      <c r="F253" s="58" t="s">
        <v>7</v>
      </c>
      <c r="G253" s="56" t="s">
        <v>118</v>
      </c>
      <c r="H253" s="56" t="s">
        <v>118</v>
      </c>
      <c r="I253" s="59">
        <v>34660.0</v>
      </c>
      <c r="J253" s="56">
        <f t="shared" si="9"/>
        <v>31</v>
      </c>
      <c r="K253" s="56">
        <v>3.32657025E9</v>
      </c>
      <c r="L253" s="60" t="s">
        <v>722</v>
      </c>
      <c r="M253" s="59">
        <v>43480.0</v>
      </c>
      <c r="N253" s="60" t="s">
        <v>287</v>
      </c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8.75" customHeight="1">
      <c r="A254" s="56">
        <f t="shared" si="1"/>
        <v>251</v>
      </c>
      <c r="B254" s="56" t="str">
        <f t="shared" si="7"/>
        <v>MMi8</v>
      </c>
      <c r="C254" s="72" t="s">
        <v>721</v>
      </c>
      <c r="D254" s="58" t="s">
        <v>128</v>
      </c>
      <c r="E254" s="58" t="s">
        <v>28</v>
      </c>
      <c r="F254" s="58" t="s">
        <v>24</v>
      </c>
      <c r="G254" s="58" t="s">
        <v>118</v>
      </c>
      <c r="H254" s="56" t="s">
        <v>118</v>
      </c>
      <c r="I254" s="73">
        <v>34660.0</v>
      </c>
      <c r="J254" s="56">
        <f t="shared" si="9"/>
        <v>31</v>
      </c>
      <c r="K254" s="58">
        <v>3.337836693E9</v>
      </c>
      <c r="L254" s="71" t="s">
        <v>723</v>
      </c>
      <c r="M254" s="73">
        <v>45686.0</v>
      </c>
      <c r="N254" s="71" t="s">
        <v>724</v>
      </c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8.75" hidden="1" customHeight="1">
      <c r="A255" s="56">
        <f t="shared" si="1"/>
        <v>252</v>
      </c>
      <c r="B255" s="56" t="str">
        <f t="shared" si="7"/>
        <v>HB60</v>
      </c>
      <c r="C255" s="57" t="s">
        <v>725</v>
      </c>
      <c r="D255" s="56" t="s">
        <v>117</v>
      </c>
      <c r="E255" s="56" t="s">
        <v>16</v>
      </c>
      <c r="F255" s="58" t="s">
        <v>7</v>
      </c>
      <c r="G255" s="56" t="s">
        <v>118</v>
      </c>
      <c r="H255" s="56" t="s">
        <v>118</v>
      </c>
      <c r="I255" s="59">
        <v>25801.0</v>
      </c>
      <c r="J255" s="56">
        <f t="shared" si="9"/>
        <v>55</v>
      </c>
      <c r="K255" s="56">
        <v>3.319768908E9</v>
      </c>
      <c r="L255" s="60" t="s">
        <v>722</v>
      </c>
      <c r="M255" s="59">
        <v>44060.0</v>
      </c>
      <c r="N255" s="60" t="s">
        <v>315</v>
      </c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8.75" customHeight="1">
      <c r="A256" s="56">
        <f t="shared" si="1"/>
        <v>253</v>
      </c>
      <c r="B256" s="56" t="str">
        <f t="shared" si="7"/>
        <v>MV16</v>
      </c>
      <c r="C256" s="72" t="s">
        <v>726</v>
      </c>
      <c r="D256" s="56" t="s">
        <v>128</v>
      </c>
      <c r="E256" s="58" t="s">
        <v>40</v>
      </c>
      <c r="F256" s="58" t="s">
        <v>36</v>
      </c>
      <c r="G256" s="58" t="s">
        <v>118</v>
      </c>
      <c r="H256" s="56" t="s">
        <v>118</v>
      </c>
      <c r="I256" s="73">
        <v>39985.0</v>
      </c>
      <c r="J256" s="56">
        <f t="shared" si="9"/>
        <v>16</v>
      </c>
      <c r="K256" s="58">
        <v>3.317814903E9</v>
      </c>
      <c r="L256" s="71" t="s">
        <v>727</v>
      </c>
      <c r="M256" s="73">
        <v>45856.0</v>
      </c>
      <c r="N256" s="71" t="s">
        <v>455</v>
      </c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8.75" customHeight="1">
      <c r="A257" s="56">
        <f t="shared" si="1"/>
        <v>254</v>
      </c>
      <c r="B257" s="56" t="str">
        <f t="shared" si="7"/>
        <v>MJ24</v>
      </c>
      <c r="C257" s="57" t="s">
        <v>728</v>
      </c>
      <c r="D257" s="56" t="s">
        <v>128</v>
      </c>
      <c r="E257" s="56" t="s">
        <v>140</v>
      </c>
      <c r="F257" s="58" t="s">
        <v>30</v>
      </c>
      <c r="G257" s="58" t="s">
        <v>118</v>
      </c>
      <c r="H257" s="56" t="s">
        <v>118</v>
      </c>
      <c r="I257" s="59">
        <v>23581.0</v>
      </c>
      <c r="J257" s="56">
        <f t="shared" si="9"/>
        <v>61</v>
      </c>
      <c r="K257" s="56"/>
      <c r="L257" s="60" t="s">
        <v>729</v>
      </c>
      <c r="M257" s="59">
        <v>42661.0</v>
      </c>
      <c r="N257" s="60" t="s">
        <v>730</v>
      </c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8.75" customHeight="1">
      <c r="A258" s="56">
        <f t="shared" si="1"/>
        <v>255</v>
      </c>
      <c r="B258" s="56" t="str">
        <f t="shared" si="7"/>
        <v>HL9</v>
      </c>
      <c r="C258" s="57" t="s">
        <v>731</v>
      </c>
      <c r="D258" s="56" t="s">
        <v>117</v>
      </c>
      <c r="E258" s="56" t="s">
        <v>140</v>
      </c>
      <c r="F258" s="56" t="s">
        <v>12</v>
      </c>
      <c r="G258" s="58" t="s">
        <v>118</v>
      </c>
      <c r="H258" s="56" t="s">
        <v>118</v>
      </c>
      <c r="I258" s="59">
        <v>23569.0</v>
      </c>
      <c r="J258" s="56">
        <f t="shared" si="9"/>
        <v>61</v>
      </c>
      <c r="K258" s="56">
        <v>3.31473139E9</v>
      </c>
      <c r="L258" s="60" t="s">
        <v>732</v>
      </c>
      <c r="M258" s="59"/>
      <c r="N258" s="60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8.75" hidden="1" customHeight="1">
      <c r="A259" s="56">
        <f t="shared" si="1"/>
        <v>256</v>
      </c>
      <c r="B259" s="56" t="str">
        <f t="shared" si="7"/>
        <v>HB61</v>
      </c>
      <c r="C259" s="57" t="s">
        <v>733</v>
      </c>
      <c r="D259" s="56" t="s">
        <v>117</v>
      </c>
      <c r="E259" s="56" t="s">
        <v>34</v>
      </c>
      <c r="F259" s="56" t="s">
        <v>7</v>
      </c>
      <c r="G259" s="56" t="s">
        <v>118</v>
      </c>
      <c r="H259" s="56" t="s">
        <v>118</v>
      </c>
      <c r="I259" s="59">
        <v>11750.0</v>
      </c>
      <c r="J259" s="56">
        <f t="shared" si="9"/>
        <v>94</v>
      </c>
      <c r="K259" s="56">
        <v>3.336776208E9</v>
      </c>
      <c r="L259" s="60" t="s">
        <v>734</v>
      </c>
      <c r="M259" s="59"/>
      <c r="N259" s="60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8.75" customHeight="1">
      <c r="A260" s="56">
        <f t="shared" si="1"/>
        <v>257</v>
      </c>
      <c r="B260" s="56" t="str">
        <f t="shared" si="7"/>
        <v>MD11</v>
      </c>
      <c r="C260" s="57" t="s">
        <v>735</v>
      </c>
      <c r="D260" s="56" t="s">
        <v>128</v>
      </c>
      <c r="E260" s="56" t="s">
        <v>34</v>
      </c>
      <c r="F260" s="58" t="s">
        <v>49</v>
      </c>
      <c r="G260" s="56"/>
      <c r="H260" s="56" t="s">
        <v>118</v>
      </c>
      <c r="I260" s="59">
        <v>31226.0</v>
      </c>
      <c r="J260" s="56">
        <f t="shared" si="9"/>
        <v>40</v>
      </c>
      <c r="K260" s="56">
        <v>3.31781076E9</v>
      </c>
      <c r="L260" s="60" t="s">
        <v>736</v>
      </c>
      <c r="M260" s="59">
        <v>43406.0</v>
      </c>
      <c r="N260" s="60" t="s">
        <v>737</v>
      </c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8.75" customHeight="1">
      <c r="A261" s="56">
        <f t="shared" si="1"/>
        <v>258</v>
      </c>
      <c r="B261" s="56" t="str">
        <f t="shared" si="7"/>
        <v>ML10</v>
      </c>
      <c r="C261" s="57" t="s">
        <v>738</v>
      </c>
      <c r="D261" s="56" t="s">
        <v>128</v>
      </c>
      <c r="E261" s="56" t="s">
        <v>40</v>
      </c>
      <c r="F261" s="56" t="s">
        <v>12</v>
      </c>
      <c r="G261" s="56"/>
      <c r="H261" s="56" t="s">
        <v>118</v>
      </c>
      <c r="I261" s="59">
        <v>38793.0</v>
      </c>
      <c r="J261" s="56">
        <f t="shared" si="9"/>
        <v>20</v>
      </c>
      <c r="K261" s="56">
        <v>3.344570539E9</v>
      </c>
      <c r="L261" s="60" t="s">
        <v>739</v>
      </c>
      <c r="M261" s="59">
        <v>45226.0</v>
      </c>
      <c r="N261" s="60" t="s">
        <v>740</v>
      </c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8.75" customHeight="1">
      <c r="A262" s="56">
        <f t="shared" si="1"/>
        <v>259</v>
      </c>
      <c r="B262" s="56" t="str">
        <f t="shared" si="7"/>
        <v>ML11</v>
      </c>
      <c r="C262" s="57" t="s">
        <v>741</v>
      </c>
      <c r="D262" s="56" t="s">
        <v>128</v>
      </c>
      <c r="E262" s="56" t="s">
        <v>40</v>
      </c>
      <c r="F262" s="56" t="s">
        <v>12</v>
      </c>
      <c r="G262" s="56"/>
      <c r="H262" s="56" t="s">
        <v>118</v>
      </c>
      <c r="I262" s="59">
        <v>39552.0</v>
      </c>
      <c r="J262" s="56">
        <f t="shared" si="9"/>
        <v>18</v>
      </c>
      <c r="K262" s="56">
        <v>3.344570539E9</v>
      </c>
      <c r="L262" s="60" t="s">
        <v>739</v>
      </c>
      <c r="M262" s="59">
        <v>45189.0</v>
      </c>
      <c r="N262" s="60" t="s">
        <v>403</v>
      </c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8.75" customHeight="1">
      <c r="A263" s="56">
        <f t="shared" si="1"/>
        <v>260</v>
      </c>
      <c r="B263" s="56" t="str">
        <f t="shared" si="7"/>
        <v>ML12</v>
      </c>
      <c r="C263" s="57" t="s">
        <v>742</v>
      </c>
      <c r="D263" s="56" t="s">
        <v>128</v>
      </c>
      <c r="E263" s="56" t="s">
        <v>34</v>
      </c>
      <c r="F263" s="56" t="s">
        <v>12</v>
      </c>
      <c r="G263" s="56"/>
      <c r="H263" s="56" t="s">
        <v>118</v>
      </c>
      <c r="I263" s="59">
        <v>24343.0</v>
      </c>
      <c r="J263" s="56">
        <f t="shared" si="9"/>
        <v>59</v>
      </c>
      <c r="K263" s="56">
        <v>3.310546029E9</v>
      </c>
      <c r="L263" s="60" t="s">
        <v>743</v>
      </c>
      <c r="M263" s="59"/>
      <c r="N263" s="60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8.75" customHeight="1">
      <c r="A264" s="75">
        <f t="shared" si="1"/>
        <v>261</v>
      </c>
      <c r="B264" s="75" t="str">
        <f t="shared" si="7"/>
        <v>MMi9</v>
      </c>
      <c r="C264" s="76" t="s">
        <v>744</v>
      </c>
      <c r="D264" s="84" t="s">
        <v>128</v>
      </c>
      <c r="E264" s="77" t="s">
        <v>40</v>
      </c>
      <c r="F264" s="77" t="s">
        <v>24</v>
      </c>
      <c r="G264" s="84" t="s">
        <v>118</v>
      </c>
      <c r="H264" s="75" t="s">
        <v>118</v>
      </c>
      <c r="I264" s="78">
        <v>36088.0</v>
      </c>
      <c r="J264" s="75">
        <f t="shared" si="9"/>
        <v>27</v>
      </c>
      <c r="K264" s="77">
        <v>3.315937607E9</v>
      </c>
      <c r="L264" s="79" t="s">
        <v>745</v>
      </c>
      <c r="M264" s="80">
        <v>45947.0</v>
      </c>
      <c r="N264" s="79" t="s">
        <v>746</v>
      </c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8.75" customHeight="1">
      <c r="A265" s="56">
        <f t="shared" si="1"/>
        <v>262</v>
      </c>
      <c r="B265" s="56" t="str">
        <f t="shared" si="7"/>
        <v>MMa11</v>
      </c>
      <c r="C265" s="57" t="s">
        <v>747</v>
      </c>
      <c r="D265" s="56" t="s">
        <v>128</v>
      </c>
      <c r="E265" s="56" t="s">
        <v>34</v>
      </c>
      <c r="F265" s="56" t="s">
        <v>18</v>
      </c>
      <c r="G265" s="58" t="s">
        <v>118</v>
      </c>
      <c r="H265" s="56" t="s">
        <v>118</v>
      </c>
      <c r="I265" s="59">
        <v>16925.0</v>
      </c>
      <c r="J265" s="56">
        <f t="shared" si="9"/>
        <v>79</v>
      </c>
      <c r="K265" s="56">
        <v>3.6551962E7</v>
      </c>
      <c r="L265" s="60" t="s">
        <v>748</v>
      </c>
      <c r="M265" s="59"/>
      <c r="N265" s="60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8.75" customHeight="1">
      <c r="A266" s="56">
        <f t="shared" si="1"/>
        <v>263</v>
      </c>
      <c r="B266" s="56" t="str">
        <f t="shared" si="7"/>
        <v>MMi10</v>
      </c>
      <c r="C266" s="72" t="s">
        <v>749</v>
      </c>
      <c r="D266" s="58" t="s">
        <v>128</v>
      </c>
      <c r="E266" s="58" t="s">
        <v>16</v>
      </c>
      <c r="F266" s="58" t="s">
        <v>24</v>
      </c>
      <c r="G266" s="58" t="s">
        <v>118</v>
      </c>
      <c r="H266" s="56" t="s">
        <v>118</v>
      </c>
      <c r="I266" s="73">
        <v>26879.0</v>
      </c>
      <c r="J266" s="56">
        <f t="shared" si="9"/>
        <v>52</v>
      </c>
      <c r="K266" s="58">
        <v>6640083.0</v>
      </c>
      <c r="L266" s="71" t="s">
        <v>750</v>
      </c>
      <c r="M266" s="73">
        <v>45504.0</v>
      </c>
      <c r="N266" s="71" t="s">
        <v>751</v>
      </c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8.75" customHeight="1">
      <c r="A267" s="56">
        <f t="shared" si="1"/>
        <v>264</v>
      </c>
      <c r="B267" s="56" t="str">
        <f t="shared" si="7"/>
        <v>MV17</v>
      </c>
      <c r="C267" s="57" t="s">
        <v>752</v>
      </c>
      <c r="D267" s="56" t="s">
        <v>128</v>
      </c>
      <c r="E267" s="56" t="s">
        <v>22</v>
      </c>
      <c r="F267" s="56" t="s">
        <v>36</v>
      </c>
      <c r="G267" s="58" t="s">
        <v>118</v>
      </c>
      <c r="H267" s="56" t="s">
        <v>118</v>
      </c>
      <c r="I267" s="59">
        <v>28178.0</v>
      </c>
      <c r="J267" s="56">
        <f t="shared" si="9"/>
        <v>49</v>
      </c>
      <c r="K267" s="56">
        <v>3.339463506E9</v>
      </c>
      <c r="L267" s="60" t="s">
        <v>753</v>
      </c>
      <c r="M267" s="59"/>
      <c r="N267" s="71" t="s">
        <v>584</v>
      </c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8.75" customHeight="1">
      <c r="A268" s="56">
        <f t="shared" si="1"/>
        <v>265</v>
      </c>
      <c r="B268" s="56" t="str">
        <f t="shared" si="7"/>
        <v>MMa12</v>
      </c>
      <c r="C268" s="57" t="s">
        <v>754</v>
      </c>
      <c r="D268" s="56" t="s">
        <v>128</v>
      </c>
      <c r="E268" s="56" t="s">
        <v>34</v>
      </c>
      <c r="F268" s="56" t="s">
        <v>18</v>
      </c>
      <c r="G268" s="58" t="s">
        <v>118</v>
      </c>
      <c r="H268" s="56" t="s">
        <v>118</v>
      </c>
      <c r="I268" s="59">
        <v>21682.0</v>
      </c>
      <c r="J268" s="56">
        <f t="shared" si="9"/>
        <v>66</v>
      </c>
      <c r="K268" s="56" t="s">
        <v>755</v>
      </c>
      <c r="L268" s="60" t="s">
        <v>756</v>
      </c>
      <c r="M268" s="59">
        <v>42725.0</v>
      </c>
      <c r="N268" s="60" t="s">
        <v>757</v>
      </c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8.75" customHeight="1">
      <c r="A269" s="56">
        <f t="shared" si="1"/>
        <v>266</v>
      </c>
      <c r="B269" s="56" t="str">
        <f t="shared" si="7"/>
        <v>MS8</v>
      </c>
      <c r="C269" s="72" t="s">
        <v>758</v>
      </c>
      <c r="D269" s="58" t="s">
        <v>128</v>
      </c>
      <c r="E269" s="58" t="s">
        <v>40</v>
      </c>
      <c r="F269" s="58" t="s">
        <v>43</v>
      </c>
      <c r="G269" s="58"/>
      <c r="H269" s="58" t="s">
        <v>118</v>
      </c>
      <c r="I269" s="73">
        <v>40484.0</v>
      </c>
      <c r="J269" s="56">
        <f>IF($C$761="","",DATEDIF(I269,TODAY(),"Y"))</f>
        <v>15</v>
      </c>
      <c r="K269" s="58">
        <v>3.327937864E9</v>
      </c>
      <c r="L269" s="71" t="s">
        <v>759</v>
      </c>
      <c r="M269" s="73">
        <v>45449.0</v>
      </c>
      <c r="N269" s="71" t="s">
        <v>760</v>
      </c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8.75" hidden="1" customHeight="1">
      <c r="A270" s="56">
        <f t="shared" si="1"/>
        <v>267</v>
      </c>
      <c r="B270" s="56" t="str">
        <f t="shared" si="7"/>
        <v>MB66</v>
      </c>
      <c r="C270" s="57" t="s">
        <v>761</v>
      </c>
      <c r="D270" s="56" t="s">
        <v>128</v>
      </c>
      <c r="E270" s="56" t="s">
        <v>22</v>
      </c>
      <c r="F270" s="58" t="s">
        <v>7</v>
      </c>
      <c r="G270" s="56" t="s">
        <v>118</v>
      </c>
      <c r="H270" s="56" t="s">
        <v>118</v>
      </c>
      <c r="I270" s="59">
        <v>32379.0</v>
      </c>
      <c r="J270" s="56">
        <f t="shared" ref="J270:J292" si="10">IF(C270="","",DATEDIF(I270,TODAY(),"Y"))</f>
        <v>37</v>
      </c>
      <c r="K270" s="56">
        <v>3.316330392E9</v>
      </c>
      <c r="L270" s="60" t="s">
        <v>532</v>
      </c>
      <c r="M270" s="59">
        <v>43244.0</v>
      </c>
      <c r="N270" s="60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8.75" hidden="1" customHeight="1">
      <c r="A271" s="56">
        <f t="shared" si="1"/>
        <v>268</v>
      </c>
      <c r="B271" s="56" t="str">
        <f t="shared" si="7"/>
        <v>MB67</v>
      </c>
      <c r="C271" s="57" t="s">
        <v>762</v>
      </c>
      <c r="D271" s="56" t="s">
        <v>128</v>
      </c>
      <c r="E271" s="56" t="s">
        <v>140</v>
      </c>
      <c r="F271" s="56" t="s">
        <v>7</v>
      </c>
      <c r="G271" s="56" t="s">
        <v>118</v>
      </c>
      <c r="H271" s="56" t="s">
        <v>118</v>
      </c>
      <c r="I271" s="59">
        <v>18834.0</v>
      </c>
      <c r="J271" s="56">
        <f t="shared" si="10"/>
        <v>74</v>
      </c>
      <c r="K271" s="56">
        <v>3.334557835E9</v>
      </c>
      <c r="L271" s="60" t="s">
        <v>763</v>
      </c>
      <c r="M271" s="59"/>
      <c r="N271" s="60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8.75" hidden="1" customHeight="1">
      <c r="A272" s="56">
        <f t="shared" si="1"/>
        <v>269</v>
      </c>
      <c r="B272" s="56" t="str">
        <f t="shared" si="7"/>
        <v>MB68</v>
      </c>
      <c r="C272" s="57" t="s">
        <v>764</v>
      </c>
      <c r="D272" s="56" t="s">
        <v>128</v>
      </c>
      <c r="E272" s="56" t="s">
        <v>22</v>
      </c>
      <c r="F272" s="58" t="s">
        <v>7</v>
      </c>
      <c r="G272" s="56" t="s">
        <v>118</v>
      </c>
      <c r="H272" s="56" t="s">
        <v>118</v>
      </c>
      <c r="I272" s="59">
        <v>31628.0</v>
      </c>
      <c r="J272" s="56">
        <f t="shared" si="10"/>
        <v>39</v>
      </c>
      <c r="K272" s="56">
        <v>3.312085302E9</v>
      </c>
      <c r="L272" s="60" t="s">
        <v>765</v>
      </c>
      <c r="M272" s="59">
        <v>44234.0</v>
      </c>
      <c r="N272" s="60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8.75" hidden="1" customHeight="1">
      <c r="A273" s="56">
        <f t="shared" si="1"/>
        <v>270</v>
      </c>
      <c r="B273" s="56" t="str">
        <f t="shared" si="7"/>
        <v>MB69</v>
      </c>
      <c r="C273" s="57" t="s">
        <v>766</v>
      </c>
      <c r="D273" s="56" t="s">
        <v>128</v>
      </c>
      <c r="E273" s="56" t="s">
        <v>40</v>
      </c>
      <c r="F273" s="56" t="s">
        <v>7</v>
      </c>
      <c r="G273" s="56"/>
      <c r="H273" s="56" t="s">
        <v>118</v>
      </c>
      <c r="I273" s="59">
        <v>37296.0</v>
      </c>
      <c r="J273" s="56">
        <f t="shared" si="10"/>
        <v>24</v>
      </c>
      <c r="K273" s="56">
        <v>3.311358406E9</v>
      </c>
      <c r="L273" s="60" t="s">
        <v>767</v>
      </c>
      <c r="M273" s="59"/>
      <c r="N273" s="60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8.75" hidden="1" customHeight="1">
      <c r="A274" s="56">
        <f t="shared" si="1"/>
        <v>271</v>
      </c>
      <c r="B274" s="56" t="str">
        <f t="shared" si="7"/>
        <v>HB62</v>
      </c>
      <c r="C274" s="57" t="s">
        <v>768</v>
      </c>
      <c r="D274" s="56" t="s">
        <v>117</v>
      </c>
      <c r="E274" s="56" t="s">
        <v>40</v>
      </c>
      <c r="F274" s="56" t="s">
        <v>7</v>
      </c>
      <c r="G274" s="56" t="s">
        <v>165</v>
      </c>
      <c r="H274" s="56" t="s">
        <v>118</v>
      </c>
      <c r="I274" s="59">
        <v>37816.0</v>
      </c>
      <c r="J274" s="56">
        <f t="shared" si="10"/>
        <v>22</v>
      </c>
      <c r="K274" s="56">
        <v>3.331191945E9</v>
      </c>
      <c r="L274" s="60" t="s">
        <v>769</v>
      </c>
      <c r="M274" s="59">
        <v>43128.0</v>
      </c>
      <c r="N274" s="60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8.75" customHeight="1">
      <c r="A275" s="56">
        <f t="shared" si="1"/>
        <v>272</v>
      </c>
      <c r="B275" s="56" t="str">
        <f t="shared" si="7"/>
        <v>MS9</v>
      </c>
      <c r="C275" s="57" t="s">
        <v>770</v>
      </c>
      <c r="D275" s="56" t="s">
        <v>128</v>
      </c>
      <c r="E275" s="56" t="s">
        <v>16</v>
      </c>
      <c r="F275" s="56" t="s">
        <v>43</v>
      </c>
      <c r="G275" s="58" t="s">
        <v>118</v>
      </c>
      <c r="H275" s="56" t="s">
        <v>118</v>
      </c>
      <c r="I275" s="59">
        <v>26894.0</v>
      </c>
      <c r="J275" s="56">
        <f t="shared" si="10"/>
        <v>52</v>
      </c>
      <c r="K275" s="56">
        <v>3.336082688E9</v>
      </c>
      <c r="L275" s="60" t="s">
        <v>771</v>
      </c>
      <c r="M275" s="59"/>
      <c r="N275" s="71" t="s">
        <v>152</v>
      </c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8.75" hidden="1" customHeight="1">
      <c r="A276" s="56">
        <f t="shared" si="1"/>
        <v>273</v>
      </c>
      <c r="B276" s="56" t="str">
        <f t="shared" si="7"/>
        <v>MB70</v>
      </c>
      <c r="C276" s="57" t="s">
        <v>772</v>
      </c>
      <c r="D276" s="56" t="s">
        <v>128</v>
      </c>
      <c r="E276" s="56" t="s">
        <v>34</v>
      </c>
      <c r="F276" s="56" t="s">
        <v>7</v>
      </c>
      <c r="G276" s="56" t="s">
        <v>118</v>
      </c>
      <c r="H276" s="56" t="s">
        <v>118</v>
      </c>
      <c r="I276" s="59">
        <v>17956.0</v>
      </c>
      <c r="J276" s="56">
        <f t="shared" si="10"/>
        <v>77</v>
      </c>
      <c r="K276" s="56">
        <v>3.310051031E9</v>
      </c>
      <c r="L276" s="60" t="s">
        <v>773</v>
      </c>
      <c r="M276" s="59">
        <v>43035.0</v>
      </c>
      <c r="N276" s="60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8.75" hidden="1" customHeight="1">
      <c r="A277" s="56">
        <f t="shared" si="1"/>
        <v>274</v>
      </c>
      <c r="B277" s="56" t="str">
        <f t="shared" si="7"/>
        <v>MB71</v>
      </c>
      <c r="C277" s="57" t="s">
        <v>774</v>
      </c>
      <c r="D277" s="56" t="s">
        <v>128</v>
      </c>
      <c r="E277" s="56" t="s">
        <v>16</v>
      </c>
      <c r="F277" s="58" t="s">
        <v>7</v>
      </c>
      <c r="G277" s="56" t="s">
        <v>118</v>
      </c>
      <c r="H277" s="56" t="s">
        <v>118</v>
      </c>
      <c r="I277" s="59">
        <v>26638.0</v>
      </c>
      <c r="J277" s="56">
        <f t="shared" si="10"/>
        <v>53</v>
      </c>
      <c r="K277" s="56">
        <v>3.311648925E9</v>
      </c>
      <c r="L277" s="60"/>
      <c r="M277" s="59"/>
      <c r="N277" s="60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8.75" hidden="1" customHeight="1">
      <c r="A278" s="56">
        <f t="shared" si="1"/>
        <v>275</v>
      </c>
      <c r="B278" s="56" t="str">
        <f t="shared" si="7"/>
        <v>MB72</v>
      </c>
      <c r="C278" s="57" t="s">
        <v>775</v>
      </c>
      <c r="D278" s="56" t="s">
        <v>128</v>
      </c>
      <c r="E278" s="56" t="s">
        <v>40</v>
      </c>
      <c r="F278" s="56" t="s">
        <v>7</v>
      </c>
      <c r="G278" s="56" t="s">
        <v>118</v>
      </c>
      <c r="H278" s="56" t="s">
        <v>118</v>
      </c>
      <c r="I278" s="59">
        <v>35864.0</v>
      </c>
      <c r="J278" s="56">
        <f t="shared" si="10"/>
        <v>28</v>
      </c>
      <c r="K278" s="56">
        <v>3.6084559E7</v>
      </c>
      <c r="L278" s="60" t="s">
        <v>776</v>
      </c>
      <c r="M278" s="59"/>
      <c r="N278" s="60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8.75" hidden="1" customHeight="1">
      <c r="A279" s="56">
        <f t="shared" si="1"/>
        <v>276</v>
      </c>
      <c r="B279" s="56" t="str">
        <f t="shared" si="7"/>
        <v>HB63</v>
      </c>
      <c r="C279" s="57" t="s">
        <v>777</v>
      </c>
      <c r="D279" s="56" t="s">
        <v>117</v>
      </c>
      <c r="E279" s="56" t="s">
        <v>40</v>
      </c>
      <c r="F279" s="56" t="s">
        <v>7</v>
      </c>
      <c r="G279" s="56" t="s">
        <v>118</v>
      </c>
      <c r="H279" s="56" t="s">
        <v>118</v>
      </c>
      <c r="I279" s="59">
        <v>36900.0</v>
      </c>
      <c r="J279" s="56">
        <f t="shared" si="10"/>
        <v>25</v>
      </c>
      <c r="K279" s="56">
        <v>3.314177458E9</v>
      </c>
      <c r="L279" s="60" t="s">
        <v>778</v>
      </c>
      <c r="M279" s="59"/>
      <c r="N279" s="6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8.75" hidden="1" customHeight="1">
      <c r="A280" s="56">
        <f t="shared" si="1"/>
        <v>277</v>
      </c>
      <c r="B280" s="56" t="str">
        <f t="shared" si="7"/>
        <v>HB64</v>
      </c>
      <c r="C280" s="57" t="s">
        <v>779</v>
      </c>
      <c r="D280" s="56" t="s">
        <v>117</v>
      </c>
      <c r="E280" s="56" t="s">
        <v>16</v>
      </c>
      <c r="F280" s="56" t="s">
        <v>7</v>
      </c>
      <c r="G280" s="56" t="s">
        <v>118</v>
      </c>
      <c r="H280" s="56" t="s">
        <v>118</v>
      </c>
      <c r="I280" s="59">
        <v>26465.0</v>
      </c>
      <c r="J280" s="56">
        <f t="shared" si="10"/>
        <v>53</v>
      </c>
      <c r="K280" s="56">
        <v>3.316030509E9</v>
      </c>
      <c r="L280" s="60" t="s">
        <v>780</v>
      </c>
      <c r="M280" s="59"/>
      <c r="N280" s="6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8.75" customHeight="1">
      <c r="A281" s="56">
        <f t="shared" si="1"/>
        <v>278</v>
      </c>
      <c r="B281" s="56" t="str">
        <f t="shared" si="7"/>
        <v>HS15</v>
      </c>
      <c r="C281" s="57" t="s">
        <v>781</v>
      </c>
      <c r="D281" s="56" t="s">
        <v>117</v>
      </c>
      <c r="E281" s="56" t="s">
        <v>40</v>
      </c>
      <c r="F281" s="56" t="s">
        <v>43</v>
      </c>
      <c r="G281" s="56"/>
      <c r="H281" s="56" t="s">
        <v>118</v>
      </c>
      <c r="I281" s="59">
        <v>37849.0</v>
      </c>
      <c r="J281" s="56">
        <f t="shared" si="10"/>
        <v>22</v>
      </c>
      <c r="K281" s="56">
        <v>3.32720072E9</v>
      </c>
      <c r="L281" s="60" t="s">
        <v>782</v>
      </c>
      <c r="M281" s="59">
        <v>45174.0</v>
      </c>
      <c r="N281" s="60" t="s">
        <v>783</v>
      </c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8.75" customHeight="1">
      <c r="A282" s="56">
        <f t="shared" si="1"/>
        <v>279</v>
      </c>
      <c r="B282" s="56" t="str">
        <f t="shared" si="7"/>
        <v>MJ25</v>
      </c>
      <c r="C282" s="57" t="s">
        <v>784</v>
      </c>
      <c r="D282" s="56" t="s">
        <v>128</v>
      </c>
      <c r="E282" s="56" t="s">
        <v>34</v>
      </c>
      <c r="F282" s="58" t="s">
        <v>30</v>
      </c>
      <c r="G282" s="56" t="s">
        <v>118</v>
      </c>
      <c r="H282" s="56" t="s">
        <v>118</v>
      </c>
      <c r="I282" s="59">
        <v>27129.0</v>
      </c>
      <c r="J282" s="56">
        <f t="shared" si="10"/>
        <v>52</v>
      </c>
      <c r="K282" s="56">
        <v>3.310477087E9</v>
      </c>
      <c r="L282" s="60" t="s">
        <v>785</v>
      </c>
      <c r="M282" s="59">
        <v>35671.0</v>
      </c>
      <c r="N282" s="60" t="s">
        <v>275</v>
      </c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8.75" hidden="1" customHeight="1">
      <c r="A283" s="56">
        <f t="shared" si="1"/>
        <v>280</v>
      </c>
      <c r="B283" s="56" t="str">
        <f t="shared" si="7"/>
        <v>HB65</v>
      </c>
      <c r="C283" s="57" t="s">
        <v>786</v>
      </c>
      <c r="D283" s="56" t="s">
        <v>117</v>
      </c>
      <c r="E283" s="56" t="s">
        <v>40</v>
      </c>
      <c r="F283" s="56" t="s">
        <v>7</v>
      </c>
      <c r="G283" s="56" t="s">
        <v>118</v>
      </c>
      <c r="H283" s="56" t="s">
        <v>118</v>
      </c>
      <c r="I283" s="59">
        <v>36056.0</v>
      </c>
      <c r="J283" s="56">
        <f t="shared" si="10"/>
        <v>27</v>
      </c>
      <c r="K283" s="56"/>
      <c r="L283" s="60"/>
      <c r="M283" s="59">
        <v>43697.0</v>
      </c>
      <c r="N283" s="60" t="s">
        <v>787</v>
      </c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8.75" customHeight="1">
      <c r="A284" s="56">
        <f t="shared" si="1"/>
        <v>281</v>
      </c>
      <c r="B284" s="56" t="str">
        <f t="shared" si="7"/>
        <v>HMa4</v>
      </c>
      <c r="C284" s="57" t="s">
        <v>788</v>
      </c>
      <c r="D284" s="56" t="s">
        <v>117</v>
      </c>
      <c r="E284" s="56" t="s">
        <v>140</v>
      </c>
      <c r="F284" s="56" t="s">
        <v>18</v>
      </c>
      <c r="G284" s="56"/>
      <c r="H284" s="56" t="s">
        <v>118</v>
      </c>
      <c r="I284" s="59">
        <v>10062.0</v>
      </c>
      <c r="J284" s="56">
        <f t="shared" si="10"/>
        <v>98</v>
      </c>
      <c r="K284" s="56">
        <v>3.6980807E7</v>
      </c>
      <c r="L284" s="60" t="s">
        <v>789</v>
      </c>
      <c r="M284" s="59"/>
      <c r="N284" s="6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8.75" customHeight="1">
      <c r="A285" s="56">
        <f t="shared" si="1"/>
        <v>282</v>
      </c>
      <c r="B285" s="56" t="str">
        <f t="shared" si="7"/>
        <v>HMa5</v>
      </c>
      <c r="C285" s="72" t="s">
        <v>790</v>
      </c>
      <c r="D285" s="58" t="s">
        <v>117</v>
      </c>
      <c r="E285" s="58" t="s">
        <v>28</v>
      </c>
      <c r="F285" s="58" t="s">
        <v>18</v>
      </c>
      <c r="G285" s="58" t="s">
        <v>118</v>
      </c>
      <c r="H285" s="56" t="s">
        <v>118</v>
      </c>
      <c r="I285" s="73">
        <v>34547.0</v>
      </c>
      <c r="J285" s="56">
        <f t="shared" si="10"/>
        <v>31</v>
      </c>
      <c r="K285" s="58">
        <v>3.341135612E9</v>
      </c>
      <c r="L285" s="71" t="s">
        <v>791</v>
      </c>
      <c r="M285" s="73">
        <v>44665.0</v>
      </c>
      <c r="N285" s="71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8.75" customHeight="1">
      <c r="A286" s="56">
        <f t="shared" si="1"/>
        <v>283</v>
      </c>
      <c r="B286" s="56" t="str">
        <f t="shared" si="7"/>
        <v>MD12</v>
      </c>
      <c r="C286" s="57" t="s">
        <v>792</v>
      </c>
      <c r="D286" s="56" t="s">
        <v>128</v>
      </c>
      <c r="E286" s="56" t="s">
        <v>22</v>
      </c>
      <c r="F286" s="56" t="s">
        <v>49</v>
      </c>
      <c r="G286" s="56"/>
      <c r="H286" s="56"/>
      <c r="I286" s="59">
        <v>31445.0</v>
      </c>
      <c r="J286" s="56">
        <f t="shared" si="10"/>
        <v>40</v>
      </c>
      <c r="K286" s="56">
        <v>3.312363298E9</v>
      </c>
      <c r="L286" s="60"/>
      <c r="M286" s="59">
        <v>42767.0</v>
      </c>
      <c r="N286" s="6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8.75" hidden="1" customHeight="1">
      <c r="A287" s="56">
        <f t="shared" si="1"/>
        <v>284</v>
      </c>
      <c r="B287" s="56" t="str">
        <f t="shared" si="7"/>
        <v>HB66</v>
      </c>
      <c r="C287" s="57" t="s">
        <v>793</v>
      </c>
      <c r="D287" s="56" t="s">
        <v>117</v>
      </c>
      <c r="E287" s="56" t="s">
        <v>40</v>
      </c>
      <c r="F287" s="58" t="s">
        <v>7</v>
      </c>
      <c r="G287" s="56" t="s">
        <v>118</v>
      </c>
      <c r="H287" s="56" t="s">
        <v>118</v>
      </c>
      <c r="I287" s="59">
        <v>36654.0</v>
      </c>
      <c r="J287" s="56">
        <f t="shared" si="10"/>
        <v>25</v>
      </c>
      <c r="K287" s="56">
        <v>3.334794439E9</v>
      </c>
      <c r="L287" s="60" t="s">
        <v>794</v>
      </c>
      <c r="M287" s="59">
        <v>44163.0</v>
      </c>
      <c r="N287" s="60" t="s">
        <v>218</v>
      </c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8.75" hidden="1" customHeight="1">
      <c r="A288" s="56">
        <f t="shared" si="1"/>
        <v>285</v>
      </c>
      <c r="B288" s="56" t="str">
        <f t="shared" si="7"/>
        <v>MB73</v>
      </c>
      <c r="C288" s="57" t="s">
        <v>795</v>
      </c>
      <c r="D288" s="56" t="s">
        <v>128</v>
      </c>
      <c r="E288" s="56" t="s">
        <v>28</v>
      </c>
      <c r="F288" s="56" t="s">
        <v>7</v>
      </c>
      <c r="G288" s="56" t="s">
        <v>118</v>
      </c>
      <c r="H288" s="56" t="s">
        <v>118</v>
      </c>
      <c r="I288" s="59">
        <v>33721.0</v>
      </c>
      <c r="J288" s="56">
        <f t="shared" si="10"/>
        <v>33</v>
      </c>
      <c r="K288" s="56">
        <v>3.314485053E9</v>
      </c>
      <c r="L288" s="60" t="s">
        <v>796</v>
      </c>
      <c r="M288" s="59"/>
      <c r="N288" s="6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8.75" hidden="1" customHeight="1">
      <c r="A289" s="56">
        <f t="shared" si="1"/>
        <v>286</v>
      </c>
      <c r="B289" s="56" t="str">
        <f t="shared" si="7"/>
        <v>HB67</v>
      </c>
      <c r="C289" s="57" t="s">
        <v>797</v>
      </c>
      <c r="D289" s="56" t="s">
        <v>117</v>
      </c>
      <c r="E289" s="56" t="s">
        <v>40</v>
      </c>
      <c r="F289" s="56" t="s">
        <v>7</v>
      </c>
      <c r="G289" s="56" t="s">
        <v>118</v>
      </c>
      <c r="H289" s="56" t="s">
        <v>118</v>
      </c>
      <c r="I289" s="59">
        <v>37807.0</v>
      </c>
      <c r="J289" s="56">
        <f t="shared" si="10"/>
        <v>22</v>
      </c>
      <c r="K289" s="56">
        <v>3.326576454E9</v>
      </c>
      <c r="L289" s="60" t="s">
        <v>798</v>
      </c>
      <c r="M289" s="59">
        <v>43841.0</v>
      </c>
      <c r="N289" s="60" t="s">
        <v>218</v>
      </c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8.75" hidden="1" customHeight="1">
      <c r="A290" s="56">
        <f t="shared" si="1"/>
        <v>287</v>
      </c>
      <c r="B290" s="56" t="str">
        <f t="shared" si="7"/>
        <v>HB68</v>
      </c>
      <c r="C290" s="57" t="s">
        <v>799</v>
      </c>
      <c r="D290" s="56" t="s">
        <v>117</v>
      </c>
      <c r="E290" s="56" t="s">
        <v>28</v>
      </c>
      <c r="F290" s="56" t="s">
        <v>7</v>
      </c>
      <c r="G290" s="56" t="s">
        <v>118</v>
      </c>
      <c r="H290" s="56" t="s">
        <v>118</v>
      </c>
      <c r="I290" s="59">
        <v>32944.0</v>
      </c>
      <c r="J290" s="56">
        <f t="shared" si="10"/>
        <v>36</v>
      </c>
      <c r="K290" s="56">
        <v>3.33181558E9</v>
      </c>
      <c r="L290" s="60" t="s">
        <v>800</v>
      </c>
      <c r="M290" s="59">
        <v>43201.0</v>
      </c>
      <c r="N290" s="60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8.75" customHeight="1">
      <c r="A291" s="56">
        <f t="shared" si="1"/>
        <v>288</v>
      </c>
      <c r="B291" s="56" t="str">
        <f t="shared" si="7"/>
        <v>HMa6</v>
      </c>
      <c r="C291" s="72" t="s">
        <v>799</v>
      </c>
      <c r="D291" s="58" t="s">
        <v>117</v>
      </c>
      <c r="E291" s="58" t="s">
        <v>28</v>
      </c>
      <c r="F291" s="58" t="s">
        <v>18</v>
      </c>
      <c r="G291" s="58" t="s">
        <v>118</v>
      </c>
      <c r="H291" s="56" t="s">
        <v>118</v>
      </c>
      <c r="I291" s="73">
        <v>32944.0</v>
      </c>
      <c r="J291" s="56">
        <f t="shared" si="10"/>
        <v>36</v>
      </c>
      <c r="K291" s="58">
        <v>4.731154289E9</v>
      </c>
      <c r="L291" s="71" t="s">
        <v>801</v>
      </c>
      <c r="M291" s="83">
        <v>45923.0</v>
      </c>
      <c r="N291" s="71" t="s">
        <v>802</v>
      </c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8.75" hidden="1" customHeight="1">
      <c r="A292" s="56">
        <f t="shared" si="1"/>
        <v>289</v>
      </c>
      <c r="B292" s="56" t="str">
        <f t="shared" si="7"/>
        <v>MB74</v>
      </c>
      <c r="C292" s="57" t="s">
        <v>803</v>
      </c>
      <c r="D292" s="56" t="s">
        <v>128</v>
      </c>
      <c r="E292" s="56" t="s">
        <v>16</v>
      </c>
      <c r="F292" s="56" t="s">
        <v>7</v>
      </c>
      <c r="G292" s="56" t="s">
        <v>118</v>
      </c>
      <c r="H292" s="56" t="s">
        <v>118</v>
      </c>
      <c r="I292" s="59"/>
      <c r="J292" s="56">
        <f t="shared" si="10"/>
        <v>126</v>
      </c>
      <c r="K292" s="56">
        <v>3.329367181E9</v>
      </c>
      <c r="L292" s="60" t="s">
        <v>804</v>
      </c>
      <c r="M292" s="59">
        <v>43763.0</v>
      </c>
      <c r="N292" s="60" t="s">
        <v>805</v>
      </c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8.75" customHeight="1">
      <c r="A293" s="56">
        <f t="shared" si="1"/>
        <v>290</v>
      </c>
      <c r="B293" s="56" t="str">
        <f t="shared" si="7"/>
        <v>ML13</v>
      </c>
      <c r="C293" s="72" t="s">
        <v>806</v>
      </c>
      <c r="D293" s="58" t="s">
        <v>128</v>
      </c>
      <c r="E293" s="58" t="s">
        <v>40</v>
      </c>
      <c r="F293" s="58" t="s">
        <v>12</v>
      </c>
      <c r="G293" s="58"/>
      <c r="H293" s="58" t="s">
        <v>118</v>
      </c>
      <c r="I293" s="73">
        <v>36797.0</v>
      </c>
      <c r="J293" s="56">
        <f t="shared" ref="J293:J294" si="11">IF($C$761="","",DATEDIF(I293,TODAY(),"Y"))</f>
        <v>25</v>
      </c>
      <c r="K293" s="56"/>
      <c r="L293" s="71" t="s">
        <v>807</v>
      </c>
      <c r="M293" s="73">
        <v>45449.0</v>
      </c>
      <c r="N293" s="71" t="s">
        <v>808</v>
      </c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8.75" customHeight="1">
      <c r="A294" s="56">
        <f t="shared" si="1"/>
        <v>291</v>
      </c>
      <c r="B294" s="56" t="str">
        <f>IF(C294="","",D294&amp;$F$761&amp;COUNTIFS($D$4:D294,$D$761,$F$4:F294,$F$761))</f>
        <v>ML14</v>
      </c>
      <c r="C294" s="72" t="s">
        <v>809</v>
      </c>
      <c r="D294" s="58" t="s">
        <v>128</v>
      </c>
      <c r="E294" s="58" t="s">
        <v>40</v>
      </c>
      <c r="F294" s="58" t="s">
        <v>12</v>
      </c>
      <c r="G294" s="58" t="s">
        <v>118</v>
      </c>
      <c r="H294" s="58" t="s">
        <v>118</v>
      </c>
      <c r="I294" s="73">
        <v>40270.0</v>
      </c>
      <c r="J294" s="56">
        <f t="shared" si="11"/>
        <v>16</v>
      </c>
      <c r="K294" s="58">
        <v>3.332586639E9</v>
      </c>
      <c r="L294" s="71" t="s">
        <v>810</v>
      </c>
      <c r="M294" s="73">
        <v>45428.0</v>
      </c>
      <c r="N294" s="60" t="s">
        <v>300</v>
      </c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8.75" hidden="1" customHeight="1">
      <c r="A295" s="56">
        <f t="shared" si="1"/>
        <v>292</v>
      </c>
      <c r="B295" s="56" t="str">
        <f t="shared" ref="B295:B313" si="12">IF(C295="","",D295&amp;F295&amp;COUNTIFS($D$4:D295,D295,$F$4:F295,F295))</f>
        <v>MB75</v>
      </c>
      <c r="C295" s="57" t="s">
        <v>811</v>
      </c>
      <c r="D295" s="56" t="s">
        <v>128</v>
      </c>
      <c r="E295" s="56" t="s">
        <v>40</v>
      </c>
      <c r="F295" s="58" t="s">
        <v>7</v>
      </c>
      <c r="G295" s="56" t="s">
        <v>118</v>
      </c>
      <c r="H295" s="56" t="s">
        <v>118</v>
      </c>
      <c r="I295" s="59">
        <v>38257.0</v>
      </c>
      <c r="J295" s="56">
        <f t="shared" ref="J295:J313" si="13">IF(C295="","",DATEDIF(I295,TODAY(),"Y"))</f>
        <v>21</v>
      </c>
      <c r="K295" s="56">
        <v>6.56591076E9</v>
      </c>
      <c r="L295" s="60" t="s">
        <v>812</v>
      </c>
      <c r="M295" s="59">
        <v>45287.0</v>
      </c>
      <c r="N295" s="60" t="s">
        <v>590</v>
      </c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8.75" hidden="1" customHeight="1">
      <c r="A296" s="56">
        <f t="shared" si="1"/>
        <v>293</v>
      </c>
      <c r="B296" s="56" t="str">
        <f t="shared" si="12"/>
        <v>HB69</v>
      </c>
      <c r="C296" s="57" t="s">
        <v>813</v>
      </c>
      <c r="D296" s="56" t="s">
        <v>117</v>
      </c>
      <c r="E296" s="56" t="s">
        <v>22</v>
      </c>
      <c r="F296" s="56" t="s">
        <v>7</v>
      </c>
      <c r="G296" s="56" t="s">
        <v>118</v>
      </c>
      <c r="H296" s="56" t="s">
        <v>118</v>
      </c>
      <c r="I296" s="59">
        <v>29242.0</v>
      </c>
      <c r="J296" s="56">
        <f t="shared" si="13"/>
        <v>46</v>
      </c>
      <c r="K296" s="56">
        <v>3.317048266E9</v>
      </c>
      <c r="L296" s="60" t="s">
        <v>814</v>
      </c>
      <c r="M296" s="59"/>
      <c r="N296" s="60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8.75" customHeight="1">
      <c r="A297" s="56">
        <f t="shared" si="1"/>
        <v>294</v>
      </c>
      <c r="B297" s="56" t="str">
        <f t="shared" si="12"/>
        <v>MMa13</v>
      </c>
      <c r="C297" s="57" t="s">
        <v>815</v>
      </c>
      <c r="D297" s="56" t="s">
        <v>128</v>
      </c>
      <c r="E297" s="56" t="s">
        <v>140</v>
      </c>
      <c r="F297" s="56" t="s">
        <v>18</v>
      </c>
      <c r="G297" s="58" t="s">
        <v>118</v>
      </c>
      <c r="H297" s="56" t="s">
        <v>118</v>
      </c>
      <c r="I297" s="59">
        <v>22672.0</v>
      </c>
      <c r="J297" s="56">
        <f t="shared" si="13"/>
        <v>64</v>
      </c>
      <c r="K297" s="56">
        <v>3.313309633E9</v>
      </c>
      <c r="L297" s="60" t="s">
        <v>816</v>
      </c>
      <c r="M297" s="59"/>
      <c r="N297" s="60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8.75" hidden="1" customHeight="1">
      <c r="A298" s="56">
        <f t="shared" si="1"/>
        <v>295</v>
      </c>
      <c r="B298" s="56" t="str">
        <f t="shared" si="12"/>
        <v>MB76</v>
      </c>
      <c r="C298" s="57" t="s">
        <v>817</v>
      </c>
      <c r="D298" s="56" t="s">
        <v>128</v>
      </c>
      <c r="E298" s="56" t="s">
        <v>40</v>
      </c>
      <c r="F298" s="56" t="s">
        <v>7</v>
      </c>
      <c r="G298" s="56" t="s">
        <v>118</v>
      </c>
      <c r="H298" s="56" t="s">
        <v>118</v>
      </c>
      <c r="I298" s="59">
        <v>36501.0</v>
      </c>
      <c r="J298" s="56">
        <f t="shared" si="13"/>
        <v>26</v>
      </c>
      <c r="K298" s="56">
        <v>3.33391702E9</v>
      </c>
      <c r="L298" s="60" t="s">
        <v>818</v>
      </c>
      <c r="M298" s="59"/>
      <c r="N298" s="60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8.75" customHeight="1">
      <c r="A299" s="56">
        <f t="shared" si="1"/>
        <v>296</v>
      </c>
      <c r="B299" s="56" t="str">
        <f t="shared" si="12"/>
        <v>MMa14</v>
      </c>
      <c r="C299" s="57" t="s">
        <v>819</v>
      </c>
      <c r="D299" s="56" t="s">
        <v>128</v>
      </c>
      <c r="E299" s="56" t="s">
        <v>22</v>
      </c>
      <c r="F299" s="58" t="s">
        <v>18</v>
      </c>
      <c r="G299" s="58" t="s">
        <v>118</v>
      </c>
      <c r="H299" s="56" t="s">
        <v>118</v>
      </c>
      <c r="I299" s="59">
        <v>28941.0</v>
      </c>
      <c r="J299" s="56">
        <f t="shared" si="13"/>
        <v>47</v>
      </c>
      <c r="K299" s="56">
        <v>3.312167198E9</v>
      </c>
      <c r="L299" s="60" t="s">
        <v>820</v>
      </c>
      <c r="M299" s="59"/>
      <c r="N299" s="60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8.75" hidden="1" customHeight="1">
      <c r="A300" s="56">
        <f t="shared" si="1"/>
        <v>297</v>
      </c>
      <c r="B300" s="56" t="str">
        <f t="shared" si="12"/>
        <v>MB77</v>
      </c>
      <c r="C300" s="57" t="s">
        <v>821</v>
      </c>
      <c r="D300" s="56" t="s">
        <v>128</v>
      </c>
      <c r="E300" s="56" t="s">
        <v>40</v>
      </c>
      <c r="F300" s="56" t="s">
        <v>7</v>
      </c>
      <c r="G300" s="56" t="s">
        <v>118</v>
      </c>
      <c r="H300" s="56" t="s">
        <v>118</v>
      </c>
      <c r="I300" s="59">
        <v>38205.0</v>
      </c>
      <c r="J300" s="56">
        <f t="shared" si="13"/>
        <v>21</v>
      </c>
      <c r="K300" s="56">
        <v>3.324593435E9</v>
      </c>
      <c r="L300" s="60" t="s">
        <v>822</v>
      </c>
      <c r="M300" s="59">
        <v>43846.0</v>
      </c>
      <c r="N300" s="60" t="s">
        <v>235</v>
      </c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8.75" hidden="1" customHeight="1">
      <c r="A301" s="56">
        <f t="shared" si="1"/>
        <v>298</v>
      </c>
      <c r="B301" s="56" t="str">
        <f t="shared" si="12"/>
        <v>HB70</v>
      </c>
      <c r="C301" s="57" t="s">
        <v>823</v>
      </c>
      <c r="D301" s="56" t="s">
        <v>117</v>
      </c>
      <c r="E301" s="56" t="s">
        <v>22</v>
      </c>
      <c r="F301" s="58" t="s">
        <v>7</v>
      </c>
      <c r="G301" s="56" t="s">
        <v>118</v>
      </c>
      <c r="H301" s="56" t="s">
        <v>118</v>
      </c>
      <c r="I301" s="59">
        <v>31786.0</v>
      </c>
      <c r="J301" s="56">
        <f t="shared" si="13"/>
        <v>39</v>
      </c>
      <c r="K301" s="56">
        <v>3.331834285E9</v>
      </c>
      <c r="L301" s="60" t="s">
        <v>824</v>
      </c>
      <c r="M301" s="59">
        <v>43369.0</v>
      </c>
      <c r="N301" s="60" t="s">
        <v>486</v>
      </c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8.75" hidden="1" customHeight="1">
      <c r="A302" s="56">
        <f t="shared" si="1"/>
        <v>299</v>
      </c>
      <c r="B302" s="56" t="str">
        <f t="shared" si="12"/>
        <v>HB71</v>
      </c>
      <c r="C302" s="57" t="s">
        <v>825</v>
      </c>
      <c r="D302" s="56" t="s">
        <v>117</v>
      </c>
      <c r="E302" s="56" t="s">
        <v>40</v>
      </c>
      <c r="F302" s="56" t="s">
        <v>7</v>
      </c>
      <c r="G302" s="56" t="s">
        <v>118</v>
      </c>
      <c r="H302" s="56" t="s">
        <v>118</v>
      </c>
      <c r="I302" s="59">
        <v>31407.0</v>
      </c>
      <c r="J302" s="56">
        <f t="shared" si="13"/>
        <v>40</v>
      </c>
      <c r="K302" s="56" t="s">
        <v>570</v>
      </c>
      <c r="L302" s="60" t="s">
        <v>826</v>
      </c>
      <c r="M302" s="59">
        <v>43544.0</v>
      </c>
      <c r="N302" s="60" t="s">
        <v>486</v>
      </c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8.75" customHeight="1">
      <c r="A303" s="56">
        <f t="shared" si="1"/>
        <v>300</v>
      </c>
      <c r="B303" s="56" t="str">
        <f t="shared" si="12"/>
        <v>HL10</v>
      </c>
      <c r="C303" s="57" t="s">
        <v>827</v>
      </c>
      <c r="D303" s="56" t="s">
        <v>117</v>
      </c>
      <c r="E303" s="56" t="s">
        <v>140</v>
      </c>
      <c r="F303" s="56" t="s">
        <v>12</v>
      </c>
      <c r="G303" s="58" t="s">
        <v>118</v>
      </c>
      <c r="H303" s="56" t="s">
        <v>118</v>
      </c>
      <c r="I303" s="59">
        <v>16897.0</v>
      </c>
      <c r="J303" s="56">
        <f t="shared" si="13"/>
        <v>80</v>
      </c>
      <c r="K303" s="56">
        <v>3.6082555E7</v>
      </c>
      <c r="L303" s="60" t="s">
        <v>828</v>
      </c>
      <c r="M303" s="59"/>
      <c r="N303" s="60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8.75" customHeight="1">
      <c r="A304" s="56">
        <f t="shared" si="1"/>
        <v>301</v>
      </c>
      <c r="B304" s="56" t="str">
        <f t="shared" si="12"/>
        <v>MD13</v>
      </c>
      <c r="C304" s="72" t="s">
        <v>829</v>
      </c>
      <c r="D304" s="58" t="s">
        <v>128</v>
      </c>
      <c r="E304" s="58" t="s">
        <v>40</v>
      </c>
      <c r="F304" s="58" t="s">
        <v>49</v>
      </c>
      <c r="G304" s="58" t="s">
        <v>118</v>
      </c>
      <c r="H304" s="56" t="s">
        <v>118</v>
      </c>
      <c r="I304" s="73">
        <v>39690.0</v>
      </c>
      <c r="J304" s="56">
        <f t="shared" si="13"/>
        <v>17</v>
      </c>
      <c r="K304" s="58">
        <v>3.333867048E9</v>
      </c>
      <c r="L304" s="71" t="s">
        <v>830</v>
      </c>
      <c r="M304" s="83">
        <v>45933.0</v>
      </c>
      <c r="N304" s="71" t="s">
        <v>831</v>
      </c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8.75" hidden="1" customHeight="1">
      <c r="A305" s="56">
        <f t="shared" si="1"/>
        <v>302</v>
      </c>
      <c r="B305" s="56" t="str">
        <f t="shared" si="12"/>
        <v>MB78</v>
      </c>
      <c r="C305" s="57" t="s">
        <v>832</v>
      </c>
      <c r="D305" s="56" t="s">
        <v>128</v>
      </c>
      <c r="E305" s="56" t="s">
        <v>140</v>
      </c>
      <c r="F305" s="56" t="s">
        <v>7</v>
      </c>
      <c r="G305" s="56" t="s">
        <v>118</v>
      </c>
      <c r="H305" s="56" t="s">
        <v>118</v>
      </c>
      <c r="I305" s="59">
        <v>21574.0</v>
      </c>
      <c r="J305" s="56">
        <f t="shared" si="13"/>
        <v>67</v>
      </c>
      <c r="K305" s="56">
        <v>3.317875624E9</v>
      </c>
      <c r="L305" s="60" t="s">
        <v>833</v>
      </c>
      <c r="M305" s="59">
        <v>42979.0</v>
      </c>
      <c r="N305" s="60" t="s">
        <v>834</v>
      </c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8.75" hidden="1" customHeight="1">
      <c r="A306" s="56">
        <f t="shared" si="1"/>
        <v>303</v>
      </c>
      <c r="B306" s="56" t="str">
        <f t="shared" si="12"/>
        <v>MB79</v>
      </c>
      <c r="C306" s="57" t="s">
        <v>835</v>
      </c>
      <c r="D306" s="56" t="s">
        <v>128</v>
      </c>
      <c r="E306" s="56" t="s">
        <v>28</v>
      </c>
      <c r="F306" s="58" t="s">
        <v>7</v>
      </c>
      <c r="G306" s="56" t="s">
        <v>118</v>
      </c>
      <c r="H306" s="56" t="s">
        <v>118</v>
      </c>
      <c r="I306" s="59">
        <v>34231.0</v>
      </c>
      <c r="J306" s="56">
        <f t="shared" si="13"/>
        <v>32</v>
      </c>
      <c r="K306" s="56">
        <v>3.333631107E9</v>
      </c>
      <c r="L306" s="60" t="s">
        <v>836</v>
      </c>
      <c r="M306" s="59">
        <v>43489.0</v>
      </c>
      <c r="N306" s="60" t="s">
        <v>837</v>
      </c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8.75" hidden="1" customHeight="1">
      <c r="A307" s="56">
        <f t="shared" si="1"/>
        <v>304</v>
      </c>
      <c r="B307" s="56" t="str">
        <f t="shared" si="12"/>
        <v>MB80</v>
      </c>
      <c r="C307" s="57" t="s">
        <v>838</v>
      </c>
      <c r="D307" s="56" t="s">
        <v>128</v>
      </c>
      <c r="E307" s="56" t="s">
        <v>22</v>
      </c>
      <c r="F307" s="58" t="s">
        <v>7</v>
      </c>
      <c r="G307" s="56" t="s">
        <v>118</v>
      </c>
      <c r="H307" s="56" t="s">
        <v>118</v>
      </c>
      <c r="I307" s="59">
        <v>33015.0</v>
      </c>
      <c r="J307" s="56">
        <f t="shared" si="13"/>
        <v>35</v>
      </c>
      <c r="K307" s="56">
        <v>3.327039497E9</v>
      </c>
      <c r="L307" s="60" t="s">
        <v>839</v>
      </c>
      <c r="M307" s="59">
        <v>43615.0</v>
      </c>
      <c r="N307" s="60" t="s">
        <v>840</v>
      </c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8.75" customHeight="1">
      <c r="A308" s="56">
        <f t="shared" si="1"/>
        <v>305</v>
      </c>
      <c r="B308" s="56" t="str">
        <f t="shared" si="12"/>
        <v>MV18</v>
      </c>
      <c r="C308" s="57" t="s">
        <v>841</v>
      </c>
      <c r="D308" s="56" t="s">
        <v>128</v>
      </c>
      <c r="E308" s="56" t="s">
        <v>22</v>
      </c>
      <c r="F308" s="56" t="s">
        <v>36</v>
      </c>
      <c r="G308" s="58" t="s">
        <v>118</v>
      </c>
      <c r="H308" s="56" t="s">
        <v>118</v>
      </c>
      <c r="I308" s="59">
        <v>31353.0</v>
      </c>
      <c r="J308" s="56">
        <f t="shared" si="13"/>
        <v>40</v>
      </c>
      <c r="K308" s="56">
        <v>3.322966475E9</v>
      </c>
      <c r="L308" s="60" t="s">
        <v>842</v>
      </c>
      <c r="M308" s="59">
        <v>43488.0</v>
      </c>
      <c r="N308" s="71" t="s">
        <v>843</v>
      </c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8.75" hidden="1" customHeight="1">
      <c r="A309" s="56">
        <f t="shared" si="1"/>
        <v>306</v>
      </c>
      <c r="B309" s="56" t="str">
        <f t="shared" si="12"/>
        <v>HB72</v>
      </c>
      <c r="C309" s="57" t="s">
        <v>844</v>
      </c>
      <c r="D309" s="56" t="s">
        <v>117</v>
      </c>
      <c r="E309" s="56" t="s">
        <v>28</v>
      </c>
      <c r="F309" s="56" t="s">
        <v>7</v>
      </c>
      <c r="G309" s="56" t="s">
        <v>118</v>
      </c>
      <c r="H309" s="56" t="s">
        <v>118</v>
      </c>
      <c r="I309" s="59">
        <v>33152.0</v>
      </c>
      <c r="J309" s="56">
        <f t="shared" si="13"/>
        <v>35</v>
      </c>
      <c r="K309" s="56">
        <v>3.312345223E9</v>
      </c>
      <c r="L309" s="60" t="s">
        <v>845</v>
      </c>
      <c r="M309" s="59">
        <v>43363.0</v>
      </c>
      <c r="N309" s="60" t="s">
        <v>486</v>
      </c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8.75" hidden="1" customHeight="1">
      <c r="A310" s="56">
        <f t="shared" si="1"/>
        <v>307</v>
      </c>
      <c r="B310" s="56" t="str">
        <f t="shared" si="12"/>
        <v>HB73</v>
      </c>
      <c r="C310" s="57" t="s">
        <v>846</v>
      </c>
      <c r="D310" s="56" t="s">
        <v>117</v>
      </c>
      <c r="E310" s="56" t="s">
        <v>40</v>
      </c>
      <c r="F310" s="58" t="s">
        <v>7</v>
      </c>
      <c r="G310" s="56" t="s">
        <v>118</v>
      </c>
      <c r="H310" s="56" t="s">
        <v>118</v>
      </c>
      <c r="I310" s="59">
        <v>35250.0</v>
      </c>
      <c r="J310" s="56">
        <f t="shared" si="13"/>
        <v>29</v>
      </c>
      <c r="K310" s="56">
        <v>3.329614231E9</v>
      </c>
      <c r="L310" s="60" t="s">
        <v>847</v>
      </c>
      <c r="M310" s="59">
        <v>45210.0</v>
      </c>
      <c r="N310" s="60" t="s">
        <v>310</v>
      </c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8.75" hidden="1" customHeight="1">
      <c r="A311" s="56">
        <f t="shared" si="1"/>
        <v>308</v>
      </c>
      <c r="B311" s="56" t="str">
        <f t="shared" si="12"/>
        <v>MB81</v>
      </c>
      <c r="C311" s="57" t="s">
        <v>848</v>
      </c>
      <c r="D311" s="56" t="s">
        <v>128</v>
      </c>
      <c r="E311" s="56" t="s">
        <v>40</v>
      </c>
      <c r="F311" s="56" t="s">
        <v>7</v>
      </c>
      <c r="G311" s="56" t="s">
        <v>165</v>
      </c>
      <c r="H311" s="56" t="s">
        <v>118</v>
      </c>
      <c r="I311" s="59">
        <v>36839.0</v>
      </c>
      <c r="J311" s="56">
        <f t="shared" si="13"/>
        <v>25</v>
      </c>
      <c r="K311" s="56">
        <v>3.317241652E9</v>
      </c>
      <c r="L311" s="60"/>
      <c r="M311" s="59">
        <v>43810.0</v>
      </c>
      <c r="N311" s="60" t="s">
        <v>849</v>
      </c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8.75" hidden="1" customHeight="1">
      <c r="A312" s="56">
        <f t="shared" si="1"/>
        <v>309</v>
      </c>
      <c r="B312" s="56" t="str">
        <f t="shared" si="12"/>
        <v>HB74</v>
      </c>
      <c r="C312" s="57" t="s">
        <v>850</v>
      </c>
      <c r="D312" s="56" t="s">
        <v>117</v>
      </c>
      <c r="E312" s="56" t="s">
        <v>40</v>
      </c>
      <c r="F312" s="56" t="s">
        <v>7</v>
      </c>
      <c r="G312" s="56" t="s">
        <v>118</v>
      </c>
      <c r="H312" s="56" t="s">
        <v>118</v>
      </c>
      <c r="I312" s="59">
        <v>36856.0</v>
      </c>
      <c r="J312" s="56">
        <f t="shared" si="13"/>
        <v>25</v>
      </c>
      <c r="K312" s="56">
        <v>3.319262031E9</v>
      </c>
      <c r="L312" s="60" t="s">
        <v>851</v>
      </c>
      <c r="M312" s="59"/>
      <c r="N312" s="60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8.75" hidden="1" customHeight="1">
      <c r="A313" s="56">
        <f t="shared" si="1"/>
        <v>310</v>
      </c>
      <c r="B313" s="56" t="str">
        <f t="shared" si="12"/>
        <v>HB75</v>
      </c>
      <c r="C313" s="57" t="s">
        <v>852</v>
      </c>
      <c r="D313" s="56" t="s">
        <v>117</v>
      </c>
      <c r="E313" s="56" t="s">
        <v>40</v>
      </c>
      <c r="F313" s="56" t="s">
        <v>7</v>
      </c>
      <c r="G313" s="56" t="s">
        <v>118</v>
      </c>
      <c r="H313" s="56" t="s">
        <v>118</v>
      </c>
      <c r="I313" s="59">
        <v>38487.0</v>
      </c>
      <c r="J313" s="56">
        <f t="shared" si="13"/>
        <v>20</v>
      </c>
      <c r="K313" s="56">
        <v>3.319784853E9</v>
      </c>
      <c r="L313" s="60" t="s">
        <v>853</v>
      </c>
      <c r="M313" s="59">
        <v>43664.0</v>
      </c>
      <c r="N313" s="60" t="s">
        <v>233</v>
      </c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8.75" customHeight="1">
      <c r="A314" s="56">
        <f t="shared" si="1"/>
        <v>311</v>
      </c>
      <c r="B314" s="56" t="str">
        <f>IF(C314="","",D314&amp;$F$761&amp;COUNTIFS($D$4:D314,$D$761,$F$4:F314,$F$761))</f>
        <v>HL14</v>
      </c>
      <c r="C314" s="72" t="s">
        <v>854</v>
      </c>
      <c r="D314" s="58" t="s">
        <v>117</v>
      </c>
      <c r="E314" s="58" t="s">
        <v>40</v>
      </c>
      <c r="F314" s="58" t="s">
        <v>43</v>
      </c>
      <c r="G314" s="58"/>
      <c r="H314" s="58" t="s">
        <v>118</v>
      </c>
      <c r="I314" s="73">
        <v>39681.0</v>
      </c>
      <c r="J314" s="56">
        <f>IF($C$761="","",DATEDIF(I314,TODAY(),"Y"))</f>
        <v>17</v>
      </c>
      <c r="K314" s="58">
        <v>3.316279723E9</v>
      </c>
      <c r="L314" s="71" t="s">
        <v>855</v>
      </c>
      <c r="M314" s="73">
        <v>45354.0</v>
      </c>
      <c r="N314" s="60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8.75" customHeight="1">
      <c r="A315" s="56"/>
      <c r="B315" s="56" t="str">
        <f t="shared" ref="B315:B337" si="14">IF(C315="","",D315&amp;F315&amp;COUNTIFS($D$4:D315,D315,$F$4:F315,F315))</f>
        <v>HS17</v>
      </c>
      <c r="C315" s="57" t="s">
        <v>856</v>
      </c>
      <c r="D315" s="56" t="s">
        <v>117</v>
      </c>
      <c r="E315" s="56" t="s">
        <v>34</v>
      </c>
      <c r="F315" s="56" t="s">
        <v>43</v>
      </c>
      <c r="G315" s="58" t="s">
        <v>118</v>
      </c>
      <c r="H315" s="56" t="s">
        <v>118</v>
      </c>
      <c r="I315" s="59">
        <v>16232.0</v>
      </c>
      <c r="J315" s="56">
        <f t="shared" ref="J315:J321" si="15">IF(C315="","",DATEDIF(I315,TODAY(),"Y"))</f>
        <v>81</v>
      </c>
      <c r="K315" s="56">
        <v>3.329216786E9</v>
      </c>
      <c r="L315" s="60" t="s">
        <v>857</v>
      </c>
      <c r="M315" s="59">
        <v>44621.0</v>
      </c>
      <c r="N315" s="71" t="s">
        <v>858</v>
      </c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8.75" hidden="1" customHeight="1">
      <c r="A316" s="56">
        <f t="shared" ref="A316:A541" si="16">IF(D316="","",COUNTA($D$4:$D316))</f>
        <v>313</v>
      </c>
      <c r="B316" s="56" t="str">
        <f t="shared" si="14"/>
        <v>MB82</v>
      </c>
      <c r="C316" s="57" t="s">
        <v>859</v>
      </c>
      <c r="D316" s="56" t="s">
        <v>128</v>
      </c>
      <c r="E316" s="56" t="s">
        <v>40</v>
      </c>
      <c r="F316" s="56" t="s">
        <v>7</v>
      </c>
      <c r="G316" s="56" t="s">
        <v>118</v>
      </c>
      <c r="H316" s="56" t="s">
        <v>118</v>
      </c>
      <c r="I316" s="59">
        <v>39732.0</v>
      </c>
      <c r="J316" s="56">
        <f t="shared" si="15"/>
        <v>17</v>
      </c>
      <c r="K316" s="56"/>
      <c r="L316" s="60" t="s">
        <v>860</v>
      </c>
      <c r="M316" s="59">
        <v>44986.0</v>
      </c>
      <c r="N316" s="60" t="s">
        <v>235</v>
      </c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8.75" hidden="1" customHeight="1">
      <c r="A317" s="56">
        <f t="shared" si="16"/>
        <v>314</v>
      </c>
      <c r="B317" s="56" t="str">
        <f t="shared" si="14"/>
        <v>MB83</v>
      </c>
      <c r="C317" s="57" t="s">
        <v>859</v>
      </c>
      <c r="D317" s="56" t="s">
        <v>128</v>
      </c>
      <c r="E317" s="56" t="s">
        <v>40</v>
      </c>
      <c r="F317" s="58" t="s">
        <v>7</v>
      </c>
      <c r="G317" s="56" t="s">
        <v>118</v>
      </c>
      <c r="H317" s="56" t="s">
        <v>118</v>
      </c>
      <c r="I317" s="59">
        <v>39732.0</v>
      </c>
      <c r="J317" s="56">
        <f t="shared" si="15"/>
        <v>17</v>
      </c>
      <c r="K317" s="56">
        <v>3.330244538E9</v>
      </c>
      <c r="L317" s="60" t="s">
        <v>861</v>
      </c>
      <c r="M317" s="59">
        <v>44986.0</v>
      </c>
      <c r="N317" s="60" t="s">
        <v>403</v>
      </c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8.75" hidden="1" customHeight="1">
      <c r="A318" s="56">
        <f t="shared" si="16"/>
        <v>315</v>
      </c>
      <c r="B318" s="56" t="str">
        <f t="shared" si="14"/>
        <v>MB84</v>
      </c>
      <c r="C318" s="57" t="s">
        <v>862</v>
      </c>
      <c r="D318" s="56" t="s">
        <v>128</v>
      </c>
      <c r="E318" s="56" t="s">
        <v>22</v>
      </c>
      <c r="F318" s="56" t="s">
        <v>7</v>
      </c>
      <c r="G318" s="56" t="s">
        <v>118</v>
      </c>
      <c r="H318" s="56" t="s">
        <v>118</v>
      </c>
      <c r="I318" s="59">
        <v>29794.0</v>
      </c>
      <c r="J318" s="56">
        <f t="shared" si="15"/>
        <v>44</v>
      </c>
      <c r="K318" s="56">
        <v>3.316346323E9</v>
      </c>
      <c r="L318" s="60" t="s">
        <v>863</v>
      </c>
      <c r="M318" s="59"/>
      <c r="N318" s="60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8.75" customHeight="1">
      <c r="A319" s="56">
        <f t="shared" si="16"/>
        <v>316</v>
      </c>
      <c r="B319" s="56" t="str">
        <f t="shared" si="14"/>
        <v>HS18</v>
      </c>
      <c r="C319" s="57" t="s">
        <v>864</v>
      </c>
      <c r="D319" s="56" t="s">
        <v>117</v>
      </c>
      <c r="E319" s="56" t="s">
        <v>40</v>
      </c>
      <c r="F319" s="56" t="s">
        <v>43</v>
      </c>
      <c r="G319" s="56"/>
      <c r="H319" s="56" t="s">
        <v>118</v>
      </c>
      <c r="I319" s="59">
        <v>37026.0</v>
      </c>
      <c r="J319" s="56">
        <f t="shared" si="15"/>
        <v>24</v>
      </c>
      <c r="K319" s="56">
        <v>3.331859582E9</v>
      </c>
      <c r="L319" s="60" t="s">
        <v>865</v>
      </c>
      <c r="M319" s="59"/>
      <c r="N319" s="60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8.75" customHeight="1">
      <c r="A320" s="56">
        <f t="shared" si="16"/>
        <v>317</v>
      </c>
      <c r="B320" s="56" t="str">
        <f t="shared" si="14"/>
        <v>MJ26</v>
      </c>
      <c r="C320" s="57" t="s">
        <v>866</v>
      </c>
      <c r="D320" s="56" t="s">
        <v>128</v>
      </c>
      <c r="E320" s="56" t="s">
        <v>34</v>
      </c>
      <c r="F320" s="58" t="s">
        <v>30</v>
      </c>
      <c r="G320" s="56" t="s">
        <v>118</v>
      </c>
      <c r="H320" s="56" t="s">
        <v>118</v>
      </c>
      <c r="I320" s="59">
        <v>25798.0</v>
      </c>
      <c r="J320" s="56">
        <f t="shared" si="15"/>
        <v>55</v>
      </c>
      <c r="K320" s="56">
        <v>3.335761969E9</v>
      </c>
      <c r="L320" s="60" t="s">
        <v>867</v>
      </c>
      <c r="M320" s="59"/>
      <c r="N320" s="71" t="s">
        <v>868</v>
      </c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8.75" hidden="1" customHeight="1">
      <c r="A321" s="56">
        <f t="shared" si="16"/>
        <v>318</v>
      </c>
      <c r="B321" s="56" t="str">
        <f t="shared" si="14"/>
        <v>MB85</v>
      </c>
      <c r="C321" s="57" t="s">
        <v>869</v>
      </c>
      <c r="D321" s="56" t="s">
        <v>128</v>
      </c>
      <c r="E321" s="56" t="s">
        <v>34</v>
      </c>
      <c r="F321" s="56" t="s">
        <v>7</v>
      </c>
      <c r="G321" s="56" t="s">
        <v>118</v>
      </c>
      <c r="H321" s="56" t="s">
        <v>118</v>
      </c>
      <c r="I321" s="59">
        <v>20178.0</v>
      </c>
      <c r="J321" s="56">
        <f t="shared" si="15"/>
        <v>71</v>
      </c>
      <c r="K321" s="56">
        <v>3.311027553E9</v>
      </c>
      <c r="L321" s="60" t="s">
        <v>870</v>
      </c>
      <c r="M321" s="59"/>
      <c r="N321" s="60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8.75" customHeight="1">
      <c r="A322" s="56">
        <f t="shared" si="16"/>
        <v>319</v>
      </c>
      <c r="B322" s="56" t="str">
        <f t="shared" si="14"/>
        <v>MV19</v>
      </c>
      <c r="C322" s="57" t="s">
        <v>871</v>
      </c>
      <c r="D322" s="56" t="s">
        <v>128</v>
      </c>
      <c r="E322" s="56" t="s">
        <v>40</v>
      </c>
      <c r="F322" s="56" t="s">
        <v>36</v>
      </c>
      <c r="G322" s="56"/>
      <c r="H322" s="56" t="s">
        <v>118</v>
      </c>
      <c r="I322" s="59">
        <v>40159.0</v>
      </c>
      <c r="J322" s="56">
        <f>IF($C$761="","",DATEDIF(I322,TODAY(),"Y"))</f>
        <v>16</v>
      </c>
      <c r="K322" s="56"/>
      <c r="L322" s="60" t="s">
        <v>872</v>
      </c>
      <c r="M322" s="59">
        <v>45346.0</v>
      </c>
      <c r="N322" s="60" t="s">
        <v>873</v>
      </c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8.75" customHeight="1">
      <c r="A323" s="43">
        <f t="shared" si="16"/>
        <v>320</v>
      </c>
      <c r="B323" s="43" t="str">
        <f t="shared" si="14"/>
        <v>HV8</v>
      </c>
      <c r="C323" s="55" t="s">
        <v>874</v>
      </c>
      <c r="D323" s="43" t="s">
        <v>117</v>
      </c>
      <c r="E323" s="43" t="s">
        <v>40</v>
      </c>
      <c r="F323" s="43" t="s">
        <v>36</v>
      </c>
      <c r="G323" s="43"/>
      <c r="H323" s="43" t="s">
        <v>118</v>
      </c>
      <c r="I323" s="46">
        <v>39354.0</v>
      </c>
      <c r="J323" s="43">
        <f t="shared" ref="J323:J337" si="17">IF(C323="","",DATEDIF(I323,TODAY(),"Y"))</f>
        <v>18</v>
      </c>
      <c r="K323" s="43"/>
      <c r="L323" s="47" t="s">
        <v>875</v>
      </c>
      <c r="M323" s="46">
        <v>44650.0</v>
      </c>
      <c r="N323" s="47" t="s">
        <v>493</v>
      </c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8.75" hidden="1" customHeight="1">
      <c r="A324" s="56">
        <f t="shared" si="16"/>
        <v>321</v>
      </c>
      <c r="B324" s="56" t="str">
        <f t="shared" si="14"/>
        <v>MB86</v>
      </c>
      <c r="C324" s="57" t="s">
        <v>876</v>
      </c>
      <c r="D324" s="56" t="s">
        <v>128</v>
      </c>
      <c r="E324" s="56" t="s">
        <v>40</v>
      </c>
      <c r="F324" s="56" t="s">
        <v>7</v>
      </c>
      <c r="G324" s="56" t="s">
        <v>118</v>
      </c>
      <c r="H324" s="56" t="s">
        <v>118</v>
      </c>
      <c r="I324" s="59">
        <v>34321.0</v>
      </c>
      <c r="J324" s="56">
        <f t="shared" si="17"/>
        <v>32</v>
      </c>
      <c r="K324" s="56">
        <v>3.317582386E9</v>
      </c>
      <c r="L324" s="60" t="s">
        <v>877</v>
      </c>
      <c r="M324" s="59"/>
      <c r="N324" s="60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8.75" customHeight="1">
      <c r="A325" s="56">
        <f t="shared" si="16"/>
        <v>322</v>
      </c>
      <c r="B325" s="56" t="str">
        <f t="shared" si="14"/>
        <v>HJ7</v>
      </c>
      <c r="C325" s="81" t="s">
        <v>32</v>
      </c>
      <c r="D325" s="56" t="s">
        <v>117</v>
      </c>
      <c r="E325" s="56" t="s">
        <v>22</v>
      </c>
      <c r="F325" s="56" t="s">
        <v>30</v>
      </c>
      <c r="G325" s="56"/>
      <c r="H325" s="56" t="s">
        <v>118</v>
      </c>
      <c r="I325" s="59">
        <v>29134.0</v>
      </c>
      <c r="J325" s="56">
        <f t="shared" si="17"/>
        <v>46</v>
      </c>
      <c r="K325" s="56">
        <v>3.311504346E9</v>
      </c>
      <c r="L325" s="60" t="s">
        <v>878</v>
      </c>
      <c r="M325" s="59"/>
      <c r="N325" s="60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8.75" hidden="1" customHeight="1">
      <c r="A326" s="56">
        <f t="shared" si="16"/>
        <v>323</v>
      </c>
      <c r="B326" s="56" t="str">
        <f t="shared" si="14"/>
        <v>HB76</v>
      </c>
      <c r="C326" s="57" t="s">
        <v>879</v>
      </c>
      <c r="D326" s="56" t="s">
        <v>117</v>
      </c>
      <c r="E326" s="56" t="s">
        <v>40</v>
      </c>
      <c r="F326" s="56" t="s">
        <v>7</v>
      </c>
      <c r="G326" s="56" t="s">
        <v>118</v>
      </c>
      <c r="H326" s="56" t="s">
        <v>118</v>
      </c>
      <c r="I326" s="59">
        <v>37975.0</v>
      </c>
      <c r="J326" s="56">
        <f t="shared" si="17"/>
        <v>22</v>
      </c>
      <c r="K326" s="56"/>
      <c r="L326" s="60" t="s">
        <v>880</v>
      </c>
      <c r="M326" s="59">
        <v>43203.0</v>
      </c>
      <c r="N326" s="60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8.75" hidden="1" customHeight="1">
      <c r="A327" s="56">
        <f t="shared" si="16"/>
        <v>324</v>
      </c>
      <c r="B327" s="56" t="str">
        <f t="shared" si="14"/>
        <v>HB77</v>
      </c>
      <c r="C327" s="57" t="s">
        <v>881</v>
      </c>
      <c r="D327" s="56" t="s">
        <v>117</v>
      </c>
      <c r="E327" s="56" t="s">
        <v>40</v>
      </c>
      <c r="F327" s="58" t="s">
        <v>7</v>
      </c>
      <c r="G327" s="56" t="s">
        <v>118</v>
      </c>
      <c r="H327" s="56" t="s">
        <v>118</v>
      </c>
      <c r="I327" s="59">
        <v>39191.0</v>
      </c>
      <c r="J327" s="56">
        <f t="shared" si="17"/>
        <v>19</v>
      </c>
      <c r="K327" s="56">
        <v>3.322197141E9</v>
      </c>
      <c r="L327" s="60" t="s">
        <v>882</v>
      </c>
      <c r="M327" s="59">
        <v>44652.0</v>
      </c>
      <c r="N327" s="60" t="s">
        <v>218</v>
      </c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8.75" hidden="1" customHeight="1">
      <c r="A328" s="56">
        <f t="shared" si="16"/>
        <v>325</v>
      </c>
      <c r="B328" s="56" t="str">
        <f t="shared" si="14"/>
        <v>MB87</v>
      </c>
      <c r="C328" s="57" t="s">
        <v>883</v>
      </c>
      <c r="D328" s="56" t="s">
        <v>128</v>
      </c>
      <c r="E328" s="56" t="s">
        <v>140</v>
      </c>
      <c r="F328" s="58" t="s">
        <v>7</v>
      </c>
      <c r="G328" s="56" t="s">
        <v>118</v>
      </c>
      <c r="H328" s="56" t="s">
        <v>118</v>
      </c>
      <c r="I328" s="59">
        <v>18697.0</v>
      </c>
      <c r="J328" s="56">
        <f t="shared" si="17"/>
        <v>75</v>
      </c>
      <c r="K328" s="56">
        <v>3.333802663E9</v>
      </c>
      <c r="L328" s="60" t="s">
        <v>884</v>
      </c>
      <c r="M328" s="59"/>
      <c r="N328" s="60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8.75" hidden="1" customHeight="1">
      <c r="A329" s="56">
        <f t="shared" si="16"/>
        <v>326</v>
      </c>
      <c r="B329" s="56" t="str">
        <f t="shared" si="14"/>
        <v>MB88</v>
      </c>
      <c r="C329" s="57" t="s">
        <v>885</v>
      </c>
      <c r="D329" s="56" t="s">
        <v>128</v>
      </c>
      <c r="E329" s="56" t="s">
        <v>40</v>
      </c>
      <c r="F329" s="56" t="s">
        <v>7</v>
      </c>
      <c r="G329" s="56" t="s">
        <v>118</v>
      </c>
      <c r="H329" s="56" t="s">
        <v>118</v>
      </c>
      <c r="I329" s="59">
        <v>37386.0</v>
      </c>
      <c r="J329" s="56">
        <f t="shared" si="17"/>
        <v>23</v>
      </c>
      <c r="K329" s="56">
        <v>3.331026328E9</v>
      </c>
      <c r="L329" s="60" t="s">
        <v>886</v>
      </c>
      <c r="M329" s="59"/>
      <c r="N329" s="60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8.75" customHeight="1">
      <c r="A330" s="43">
        <f t="shared" si="16"/>
        <v>327</v>
      </c>
      <c r="B330" s="43" t="str">
        <f t="shared" si="14"/>
        <v>HV9</v>
      </c>
      <c r="C330" s="55" t="s">
        <v>887</v>
      </c>
      <c r="D330" s="43" t="s">
        <v>117</v>
      </c>
      <c r="E330" s="43" t="s">
        <v>40</v>
      </c>
      <c r="F330" s="43" t="s">
        <v>36</v>
      </c>
      <c r="G330" s="43"/>
      <c r="H330" s="43" t="s">
        <v>118</v>
      </c>
      <c r="I330" s="46">
        <v>38403.0</v>
      </c>
      <c r="J330" s="43">
        <f t="shared" si="17"/>
        <v>21</v>
      </c>
      <c r="K330" s="43"/>
      <c r="L330" s="47" t="s">
        <v>888</v>
      </c>
      <c r="M330" s="46">
        <v>43531.0</v>
      </c>
      <c r="N330" s="47" t="s">
        <v>202</v>
      </c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8.75" customHeight="1">
      <c r="A331" s="56">
        <f t="shared" si="16"/>
        <v>328</v>
      </c>
      <c r="B331" s="56" t="str">
        <f t="shared" si="14"/>
        <v>MD14</v>
      </c>
      <c r="C331" s="72" t="s">
        <v>889</v>
      </c>
      <c r="D331" s="58" t="s">
        <v>128</v>
      </c>
      <c r="E331" s="58" t="s">
        <v>40</v>
      </c>
      <c r="F331" s="58" t="s">
        <v>49</v>
      </c>
      <c r="G331" s="58" t="s">
        <v>118</v>
      </c>
      <c r="H331" s="56" t="s">
        <v>118</v>
      </c>
      <c r="I331" s="73"/>
      <c r="J331" s="56">
        <f t="shared" si="17"/>
        <v>126</v>
      </c>
      <c r="K331" s="58">
        <v>6.80210099E9</v>
      </c>
      <c r="L331" s="71" t="s">
        <v>890</v>
      </c>
      <c r="M331" s="58" t="s">
        <v>891</v>
      </c>
      <c r="N331" s="60" t="s">
        <v>740</v>
      </c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8.75" customHeight="1">
      <c r="A332" s="56">
        <f t="shared" si="16"/>
        <v>329</v>
      </c>
      <c r="B332" s="56" t="str">
        <f t="shared" si="14"/>
        <v>MV20</v>
      </c>
      <c r="C332" s="57" t="s">
        <v>892</v>
      </c>
      <c r="D332" s="56" t="s">
        <v>128</v>
      </c>
      <c r="E332" s="56" t="s">
        <v>140</v>
      </c>
      <c r="F332" s="56" t="s">
        <v>36</v>
      </c>
      <c r="G332" s="56"/>
      <c r="H332" s="56" t="s">
        <v>118</v>
      </c>
      <c r="I332" s="59">
        <v>19398.0</v>
      </c>
      <c r="J332" s="56">
        <f t="shared" si="17"/>
        <v>73</v>
      </c>
      <c r="K332" s="56">
        <v>3.339595905E9</v>
      </c>
      <c r="L332" s="60" t="s">
        <v>893</v>
      </c>
      <c r="M332" s="59"/>
      <c r="N332" s="60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8.75" customHeight="1">
      <c r="A333" s="56">
        <f t="shared" si="16"/>
        <v>330</v>
      </c>
      <c r="B333" s="56" t="str">
        <f t="shared" si="14"/>
        <v>MD15</v>
      </c>
      <c r="C333" s="57" t="s">
        <v>894</v>
      </c>
      <c r="D333" s="56" t="s">
        <v>128</v>
      </c>
      <c r="E333" s="56" t="s">
        <v>140</v>
      </c>
      <c r="F333" s="56" t="s">
        <v>49</v>
      </c>
      <c r="G333" s="56"/>
      <c r="H333" s="56" t="s">
        <v>118</v>
      </c>
      <c r="I333" s="59">
        <v>16935.0</v>
      </c>
      <c r="J333" s="56">
        <f t="shared" si="17"/>
        <v>79</v>
      </c>
      <c r="K333" s="56">
        <v>3.331144916E9</v>
      </c>
      <c r="L333" s="60" t="s">
        <v>895</v>
      </c>
      <c r="M333" s="59"/>
      <c r="N333" s="60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8.75" customHeight="1">
      <c r="A334" s="56">
        <f t="shared" si="16"/>
        <v>331</v>
      </c>
      <c r="B334" s="56" t="str">
        <f t="shared" si="14"/>
        <v>HL11</v>
      </c>
      <c r="C334" s="57" t="s">
        <v>896</v>
      </c>
      <c r="D334" s="56" t="s">
        <v>117</v>
      </c>
      <c r="E334" s="56" t="s">
        <v>22</v>
      </c>
      <c r="F334" s="56" t="s">
        <v>12</v>
      </c>
      <c r="G334" s="56"/>
      <c r="H334" s="56" t="s">
        <v>118</v>
      </c>
      <c r="I334" s="59">
        <v>28879.0</v>
      </c>
      <c r="J334" s="56">
        <f t="shared" si="17"/>
        <v>47</v>
      </c>
      <c r="K334" s="56">
        <v>3.338475744E9</v>
      </c>
      <c r="L334" s="60" t="s">
        <v>897</v>
      </c>
      <c r="M334" s="59"/>
      <c r="N334" s="60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8.75" customHeight="1">
      <c r="A335" s="56">
        <f t="shared" si="16"/>
        <v>332</v>
      </c>
      <c r="B335" s="56" t="str">
        <f t="shared" si="14"/>
        <v>MD16</v>
      </c>
      <c r="C335" s="57" t="s">
        <v>898</v>
      </c>
      <c r="D335" s="56" t="s">
        <v>128</v>
      </c>
      <c r="E335" s="56" t="s">
        <v>34</v>
      </c>
      <c r="F335" s="56" t="s">
        <v>49</v>
      </c>
      <c r="G335" s="58" t="s">
        <v>118</v>
      </c>
      <c r="H335" s="56" t="s">
        <v>118</v>
      </c>
      <c r="I335" s="59">
        <v>15615.0</v>
      </c>
      <c r="J335" s="56">
        <f t="shared" si="17"/>
        <v>83</v>
      </c>
      <c r="K335" s="56">
        <v>3.311822821E9</v>
      </c>
      <c r="L335" s="60" t="s">
        <v>899</v>
      </c>
      <c r="M335" s="59"/>
      <c r="N335" s="71" t="s">
        <v>900</v>
      </c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8.75" hidden="1" customHeight="1">
      <c r="A336" s="56">
        <f t="shared" si="16"/>
        <v>333</v>
      </c>
      <c r="B336" s="56" t="str">
        <f t="shared" si="14"/>
        <v>MB89</v>
      </c>
      <c r="C336" s="57" t="s">
        <v>901</v>
      </c>
      <c r="D336" s="56" t="s">
        <v>128</v>
      </c>
      <c r="E336" s="56" t="s">
        <v>28</v>
      </c>
      <c r="F336" s="56" t="s">
        <v>7</v>
      </c>
      <c r="G336" s="56" t="s">
        <v>118</v>
      </c>
      <c r="H336" s="56" t="s">
        <v>118</v>
      </c>
      <c r="I336" s="59">
        <v>33908.0</v>
      </c>
      <c r="J336" s="56">
        <f t="shared" si="17"/>
        <v>33</v>
      </c>
      <c r="K336" s="56">
        <v>3.322514509E9</v>
      </c>
      <c r="L336" s="60" t="s">
        <v>902</v>
      </c>
      <c r="M336" s="59">
        <v>43437.0</v>
      </c>
      <c r="N336" s="60" t="s">
        <v>546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8.75" hidden="1" customHeight="1">
      <c r="A337" s="56">
        <f t="shared" si="16"/>
        <v>334</v>
      </c>
      <c r="B337" s="56" t="str">
        <f t="shared" si="14"/>
        <v>MB90</v>
      </c>
      <c r="C337" s="57" t="s">
        <v>903</v>
      </c>
      <c r="D337" s="56" t="s">
        <v>128</v>
      </c>
      <c r="E337" s="56" t="s">
        <v>40</v>
      </c>
      <c r="F337" s="56" t="s">
        <v>7</v>
      </c>
      <c r="G337" s="56" t="s">
        <v>118</v>
      </c>
      <c r="H337" s="56" t="s">
        <v>118</v>
      </c>
      <c r="I337" s="59">
        <v>32517.0</v>
      </c>
      <c r="J337" s="56">
        <f t="shared" si="17"/>
        <v>37</v>
      </c>
      <c r="K337" s="56">
        <v>3.318071237E9</v>
      </c>
      <c r="L337" s="60" t="s">
        <v>904</v>
      </c>
      <c r="M337" s="59"/>
      <c r="N337" s="60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8.75" customHeight="1">
      <c r="A338" s="56">
        <f t="shared" si="16"/>
        <v>335</v>
      </c>
      <c r="B338" s="56" t="str">
        <f>IF(C338="","",D338&amp;$F$761&amp;COUNTIFS($D$4:D338,$D$761,$F$4:F338,$F$761))</f>
        <v>ML14</v>
      </c>
      <c r="C338" s="72" t="s">
        <v>905</v>
      </c>
      <c r="D338" s="58" t="s">
        <v>128</v>
      </c>
      <c r="E338" s="58" t="s">
        <v>22</v>
      </c>
      <c r="F338" s="58" t="s">
        <v>30</v>
      </c>
      <c r="G338" s="58"/>
      <c r="H338" s="58" t="s">
        <v>118</v>
      </c>
      <c r="I338" s="73">
        <v>32517.0</v>
      </c>
      <c r="J338" s="56">
        <f>IF($C$761="","",DATEDIF(I338,TODAY(),"Y"))</f>
        <v>37</v>
      </c>
      <c r="K338" s="58">
        <v>3.330621889E9</v>
      </c>
      <c r="L338" s="71" t="s">
        <v>906</v>
      </c>
      <c r="M338" s="73">
        <v>45446.0</v>
      </c>
      <c r="N338" s="71" t="s">
        <v>907</v>
      </c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8.75" customHeight="1">
      <c r="A339" s="56">
        <f t="shared" si="16"/>
        <v>336</v>
      </c>
      <c r="B339" s="56" t="str">
        <f t="shared" ref="B339:B356" si="18">IF(C339="","",D339&amp;F339&amp;COUNTIFS($D$4:D339,D339,$F$4:F339,F339))</f>
        <v>HD6</v>
      </c>
      <c r="C339" s="57" t="s">
        <v>908</v>
      </c>
      <c r="D339" s="56" t="s">
        <v>117</v>
      </c>
      <c r="E339" s="56" t="s">
        <v>22</v>
      </c>
      <c r="F339" s="56" t="s">
        <v>49</v>
      </c>
      <c r="G339" s="56"/>
      <c r="H339" s="56" t="s">
        <v>118</v>
      </c>
      <c r="I339" s="59">
        <v>30906.0</v>
      </c>
      <c r="J339" s="56">
        <f t="shared" ref="J339:J356" si="19">IF(C339="","",DATEDIF(I339,TODAY(),"Y"))</f>
        <v>41</v>
      </c>
      <c r="K339" s="56">
        <v>3.315508408E9</v>
      </c>
      <c r="L339" s="60" t="s">
        <v>812</v>
      </c>
      <c r="M339" s="59">
        <v>42948.0</v>
      </c>
      <c r="N339" s="60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8.75" customHeight="1">
      <c r="A340" s="56">
        <f t="shared" si="16"/>
        <v>337</v>
      </c>
      <c r="B340" s="56" t="str">
        <f t="shared" si="18"/>
        <v>MJ28</v>
      </c>
      <c r="C340" s="72" t="s">
        <v>909</v>
      </c>
      <c r="D340" s="58" t="s">
        <v>128</v>
      </c>
      <c r="E340" s="58" t="s">
        <v>22</v>
      </c>
      <c r="F340" s="58" t="s">
        <v>30</v>
      </c>
      <c r="G340" s="58" t="s">
        <v>118</v>
      </c>
      <c r="H340" s="56" t="s">
        <v>118</v>
      </c>
      <c r="I340" s="73">
        <v>36114.0</v>
      </c>
      <c r="J340" s="56">
        <f t="shared" si="19"/>
        <v>27</v>
      </c>
      <c r="K340" s="58">
        <v>3.325916462E9</v>
      </c>
      <c r="L340" s="71" t="s">
        <v>910</v>
      </c>
      <c r="M340" s="74">
        <v>45560.0</v>
      </c>
      <c r="N340" s="71" t="s">
        <v>911</v>
      </c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8.75" hidden="1" customHeight="1">
      <c r="A341" s="56">
        <f t="shared" si="16"/>
        <v>338</v>
      </c>
      <c r="B341" s="56" t="str">
        <f t="shared" si="18"/>
        <v>MB91</v>
      </c>
      <c r="C341" s="57" t="s">
        <v>912</v>
      </c>
      <c r="D341" s="56" t="s">
        <v>128</v>
      </c>
      <c r="E341" s="56" t="s">
        <v>446</v>
      </c>
      <c r="F341" s="56" t="s">
        <v>7</v>
      </c>
      <c r="G341" s="56" t="s">
        <v>118</v>
      </c>
      <c r="H341" s="56" t="s">
        <v>118</v>
      </c>
      <c r="I341" s="59">
        <v>36114.0</v>
      </c>
      <c r="J341" s="56">
        <f t="shared" si="19"/>
        <v>27</v>
      </c>
      <c r="K341" s="56">
        <v>3.315828956E9</v>
      </c>
      <c r="L341" s="60" t="s">
        <v>913</v>
      </c>
      <c r="M341" s="59"/>
      <c r="N341" s="60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8.75" customHeight="1">
      <c r="A342" s="56">
        <f t="shared" si="16"/>
        <v>339</v>
      </c>
      <c r="B342" s="56" t="str">
        <f t="shared" si="18"/>
        <v>HMi3</v>
      </c>
      <c r="C342" s="57" t="s">
        <v>914</v>
      </c>
      <c r="D342" s="56" t="s">
        <v>117</v>
      </c>
      <c r="E342" s="56" t="s">
        <v>16</v>
      </c>
      <c r="F342" s="56" t="s">
        <v>24</v>
      </c>
      <c r="G342" s="56"/>
      <c r="H342" s="56" t="s">
        <v>118</v>
      </c>
      <c r="I342" s="59">
        <v>18516.0</v>
      </c>
      <c r="J342" s="56">
        <f t="shared" si="19"/>
        <v>75</v>
      </c>
      <c r="K342" s="56">
        <v>3.326790479E9</v>
      </c>
      <c r="L342" s="60" t="s">
        <v>915</v>
      </c>
      <c r="M342" s="59">
        <v>44531.0</v>
      </c>
      <c r="N342" s="60" t="s">
        <v>916</v>
      </c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8.75" hidden="1" customHeight="1">
      <c r="A343" s="56">
        <f t="shared" si="16"/>
        <v>340</v>
      </c>
      <c r="B343" s="56" t="str">
        <f t="shared" si="18"/>
        <v>MB92</v>
      </c>
      <c r="C343" s="57" t="s">
        <v>917</v>
      </c>
      <c r="D343" s="56" t="s">
        <v>128</v>
      </c>
      <c r="E343" s="56" t="s">
        <v>40</v>
      </c>
      <c r="F343" s="56" t="s">
        <v>7</v>
      </c>
      <c r="G343" s="56" t="s">
        <v>118</v>
      </c>
      <c r="H343" s="56" t="s">
        <v>118</v>
      </c>
      <c r="I343" s="59">
        <v>37164.0</v>
      </c>
      <c r="J343" s="56">
        <f t="shared" si="19"/>
        <v>24</v>
      </c>
      <c r="K343" s="56">
        <v>3.6652677E7</v>
      </c>
      <c r="L343" s="60" t="s">
        <v>918</v>
      </c>
      <c r="M343" s="59">
        <v>43663.0</v>
      </c>
      <c r="N343" s="60" t="s">
        <v>512</v>
      </c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8.75" customHeight="1">
      <c r="A344" s="75">
        <f t="shared" si="16"/>
        <v>341</v>
      </c>
      <c r="B344" s="75" t="str">
        <f t="shared" si="18"/>
        <v>MV21</v>
      </c>
      <c r="C344" s="76" t="s">
        <v>919</v>
      </c>
      <c r="D344" s="77" t="s">
        <v>128</v>
      </c>
      <c r="E344" s="77" t="s">
        <v>40</v>
      </c>
      <c r="F344" s="77" t="s">
        <v>36</v>
      </c>
      <c r="G344" s="75" t="s">
        <v>118</v>
      </c>
      <c r="H344" s="75" t="s">
        <v>118</v>
      </c>
      <c r="I344" s="78">
        <v>40332.0</v>
      </c>
      <c r="J344" s="75">
        <f t="shared" si="19"/>
        <v>15</v>
      </c>
      <c r="K344" s="77">
        <v>3.310477396E9</v>
      </c>
      <c r="L344" s="79" t="s">
        <v>920</v>
      </c>
      <c r="M344" s="78">
        <v>45712.0</v>
      </c>
      <c r="N344" s="71" t="s">
        <v>458</v>
      </c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8.75" customHeight="1">
      <c r="A345" s="56">
        <f t="shared" si="16"/>
        <v>342</v>
      </c>
      <c r="B345" s="56" t="str">
        <f t="shared" si="18"/>
        <v>MV22</v>
      </c>
      <c r="C345" s="57" t="s">
        <v>921</v>
      </c>
      <c r="D345" s="56" t="s">
        <v>128</v>
      </c>
      <c r="E345" s="56" t="s">
        <v>40</v>
      </c>
      <c r="F345" s="56" t="s">
        <v>36</v>
      </c>
      <c r="G345" s="58" t="s">
        <v>118</v>
      </c>
      <c r="H345" s="56" t="s">
        <v>118</v>
      </c>
      <c r="I345" s="59">
        <v>39504.0</v>
      </c>
      <c r="J345" s="56">
        <f t="shared" si="19"/>
        <v>18</v>
      </c>
      <c r="K345" s="56">
        <v>3.325214476E9</v>
      </c>
      <c r="L345" s="60" t="s">
        <v>922</v>
      </c>
      <c r="M345" s="59">
        <v>44677.0</v>
      </c>
      <c r="N345" s="71" t="s">
        <v>923</v>
      </c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8.75" hidden="1" customHeight="1">
      <c r="A346" s="56">
        <f t="shared" si="16"/>
        <v>343</v>
      </c>
      <c r="B346" s="56" t="str">
        <f t="shared" si="18"/>
        <v>HB78</v>
      </c>
      <c r="C346" s="57" t="s">
        <v>924</v>
      </c>
      <c r="D346" s="56" t="s">
        <v>117</v>
      </c>
      <c r="E346" s="56" t="s">
        <v>40</v>
      </c>
      <c r="F346" s="58" t="s">
        <v>7</v>
      </c>
      <c r="G346" s="56" t="s">
        <v>118</v>
      </c>
      <c r="H346" s="56" t="s">
        <v>118</v>
      </c>
      <c r="I346" s="59">
        <v>37713.0</v>
      </c>
      <c r="J346" s="56">
        <f t="shared" si="19"/>
        <v>23</v>
      </c>
      <c r="K346" s="56">
        <v>3.319916428E9</v>
      </c>
      <c r="L346" s="60" t="s">
        <v>925</v>
      </c>
      <c r="M346" s="59"/>
      <c r="N346" s="60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8.75" hidden="1" customHeight="1">
      <c r="A347" s="56">
        <f t="shared" si="16"/>
        <v>344</v>
      </c>
      <c r="B347" s="56" t="str">
        <f t="shared" si="18"/>
        <v>HB79</v>
      </c>
      <c r="C347" s="57" t="s">
        <v>926</v>
      </c>
      <c r="D347" s="56" t="s">
        <v>117</v>
      </c>
      <c r="E347" s="56" t="s">
        <v>22</v>
      </c>
      <c r="F347" s="56" t="s">
        <v>7</v>
      </c>
      <c r="G347" s="56" t="s">
        <v>118</v>
      </c>
      <c r="H347" s="56" t="s">
        <v>118</v>
      </c>
      <c r="I347" s="59">
        <v>27307.0</v>
      </c>
      <c r="J347" s="56">
        <f t="shared" si="19"/>
        <v>51</v>
      </c>
      <c r="K347" s="56" t="s">
        <v>927</v>
      </c>
      <c r="L347" s="60" t="s">
        <v>925</v>
      </c>
      <c r="M347" s="59">
        <v>42698.0</v>
      </c>
      <c r="N347" s="60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8.75" hidden="1" customHeight="1">
      <c r="A348" s="56">
        <f t="shared" si="16"/>
        <v>345</v>
      </c>
      <c r="B348" s="56" t="str">
        <f t="shared" si="18"/>
        <v>HB80</v>
      </c>
      <c r="C348" s="57" t="s">
        <v>928</v>
      </c>
      <c r="D348" s="56" t="s">
        <v>117</v>
      </c>
      <c r="E348" s="56" t="s">
        <v>40</v>
      </c>
      <c r="F348" s="58" t="s">
        <v>7</v>
      </c>
      <c r="G348" s="56" t="s">
        <v>118</v>
      </c>
      <c r="H348" s="56" t="s">
        <v>118</v>
      </c>
      <c r="I348" s="59">
        <v>37653.0</v>
      </c>
      <c r="J348" s="56">
        <f t="shared" si="19"/>
        <v>23</v>
      </c>
      <c r="K348" s="56">
        <v>3.313247563E9</v>
      </c>
      <c r="L348" s="60" t="s">
        <v>929</v>
      </c>
      <c r="M348" s="59"/>
      <c r="N348" s="60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8.75" hidden="1" customHeight="1">
      <c r="A349" s="56">
        <f t="shared" si="16"/>
        <v>346</v>
      </c>
      <c r="B349" s="56" t="str">
        <f t="shared" si="18"/>
        <v>MB93</v>
      </c>
      <c r="C349" s="57" t="s">
        <v>930</v>
      </c>
      <c r="D349" s="56" t="s">
        <v>128</v>
      </c>
      <c r="E349" s="56" t="s">
        <v>22</v>
      </c>
      <c r="F349" s="56" t="s">
        <v>7</v>
      </c>
      <c r="G349" s="56" t="s">
        <v>118</v>
      </c>
      <c r="H349" s="56" t="s">
        <v>118</v>
      </c>
      <c r="I349" s="59">
        <v>31586.0</v>
      </c>
      <c r="J349" s="56">
        <f t="shared" si="19"/>
        <v>39</v>
      </c>
      <c r="K349" s="56">
        <v>3.31337089E9</v>
      </c>
      <c r="L349" s="60" t="s">
        <v>931</v>
      </c>
      <c r="M349" s="59"/>
      <c r="N349" s="60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8.75" customHeight="1">
      <c r="A350" s="56">
        <f t="shared" si="16"/>
        <v>347</v>
      </c>
      <c r="B350" s="56" t="str">
        <f t="shared" si="18"/>
        <v>MJ29</v>
      </c>
      <c r="C350" s="72" t="s">
        <v>932</v>
      </c>
      <c r="D350" s="56" t="s">
        <v>128</v>
      </c>
      <c r="E350" s="58" t="s">
        <v>22</v>
      </c>
      <c r="F350" s="58" t="s">
        <v>30</v>
      </c>
      <c r="G350" s="56"/>
      <c r="H350" s="56" t="s">
        <v>118</v>
      </c>
      <c r="I350" s="73">
        <v>31334.0</v>
      </c>
      <c r="J350" s="56">
        <f t="shared" si="19"/>
        <v>40</v>
      </c>
      <c r="K350" s="58">
        <v>3.3196393998E10</v>
      </c>
      <c r="L350" s="71" t="s">
        <v>933</v>
      </c>
      <c r="M350" s="73">
        <v>45511.0</v>
      </c>
      <c r="N350" s="71" t="s">
        <v>934</v>
      </c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8.75" hidden="1" customHeight="1">
      <c r="A351" s="56">
        <f t="shared" si="16"/>
        <v>348</v>
      </c>
      <c r="B351" s="56" t="str">
        <f t="shared" si="18"/>
        <v>HB81</v>
      </c>
      <c r="C351" s="57" t="s">
        <v>935</v>
      </c>
      <c r="D351" s="56" t="s">
        <v>117</v>
      </c>
      <c r="E351" s="56" t="s">
        <v>40</v>
      </c>
      <c r="F351" s="58" t="s">
        <v>7</v>
      </c>
      <c r="G351" s="56" t="s">
        <v>118</v>
      </c>
      <c r="H351" s="56" t="s">
        <v>118</v>
      </c>
      <c r="I351" s="59">
        <v>36865.0</v>
      </c>
      <c r="J351" s="56">
        <f t="shared" si="19"/>
        <v>25</v>
      </c>
      <c r="K351" s="56">
        <v>3.339057472E9</v>
      </c>
      <c r="L351" s="60" t="s">
        <v>936</v>
      </c>
      <c r="M351" s="59">
        <v>44116.0</v>
      </c>
      <c r="N351" s="60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8.75" customHeight="1">
      <c r="A352" s="75">
        <f t="shared" si="16"/>
        <v>349</v>
      </c>
      <c r="B352" s="75" t="str">
        <f t="shared" si="18"/>
        <v>HMa7</v>
      </c>
      <c r="C352" s="76" t="s">
        <v>937</v>
      </c>
      <c r="D352" s="77" t="s">
        <v>117</v>
      </c>
      <c r="E352" s="77" t="s">
        <v>28</v>
      </c>
      <c r="F352" s="77" t="s">
        <v>18</v>
      </c>
      <c r="G352" s="77" t="s">
        <v>118</v>
      </c>
      <c r="H352" s="75" t="s">
        <v>118</v>
      </c>
      <c r="I352" s="78">
        <v>35630.0</v>
      </c>
      <c r="J352" s="75">
        <f t="shared" si="19"/>
        <v>28</v>
      </c>
      <c r="K352" s="77">
        <v>3.333213819E9</v>
      </c>
      <c r="L352" s="79" t="s">
        <v>938</v>
      </c>
      <c r="M352" s="80">
        <v>45966.0</v>
      </c>
      <c r="N352" s="71" t="s">
        <v>939</v>
      </c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8.75" customHeight="1">
      <c r="A353" s="56">
        <f t="shared" si="16"/>
        <v>350</v>
      </c>
      <c r="B353" s="56" t="str">
        <f t="shared" si="18"/>
        <v>MS10</v>
      </c>
      <c r="C353" s="72" t="s">
        <v>940</v>
      </c>
      <c r="D353" s="58" t="s">
        <v>128</v>
      </c>
      <c r="E353" s="58" t="s">
        <v>40</v>
      </c>
      <c r="F353" s="58" t="s">
        <v>43</v>
      </c>
      <c r="G353" s="58"/>
      <c r="H353" s="56" t="s">
        <v>118</v>
      </c>
      <c r="I353" s="73">
        <v>39855.0</v>
      </c>
      <c r="J353" s="56">
        <f t="shared" si="19"/>
        <v>17</v>
      </c>
      <c r="K353" s="58">
        <v>3.326356872E9</v>
      </c>
      <c r="L353" s="71" t="s">
        <v>941</v>
      </c>
      <c r="M353" s="82">
        <v>45528.0</v>
      </c>
      <c r="N353" s="71" t="s">
        <v>300</v>
      </c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8.75" hidden="1" customHeight="1">
      <c r="A354" s="56">
        <f t="shared" si="16"/>
        <v>351</v>
      </c>
      <c r="B354" s="56" t="str">
        <f t="shared" si="18"/>
        <v>MB94</v>
      </c>
      <c r="C354" s="57" t="s">
        <v>942</v>
      </c>
      <c r="D354" s="56" t="s">
        <v>128</v>
      </c>
      <c r="E354" s="56" t="s">
        <v>28</v>
      </c>
      <c r="F354" s="56" t="s">
        <v>7</v>
      </c>
      <c r="G354" s="56" t="s">
        <v>118</v>
      </c>
      <c r="H354" s="56" t="s">
        <v>118</v>
      </c>
      <c r="I354" s="59">
        <v>34365.0</v>
      </c>
      <c r="J354" s="56">
        <f t="shared" si="19"/>
        <v>32</v>
      </c>
      <c r="K354" s="56">
        <v>5.568934541E9</v>
      </c>
      <c r="L354" s="60" t="s">
        <v>943</v>
      </c>
      <c r="M354" s="59">
        <v>43759.0</v>
      </c>
      <c r="N354" s="60" t="s">
        <v>944</v>
      </c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8.75" customHeight="1">
      <c r="A355" s="56">
        <f t="shared" si="16"/>
        <v>352</v>
      </c>
      <c r="B355" s="56" t="str">
        <f t="shared" si="18"/>
        <v>ML15</v>
      </c>
      <c r="C355" s="57" t="s">
        <v>945</v>
      </c>
      <c r="D355" s="56" t="s">
        <v>128</v>
      </c>
      <c r="E355" s="56" t="s">
        <v>34</v>
      </c>
      <c r="F355" s="56" t="s">
        <v>12</v>
      </c>
      <c r="G355" s="58" t="s">
        <v>118</v>
      </c>
      <c r="H355" s="56" t="s">
        <v>118</v>
      </c>
      <c r="I355" s="59">
        <v>18057.0</v>
      </c>
      <c r="J355" s="56">
        <f t="shared" si="19"/>
        <v>76</v>
      </c>
      <c r="K355" s="56">
        <v>3.315548419E9</v>
      </c>
      <c r="L355" s="60" t="s">
        <v>946</v>
      </c>
      <c r="M355" s="59"/>
      <c r="N355" s="60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8.75" customHeight="1">
      <c r="A356" s="56">
        <f t="shared" si="16"/>
        <v>353</v>
      </c>
      <c r="B356" s="56" t="str">
        <f t="shared" si="18"/>
        <v>MV23</v>
      </c>
      <c r="C356" s="72" t="s">
        <v>947</v>
      </c>
      <c r="D356" s="56" t="s">
        <v>128</v>
      </c>
      <c r="E356" s="58" t="s">
        <v>40</v>
      </c>
      <c r="F356" s="56" t="s">
        <v>36</v>
      </c>
      <c r="G356" s="56" t="s">
        <v>118</v>
      </c>
      <c r="H356" s="56" t="s">
        <v>118</v>
      </c>
      <c r="I356" s="73">
        <v>40493.0</v>
      </c>
      <c r="J356" s="56">
        <f t="shared" si="19"/>
        <v>15</v>
      </c>
      <c r="K356" s="58">
        <v>3.322165806E9</v>
      </c>
      <c r="L356" s="71" t="s">
        <v>948</v>
      </c>
      <c r="M356" s="85">
        <v>45681.0</v>
      </c>
      <c r="N356" s="71" t="s">
        <v>171</v>
      </c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8.75" hidden="1" customHeight="1">
      <c r="A357" s="56">
        <f t="shared" si="16"/>
        <v>354</v>
      </c>
      <c r="B357" s="56" t="str">
        <f>IF(C357="","",D357&amp;$F$761&amp;COUNTIFS($D$4:D357,$D$761,$F$4:F357,$F$761))</f>
        <v>ML15</v>
      </c>
      <c r="C357" s="72" t="s">
        <v>949</v>
      </c>
      <c r="D357" s="58" t="s">
        <v>128</v>
      </c>
      <c r="E357" s="58" t="s">
        <v>34</v>
      </c>
      <c r="F357" s="58" t="s">
        <v>7</v>
      </c>
      <c r="G357" s="58" t="s">
        <v>118</v>
      </c>
      <c r="H357" s="58" t="s">
        <v>118</v>
      </c>
      <c r="I357" s="73">
        <v>35001.0</v>
      </c>
      <c r="J357" s="56">
        <f>IF($C$761="","",DATEDIF(I357,TODAY(),"Y"))</f>
        <v>30</v>
      </c>
      <c r="K357" s="58">
        <v>3.32715026E9</v>
      </c>
      <c r="L357" s="71" t="s">
        <v>950</v>
      </c>
      <c r="M357" s="73">
        <v>44572.0</v>
      </c>
      <c r="N357" s="71" t="s">
        <v>951</v>
      </c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8.75" customHeight="1">
      <c r="A358" s="56">
        <f t="shared" si="16"/>
        <v>355</v>
      </c>
      <c r="B358" s="56" t="str">
        <f t="shared" ref="B358:B383" si="20">IF(C358="","",D358&amp;F358&amp;COUNTIFS($D$4:D358,D358,$F$4:F358,F358))</f>
        <v>MS11</v>
      </c>
      <c r="C358" s="86" t="s">
        <v>952</v>
      </c>
      <c r="D358" s="56" t="s">
        <v>128</v>
      </c>
      <c r="E358" s="58" t="s">
        <v>40</v>
      </c>
      <c r="F358" s="58" t="s">
        <v>43</v>
      </c>
      <c r="G358" s="58" t="s">
        <v>118</v>
      </c>
      <c r="H358" s="56" t="s">
        <v>118</v>
      </c>
      <c r="I358" s="73">
        <v>36781.0</v>
      </c>
      <c r="J358" s="56">
        <f t="shared" ref="J358:J372" si="21">IF(C358="","",DATEDIF(I358,TODAY(),"Y"))</f>
        <v>25</v>
      </c>
      <c r="K358" s="58">
        <v>3.325639762E9</v>
      </c>
      <c r="L358" s="71" t="s">
        <v>953</v>
      </c>
      <c r="M358" s="73">
        <v>45779.0</v>
      </c>
      <c r="N358" s="71" t="s">
        <v>954</v>
      </c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8.75" hidden="1" customHeight="1">
      <c r="A359" s="56">
        <f t="shared" si="16"/>
        <v>356</v>
      </c>
      <c r="B359" s="56" t="str">
        <f t="shared" si="20"/>
        <v>HB82</v>
      </c>
      <c r="C359" s="57" t="s">
        <v>955</v>
      </c>
      <c r="D359" s="56" t="s">
        <v>117</v>
      </c>
      <c r="E359" s="56" t="s">
        <v>140</v>
      </c>
      <c r="F359" s="58" t="s">
        <v>7</v>
      </c>
      <c r="G359" s="56" t="s">
        <v>118</v>
      </c>
      <c r="H359" s="56" t="s">
        <v>118</v>
      </c>
      <c r="I359" s="59">
        <v>18631.0</v>
      </c>
      <c r="J359" s="56">
        <f t="shared" si="21"/>
        <v>75</v>
      </c>
      <c r="K359" s="56">
        <v>3.317768473E9</v>
      </c>
      <c r="L359" s="60" t="s">
        <v>956</v>
      </c>
      <c r="M359" s="59"/>
      <c r="N359" s="6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8.75" hidden="1" customHeight="1">
      <c r="A360" s="56">
        <f t="shared" si="16"/>
        <v>357</v>
      </c>
      <c r="B360" s="56" t="str">
        <f t="shared" si="20"/>
        <v>HB83</v>
      </c>
      <c r="C360" s="57" t="s">
        <v>957</v>
      </c>
      <c r="D360" s="56" t="s">
        <v>117</v>
      </c>
      <c r="E360" s="56" t="s">
        <v>40</v>
      </c>
      <c r="F360" s="58" t="s">
        <v>7</v>
      </c>
      <c r="G360" s="56" t="s">
        <v>118</v>
      </c>
      <c r="H360" s="56" t="s">
        <v>118</v>
      </c>
      <c r="I360" s="59">
        <v>38557.0</v>
      </c>
      <c r="J360" s="56">
        <f t="shared" si="21"/>
        <v>20</v>
      </c>
      <c r="K360" s="56"/>
      <c r="L360" s="60" t="s">
        <v>958</v>
      </c>
      <c r="M360" s="59">
        <v>43643.0</v>
      </c>
      <c r="N360" s="60" t="s">
        <v>202</v>
      </c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8.75" hidden="1" customHeight="1">
      <c r="A361" s="56">
        <f t="shared" si="16"/>
        <v>358</v>
      </c>
      <c r="B361" s="56" t="str">
        <f t="shared" si="20"/>
        <v>MB96</v>
      </c>
      <c r="C361" s="57" t="s">
        <v>959</v>
      </c>
      <c r="D361" s="56" t="s">
        <v>128</v>
      </c>
      <c r="E361" s="56" t="s">
        <v>22</v>
      </c>
      <c r="F361" s="58" t="s">
        <v>7</v>
      </c>
      <c r="G361" s="56" t="s">
        <v>118</v>
      </c>
      <c r="H361" s="56" t="s">
        <v>118</v>
      </c>
      <c r="I361" s="59">
        <v>32707.0</v>
      </c>
      <c r="J361" s="56">
        <f t="shared" si="21"/>
        <v>36</v>
      </c>
      <c r="K361" s="56">
        <v>3.318829729E9</v>
      </c>
      <c r="L361" s="60" t="s">
        <v>960</v>
      </c>
      <c r="M361" s="59"/>
      <c r="N361" s="6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8.75" customHeight="1">
      <c r="A362" s="56">
        <f t="shared" si="16"/>
        <v>359</v>
      </c>
      <c r="B362" s="56" t="str">
        <f t="shared" si="20"/>
        <v>MS12</v>
      </c>
      <c r="C362" s="57" t="s">
        <v>961</v>
      </c>
      <c r="D362" s="56" t="s">
        <v>128</v>
      </c>
      <c r="E362" s="56" t="s">
        <v>34</v>
      </c>
      <c r="F362" s="56" t="s">
        <v>43</v>
      </c>
      <c r="G362" s="56"/>
      <c r="H362" s="56" t="s">
        <v>118</v>
      </c>
      <c r="I362" s="59">
        <v>21835.0</v>
      </c>
      <c r="J362" s="56">
        <f t="shared" si="21"/>
        <v>66</v>
      </c>
      <c r="K362" s="56">
        <v>3.312616735E9</v>
      </c>
      <c r="L362" s="60" t="s">
        <v>962</v>
      </c>
      <c r="M362" s="59">
        <v>42948.0</v>
      </c>
      <c r="N362" s="6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8.75" hidden="1" customHeight="1">
      <c r="A363" s="56">
        <f t="shared" si="16"/>
        <v>360</v>
      </c>
      <c r="B363" s="56" t="str">
        <f t="shared" si="20"/>
        <v>HB84</v>
      </c>
      <c r="C363" s="57" t="s">
        <v>963</v>
      </c>
      <c r="D363" s="56" t="s">
        <v>117</v>
      </c>
      <c r="E363" s="56" t="s">
        <v>34</v>
      </c>
      <c r="F363" s="56" t="s">
        <v>7</v>
      </c>
      <c r="G363" s="56" t="s">
        <v>118</v>
      </c>
      <c r="H363" s="56" t="s">
        <v>118</v>
      </c>
      <c r="I363" s="59">
        <v>29982.0</v>
      </c>
      <c r="J363" s="56">
        <f t="shared" si="21"/>
        <v>44</v>
      </c>
      <c r="K363" s="56">
        <v>3.32536964E9</v>
      </c>
      <c r="L363" s="60" t="s">
        <v>373</v>
      </c>
      <c r="M363" s="59">
        <v>43745.0</v>
      </c>
      <c r="N363" s="60" t="s">
        <v>964</v>
      </c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8.75" hidden="1" customHeight="1">
      <c r="A364" s="56">
        <f t="shared" si="16"/>
        <v>361</v>
      </c>
      <c r="B364" s="56" t="str">
        <f t="shared" si="20"/>
        <v>HB85</v>
      </c>
      <c r="C364" s="57" t="s">
        <v>965</v>
      </c>
      <c r="D364" s="56" t="s">
        <v>117</v>
      </c>
      <c r="E364" s="56" t="s">
        <v>40</v>
      </c>
      <c r="F364" s="58" t="s">
        <v>7</v>
      </c>
      <c r="G364" s="56"/>
      <c r="H364" s="56" t="s">
        <v>118</v>
      </c>
      <c r="I364" s="59">
        <v>39507.0</v>
      </c>
      <c r="J364" s="56">
        <f t="shared" si="21"/>
        <v>18</v>
      </c>
      <c r="K364" s="56"/>
      <c r="L364" s="60"/>
      <c r="M364" s="59">
        <v>44650.0</v>
      </c>
      <c r="N364" s="60" t="s">
        <v>493</v>
      </c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8.75" hidden="1" customHeight="1">
      <c r="A365" s="56">
        <f t="shared" si="16"/>
        <v>362</v>
      </c>
      <c r="B365" s="56" t="str">
        <f t="shared" si="20"/>
        <v>HB86</v>
      </c>
      <c r="C365" s="57" t="s">
        <v>966</v>
      </c>
      <c r="D365" s="56" t="s">
        <v>117</v>
      </c>
      <c r="E365" s="56" t="s">
        <v>34</v>
      </c>
      <c r="F365" s="58" t="s">
        <v>7</v>
      </c>
      <c r="G365" s="56"/>
      <c r="H365" s="56" t="s">
        <v>118</v>
      </c>
      <c r="I365" s="59">
        <v>29939.0</v>
      </c>
      <c r="J365" s="56">
        <f t="shared" si="21"/>
        <v>44</v>
      </c>
      <c r="K365" s="56">
        <v>3.33118799E9</v>
      </c>
      <c r="L365" s="60" t="s">
        <v>691</v>
      </c>
      <c r="M365" s="59">
        <v>44310.0</v>
      </c>
      <c r="N365" s="60" t="s">
        <v>467</v>
      </c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8.75" hidden="1" customHeight="1">
      <c r="A366" s="56">
        <f t="shared" si="16"/>
        <v>363</v>
      </c>
      <c r="B366" s="56" t="str">
        <f t="shared" si="20"/>
        <v>MB97</v>
      </c>
      <c r="C366" s="57" t="s">
        <v>967</v>
      </c>
      <c r="D366" s="56" t="s">
        <v>128</v>
      </c>
      <c r="E366" s="56" t="s">
        <v>16</v>
      </c>
      <c r="F366" s="58" t="s">
        <v>7</v>
      </c>
      <c r="G366" s="56" t="s">
        <v>118</v>
      </c>
      <c r="H366" s="56" t="s">
        <v>118</v>
      </c>
      <c r="I366" s="59">
        <v>27451.0</v>
      </c>
      <c r="J366" s="56">
        <f t="shared" si="21"/>
        <v>51</v>
      </c>
      <c r="K366" s="56">
        <v>3.316913707E9</v>
      </c>
      <c r="L366" s="60" t="s">
        <v>968</v>
      </c>
      <c r="M366" s="59">
        <v>44800.0</v>
      </c>
      <c r="N366" s="60" t="s">
        <v>969</v>
      </c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8.75" hidden="1" customHeight="1">
      <c r="A367" s="56">
        <f t="shared" si="16"/>
        <v>364</v>
      </c>
      <c r="B367" s="56" t="str">
        <f t="shared" si="20"/>
        <v>MB98</v>
      </c>
      <c r="C367" s="57" t="s">
        <v>970</v>
      </c>
      <c r="D367" s="56" t="s">
        <v>128</v>
      </c>
      <c r="E367" s="56" t="s">
        <v>40</v>
      </c>
      <c r="F367" s="58" t="s">
        <v>7</v>
      </c>
      <c r="G367" s="56" t="s">
        <v>118</v>
      </c>
      <c r="H367" s="56" t="s">
        <v>118</v>
      </c>
      <c r="I367" s="59">
        <v>38059.0</v>
      </c>
      <c r="J367" s="56">
        <f t="shared" si="21"/>
        <v>22</v>
      </c>
      <c r="K367" s="56" t="s">
        <v>570</v>
      </c>
      <c r="L367" s="60" t="s">
        <v>971</v>
      </c>
      <c r="M367" s="59">
        <v>43209.0</v>
      </c>
      <c r="N367" s="6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8.75" customHeight="1">
      <c r="A368" s="56">
        <f t="shared" si="16"/>
        <v>365</v>
      </c>
      <c r="B368" s="56" t="str">
        <f t="shared" si="20"/>
        <v>MV24</v>
      </c>
      <c r="C368" s="57" t="s">
        <v>972</v>
      </c>
      <c r="D368" s="56" t="s">
        <v>128</v>
      </c>
      <c r="E368" s="56" t="s">
        <v>40</v>
      </c>
      <c r="F368" s="56" t="s">
        <v>36</v>
      </c>
      <c r="G368" s="56"/>
      <c r="H368" s="56" t="s">
        <v>118</v>
      </c>
      <c r="I368" s="59">
        <v>20693.0</v>
      </c>
      <c r="J368" s="56">
        <f t="shared" si="21"/>
        <v>69</v>
      </c>
      <c r="K368" s="56">
        <v>3.331064444E9</v>
      </c>
      <c r="L368" s="60" t="s">
        <v>973</v>
      </c>
      <c r="M368" s="59">
        <v>42979.0</v>
      </c>
      <c r="N368" s="6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8.75" customHeight="1">
      <c r="A369" s="56">
        <f t="shared" si="16"/>
        <v>366</v>
      </c>
      <c r="B369" s="56" t="str">
        <f t="shared" si="20"/>
        <v>HMa8</v>
      </c>
      <c r="C369" s="57" t="s">
        <v>974</v>
      </c>
      <c r="D369" s="56" t="s">
        <v>117</v>
      </c>
      <c r="E369" s="56" t="s">
        <v>140</v>
      </c>
      <c r="F369" s="56" t="s">
        <v>18</v>
      </c>
      <c r="G369" s="58" t="s">
        <v>118</v>
      </c>
      <c r="H369" s="56" t="s">
        <v>118</v>
      </c>
      <c r="I369" s="59">
        <v>16496.0</v>
      </c>
      <c r="J369" s="56">
        <f t="shared" si="21"/>
        <v>81</v>
      </c>
      <c r="K369" s="56">
        <v>3.311172766E9</v>
      </c>
      <c r="L369" s="60" t="s">
        <v>975</v>
      </c>
      <c r="M369" s="59"/>
      <c r="N369" s="60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8.75" hidden="1" customHeight="1">
      <c r="A370" s="56">
        <f t="shared" si="16"/>
        <v>367</v>
      </c>
      <c r="B370" s="56" t="str">
        <f t="shared" si="20"/>
        <v>HB87</v>
      </c>
      <c r="C370" s="57" t="s">
        <v>976</v>
      </c>
      <c r="D370" s="56" t="s">
        <v>117</v>
      </c>
      <c r="E370" s="56" t="s">
        <v>40</v>
      </c>
      <c r="F370" s="58" t="s">
        <v>7</v>
      </c>
      <c r="G370" s="56" t="s">
        <v>118</v>
      </c>
      <c r="H370" s="56" t="s">
        <v>118</v>
      </c>
      <c r="I370" s="59">
        <v>40176.0</v>
      </c>
      <c r="J370" s="56">
        <f t="shared" si="21"/>
        <v>16</v>
      </c>
      <c r="K370" s="56">
        <v>3.33527491E8</v>
      </c>
      <c r="L370" s="60" t="s">
        <v>977</v>
      </c>
      <c r="M370" s="59">
        <v>44619.0</v>
      </c>
      <c r="N370" s="60" t="s">
        <v>543</v>
      </c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8.75" customHeight="1">
      <c r="A371" s="56">
        <f t="shared" si="16"/>
        <v>368</v>
      </c>
      <c r="B371" s="56" t="str">
        <f t="shared" si="20"/>
        <v>ML16</v>
      </c>
      <c r="C371" s="72" t="s">
        <v>978</v>
      </c>
      <c r="D371" s="58" t="s">
        <v>128</v>
      </c>
      <c r="E371" s="58" t="s">
        <v>40</v>
      </c>
      <c r="F371" s="58" t="s">
        <v>12</v>
      </c>
      <c r="G371" s="58" t="s">
        <v>118</v>
      </c>
      <c r="H371" s="56" t="s">
        <v>118</v>
      </c>
      <c r="I371" s="73">
        <v>40310.0</v>
      </c>
      <c r="J371" s="56">
        <f t="shared" si="21"/>
        <v>15</v>
      </c>
      <c r="K371" s="58">
        <v>2.721802145E9</v>
      </c>
      <c r="L371" s="71" t="s">
        <v>979</v>
      </c>
      <c r="M371" s="73">
        <v>45698.0</v>
      </c>
      <c r="N371" s="71" t="s">
        <v>439</v>
      </c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8.75" customHeight="1">
      <c r="A372" s="56">
        <f t="shared" si="16"/>
        <v>369</v>
      </c>
      <c r="B372" s="56" t="str">
        <f t="shared" si="20"/>
        <v>HS19</v>
      </c>
      <c r="C372" s="57" t="s">
        <v>980</v>
      </c>
      <c r="D372" s="56" t="s">
        <v>117</v>
      </c>
      <c r="E372" s="56" t="s">
        <v>40</v>
      </c>
      <c r="F372" s="56" t="s">
        <v>43</v>
      </c>
      <c r="G372" s="56"/>
      <c r="H372" s="56" t="s">
        <v>118</v>
      </c>
      <c r="I372" s="59">
        <v>37463.0</v>
      </c>
      <c r="J372" s="56">
        <f t="shared" si="21"/>
        <v>23</v>
      </c>
      <c r="K372" s="56">
        <v>3.321896377E9</v>
      </c>
      <c r="L372" s="60" t="s">
        <v>981</v>
      </c>
      <c r="M372" s="59"/>
      <c r="N372" s="6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8.75" customHeight="1">
      <c r="A373" s="56">
        <f t="shared" si="16"/>
        <v>370</v>
      </c>
      <c r="B373" s="56" t="str">
        <f t="shared" si="20"/>
        <v>HS20</v>
      </c>
      <c r="C373" s="72" t="s">
        <v>982</v>
      </c>
      <c r="D373" s="58" t="s">
        <v>117</v>
      </c>
      <c r="E373" s="58" t="s">
        <v>40</v>
      </c>
      <c r="F373" s="58" t="s">
        <v>43</v>
      </c>
      <c r="G373" s="58"/>
      <c r="H373" s="58" t="s">
        <v>118</v>
      </c>
      <c r="I373" s="73">
        <v>39284.0</v>
      </c>
      <c r="J373" s="56">
        <f>IF($C$761="","",DATEDIF(I373,TODAY(),"Y"))</f>
        <v>18</v>
      </c>
      <c r="K373" s="58">
        <v>3.33015218E9</v>
      </c>
      <c r="L373" s="71" t="s">
        <v>983</v>
      </c>
      <c r="M373" s="73">
        <v>44770.0</v>
      </c>
      <c r="N373" s="71" t="s">
        <v>202</v>
      </c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8.75" customHeight="1">
      <c r="A374" s="56">
        <f t="shared" si="16"/>
        <v>371</v>
      </c>
      <c r="B374" s="56" t="str">
        <f t="shared" si="20"/>
        <v>MMi11</v>
      </c>
      <c r="C374" s="57" t="s">
        <v>984</v>
      </c>
      <c r="D374" s="56" t="s">
        <v>128</v>
      </c>
      <c r="E374" s="56" t="s">
        <v>22</v>
      </c>
      <c r="F374" s="56" t="s">
        <v>24</v>
      </c>
      <c r="G374" s="56"/>
      <c r="H374" s="56" t="s">
        <v>118</v>
      </c>
      <c r="I374" s="59">
        <v>27560.0</v>
      </c>
      <c r="J374" s="56">
        <f t="shared" ref="J374:J380" si="22">IF(C374="","",DATEDIF(I374,TODAY(),"Y"))</f>
        <v>50</v>
      </c>
      <c r="K374" s="56">
        <v>3.221829823E9</v>
      </c>
      <c r="L374" s="60" t="s">
        <v>411</v>
      </c>
      <c r="M374" s="59">
        <v>44846.0</v>
      </c>
      <c r="N374" s="60" t="s">
        <v>985</v>
      </c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8.75" customHeight="1">
      <c r="A375" s="56">
        <f t="shared" si="16"/>
        <v>372</v>
      </c>
      <c r="B375" s="56" t="str">
        <f t="shared" si="20"/>
        <v>MS13</v>
      </c>
      <c r="C375" s="57" t="s">
        <v>986</v>
      </c>
      <c r="D375" s="56" t="s">
        <v>128</v>
      </c>
      <c r="E375" s="56" t="s">
        <v>34</v>
      </c>
      <c r="F375" s="56" t="s">
        <v>43</v>
      </c>
      <c r="G375" s="58" t="s">
        <v>118</v>
      </c>
      <c r="H375" s="56" t="s">
        <v>118</v>
      </c>
      <c r="I375" s="59">
        <v>22491.0</v>
      </c>
      <c r="J375" s="56">
        <f t="shared" si="22"/>
        <v>64</v>
      </c>
      <c r="K375" s="56">
        <v>3.31961985E9</v>
      </c>
      <c r="L375" s="60" t="s">
        <v>987</v>
      </c>
      <c r="M375" s="59">
        <v>42979.0</v>
      </c>
      <c r="N375" s="71" t="s">
        <v>988</v>
      </c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8.75" customHeight="1">
      <c r="A376" s="56">
        <f t="shared" si="16"/>
        <v>373</v>
      </c>
      <c r="B376" s="56" t="str">
        <f t="shared" si="20"/>
        <v>MS14</v>
      </c>
      <c r="C376" s="57" t="s">
        <v>989</v>
      </c>
      <c r="D376" s="56" t="s">
        <v>128</v>
      </c>
      <c r="E376" s="56" t="s">
        <v>16</v>
      </c>
      <c r="F376" s="56" t="s">
        <v>43</v>
      </c>
      <c r="G376" s="58" t="s">
        <v>118</v>
      </c>
      <c r="H376" s="56" t="s">
        <v>118</v>
      </c>
      <c r="I376" s="59">
        <v>14848.0</v>
      </c>
      <c r="J376" s="56">
        <f t="shared" si="22"/>
        <v>85</v>
      </c>
      <c r="K376" s="56">
        <v>3.320749117E9</v>
      </c>
      <c r="L376" s="60" t="s">
        <v>990</v>
      </c>
      <c r="M376" s="59">
        <v>43184.0</v>
      </c>
      <c r="N376" s="71" t="s">
        <v>988</v>
      </c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8.75" customHeight="1">
      <c r="A377" s="56">
        <f t="shared" si="16"/>
        <v>374</v>
      </c>
      <c r="B377" s="56" t="str">
        <f t="shared" si="20"/>
        <v>HJ8</v>
      </c>
      <c r="C377" s="72" t="s">
        <v>991</v>
      </c>
      <c r="D377" s="58" t="s">
        <v>117</v>
      </c>
      <c r="E377" s="58" t="s">
        <v>40</v>
      </c>
      <c r="F377" s="58" t="s">
        <v>30</v>
      </c>
      <c r="G377" s="58"/>
      <c r="H377" s="56" t="s">
        <v>118</v>
      </c>
      <c r="I377" s="73">
        <v>40263.0</v>
      </c>
      <c r="J377" s="56">
        <f t="shared" si="22"/>
        <v>16</v>
      </c>
      <c r="K377" s="58">
        <v>3.313580047E9</v>
      </c>
      <c r="L377" s="71" t="s">
        <v>992</v>
      </c>
      <c r="M377" s="74">
        <v>45594.0</v>
      </c>
      <c r="N377" s="71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8.75" hidden="1" customHeight="1">
      <c r="A378" s="56">
        <f t="shared" si="16"/>
        <v>375</v>
      </c>
      <c r="B378" s="56" t="str">
        <f t="shared" si="20"/>
        <v>HB88</v>
      </c>
      <c r="C378" s="57" t="s">
        <v>993</v>
      </c>
      <c r="D378" s="56" t="s">
        <v>117</v>
      </c>
      <c r="E378" s="56" t="s">
        <v>22</v>
      </c>
      <c r="F378" s="56" t="s">
        <v>7</v>
      </c>
      <c r="G378" s="56" t="s">
        <v>118</v>
      </c>
      <c r="H378" s="56" t="s">
        <v>118</v>
      </c>
      <c r="I378" s="59">
        <v>28237.0</v>
      </c>
      <c r="J378" s="56">
        <f t="shared" si="22"/>
        <v>49</v>
      </c>
      <c r="K378" s="56">
        <v>3.313580047E9</v>
      </c>
      <c r="L378" s="60" t="s">
        <v>994</v>
      </c>
      <c r="M378" s="59"/>
      <c r="N378" s="60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8.75" hidden="1" customHeight="1">
      <c r="A379" s="56">
        <f t="shared" si="16"/>
        <v>376</v>
      </c>
      <c r="B379" s="56" t="str">
        <f t="shared" si="20"/>
        <v>HB89</v>
      </c>
      <c r="C379" s="57" t="s">
        <v>995</v>
      </c>
      <c r="D379" s="56" t="s">
        <v>117</v>
      </c>
      <c r="E379" s="56" t="s">
        <v>40</v>
      </c>
      <c r="F379" s="58" t="s">
        <v>7</v>
      </c>
      <c r="G379" s="56" t="s">
        <v>118</v>
      </c>
      <c r="H379" s="56" t="s">
        <v>118</v>
      </c>
      <c r="I379" s="59">
        <v>37884.0</v>
      </c>
      <c r="J379" s="56">
        <f t="shared" si="22"/>
        <v>22</v>
      </c>
      <c r="K379" s="56">
        <v>3.327929534E9</v>
      </c>
      <c r="L379" s="60" t="s">
        <v>996</v>
      </c>
      <c r="M379" s="59">
        <v>43725.0</v>
      </c>
      <c r="N379" s="60" t="s">
        <v>218</v>
      </c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8.75" customHeight="1">
      <c r="A380" s="56">
        <f t="shared" si="16"/>
        <v>377</v>
      </c>
      <c r="B380" s="56" t="str">
        <f t="shared" si="20"/>
        <v>MS15</v>
      </c>
      <c r="C380" s="57" t="s">
        <v>997</v>
      </c>
      <c r="D380" s="56" t="s">
        <v>128</v>
      </c>
      <c r="E380" s="56" t="s">
        <v>40</v>
      </c>
      <c r="F380" s="56" t="s">
        <v>43</v>
      </c>
      <c r="G380" s="58" t="s">
        <v>118</v>
      </c>
      <c r="H380" s="56" t="s">
        <v>118</v>
      </c>
      <c r="I380" s="59">
        <v>39856.0</v>
      </c>
      <c r="J380" s="56">
        <f t="shared" si="22"/>
        <v>17</v>
      </c>
      <c r="K380" s="56">
        <v>3.319856974E9</v>
      </c>
      <c r="L380" s="60" t="s">
        <v>998</v>
      </c>
      <c r="M380" s="59">
        <v>45170.0</v>
      </c>
      <c r="N380" s="71" t="s">
        <v>439</v>
      </c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8.75" hidden="1" customHeight="1">
      <c r="A381" s="56">
        <f t="shared" si="16"/>
        <v>378</v>
      </c>
      <c r="B381" s="56" t="str">
        <f t="shared" si="20"/>
        <v>HB90</v>
      </c>
      <c r="C381" s="57" t="s">
        <v>999</v>
      </c>
      <c r="D381" s="56" t="s">
        <v>117</v>
      </c>
      <c r="E381" s="56" t="s">
        <v>22</v>
      </c>
      <c r="F381" s="58" t="s">
        <v>7</v>
      </c>
      <c r="G381" s="56" t="s">
        <v>118</v>
      </c>
      <c r="H381" s="56" t="s">
        <v>118</v>
      </c>
      <c r="I381" s="59">
        <v>29745.0</v>
      </c>
      <c r="J381" s="56">
        <f>IF($C$761="","",DATEDIF(I381,TODAY(),"Y"))</f>
        <v>44</v>
      </c>
      <c r="K381" s="56">
        <v>3.3227567E9</v>
      </c>
      <c r="L381" s="60" t="s">
        <v>1000</v>
      </c>
      <c r="M381" s="59">
        <v>45359.0</v>
      </c>
      <c r="N381" s="60" t="s">
        <v>242</v>
      </c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8.75" customHeight="1">
      <c r="A382" s="56">
        <f t="shared" si="16"/>
        <v>379</v>
      </c>
      <c r="B382" s="56" t="str">
        <f t="shared" si="20"/>
        <v>HJ9</v>
      </c>
      <c r="C382" s="57" t="s">
        <v>1001</v>
      </c>
      <c r="D382" s="56" t="s">
        <v>117</v>
      </c>
      <c r="E382" s="56" t="s">
        <v>22</v>
      </c>
      <c r="F382" s="56" t="s">
        <v>30</v>
      </c>
      <c r="G382" s="56"/>
      <c r="H382" s="56" t="s">
        <v>118</v>
      </c>
      <c r="I382" s="59">
        <v>32295.0</v>
      </c>
      <c r="J382" s="56">
        <f t="shared" ref="J382:J383" si="23">IF(C382="","",DATEDIF(I382,TODAY(),"Y"))</f>
        <v>37</v>
      </c>
      <c r="K382" s="56">
        <v>3.339029027E9</v>
      </c>
      <c r="L382" s="60" t="s">
        <v>1002</v>
      </c>
      <c r="M382" s="59"/>
      <c r="N382" s="60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8.75" customHeight="1">
      <c r="A383" s="56">
        <f t="shared" si="16"/>
        <v>380</v>
      </c>
      <c r="B383" s="56" t="str">
        <f t="shared" si="20"/>
        <v>HJ10</v>
      </c>
      <c r="C383" s="57" t="s">
        <v>1003</v>
      </c>
      <c r="D383" s="56" t="s">
        <v>117</v>
      </c>
      <c r="E383" s="56" t="s">
        <v>22</v>
      </c>
      <c r="F383" s="56" t="s">
        <v>30</v>
      </c>
      <c r="G383" s="56"/>
      <c r="H383" s="56" t="s">
        <v>118</v>
      </c>
      <c r="I383" s="59">
        <v>31054.0</v>
      </c>
      <c r="J383" s="56">
        <f t="shared" si="23"/>
        <v>41</v>
      </c>
      <c r="K383" s="56">
        <v>3.310091312E9</v>
      </c>
      <c r="L383" s="60" t="s">
        <v>1004</v>
      </c>
      <c r="M383" s="59"/>
      <c r="N383" s="60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8.75" customHeight="1">
      <c r="A384" s="56">
        <f t="shared" si="16"/>
        <v>381</v>
      </c>
      <c r="B384" s="56" t="str">
        <f>IF(C384="","",D384&amp;$F$761&amp;COUNTIFS($D$4:D384,$D$761,$F$4:F384,$F$761))</f>
        <v>ML16</v>
      </c>
      <c r="C384" s="72" t="s">
        <v>1005</v>
      </c>
      <c r="D384" s="58" t="s">
        <v>128</v>
      </c>
      <c r="E384" s="58" t="s">
        <v>34</v>
      </c>
      <c r="F384" s="58" t="s">
        <v>30</v>
      </c>
      <c r="G384" s="58" t="s">
        <v>118</v>
      </c>
      <c r="H384" s="58" t="s">
        <v>118</v>
      </c>
      <c r="I384" s="73">
        <v>20926.0</v>
      </c>
      <c r="J384" s="56">
        <f>IF($C$761="","",DATEDIF(I384,TODAY(),"Y"))</f>
        <v>69</v>
      </c>
      <c r="K384" s="58">
        <v>7.711409973E9</v>
      </c>
      <c r="L384" s="71" t="s">
        <v>1006</v>
      </c>
      <c r="M384" s="73">
        <v>45399.0</v>
      </c>
      <c r="N384" s="71" t="s">
        <v>379</v>
      </c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8.75" hidden="1" customHeight="1">
      <c r="A385" s="56">
        <f t="shared" si="16"/>
        <v>382</v>
      </c>
      <c r="B385" s="56" t="str">
        <f t="shared" ref="B385:B393" si="24">IF(C385="","",D385&amp;F385&amp;COUNTIFS($D$4:D385,D385,$F$4:F385,F385))</f>
        <v>HB91</v>
      </c>
      <c r="C385" s="57" t="s">
        <v>1007</v>
      </c>
      <c r="D385" s="56" t="s">
        <v>117</v>
      </c>
      <c r="E385" s="56" t="s">
        <v>40</v>
      </c>
      <c r="F385" s="58" t="s">
        <v>7</v>
      </c>
      <c r="G385" s="56" t="s">
        <v>118</v>
      </c>
      <c r="H385" s="56" t="s">
        <v>118</v>
      </c>
      <c r="I385" s="59">
        <v>38917.0</v>
      </c>
      <c r="J385" s="56">
        <f t="shared" ref="J385:J391" si="25">IF(C385="","",DATEDIF(I385,TODAY(),"Y"))</f>
        <v>19</v>
      </c>
      <c r="K385" s="56">
        <v>3.333293778E9</v>
      </c>
      <c r="L385" s="60" t="s">
        <v>1008</v>
      </c>
      <c r="M385" s="59">
        <v>44825.0</v>
      </c>
      <c r="N385" s="60" t="s">
        <v>218</v>
      </c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8.75" hidden="1" customHeight="1">
      <c r="A386" s="56">
        <f t="shared" si="16"/>
        <v>383</v>
      </c>
      <c r="B386" s="56" t="str">
        <f t="shared" si="24"/>
        <v>HB92</v>
      </c>
      <c r="C386" s="57" t="s">
        <v>1009</v>
      </c>
      <c r="D386" s="56" t="s">
        <v>117</v>
      </c>
      <c r="E386" s="56" t="s">
        <v>40</v>
      </c>
      <c r="F386" s="58" t="s">
        <v>7</v>
      </c>
      <c r="G386" s="56" t="s">
        <v>118</v>
      </c>
      <c r="H386" s="56" t="s">
        <v>118</v>
      </c>
      <c r="I386" s="59">
        <v>38129.0</v>
      </c>
      <c r="J386" s="56">
        <f t="shared" si="25"/>
        <v>21</v>
      </c>
      <c r="K386" s="56"/>
      <c r="L386" s="60" t="s">
        <v>1010</v>
      </c>
      <c r="M386" s="59">
        <v>43368.0</v>
      </c>
      <c r="N386" s="60" t="s">
        <v>202</v>
      </c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8.75" hidden="1" customHeight="1">
      <c r="A387" s="56">
        <f t="shared" si="16"/>
        <v>384</v>
      </c>
      <c r="B387" s="56" t="str">
        <f t="shared" si="24"/>
        <v>HB93</v>
      </c>
      <c r="C387" s="57" t="s">
        <v>1011</v>
      </c>
      <c r="D387" s="56" t="s">
        <v>117</v>
      </c>
      <c r="E387" s="56" t="s">
        <v>22</v>
      </c>
      <c r="F387" s="58" t="s">
        <v>7</v>
      </c>
      <c r="G387" s="56" t="s">
        <v>118</v>
      </c>
      <c r="H387" s="56" t="s">
        <v>118</v>
      </c>
      <c r="I387" s="59">
        <v>31955.0</v>
      </c>
      <c r="J387" s="56">
        <f t="shared" si="25"/>
        <v>38</v>
      </c>
      <c r="K387" s="56">
        <v>3.33968908E9</v>
      </c>
      <c r="L387" s="60" t="s">
        <v>1012</v>
      </c>
      <c r="M387" s="59"/>
      <c r="N387" s="60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8.75" customHeight="1">
      <c r="A388" s="56">
        <f t="shared" si="16"/>
        <v>385</v>
      </c>
      <c r="B388" s="56" t="str">
        <f t="shared" si="24"/>
        <v>MJ31</v>
      </c>
      <c r="C388" s="57" t="s">
        <v>1013</v>
      </c>
      <c r="D388" s="56" t="s">
        <v>128</v>
      </c>
      <c r="E388" s="56" t="s">
        <v>34</v>
      </c>
      <c r="F388" s="56" t="s">
        <v>30</v>
      </c>
      <c r="G388" s="58" t="s">
        <v>118</v>
      </c>
      <c r="H388" s="56" t="s">
        <v>118</v>
      </c>
      <c r="I388" s="59">
        <v>23313.0</v>
      </c>
      <c r="J388" s="56">
        <f t="shared" si="25"/>
        <v>62</v>
      </c>
      <c r="K388" s="56">
        <v>3.315472191E9</v>
      </c>
      <c r="L388" s="60" t="s">
        <v>1014</v>
      </c>
      <c r="M388" s="59"/>
      <c r="N388" s="71" t="s">
        <v>379</v>
      </c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8.75" hidden="1" customHeight="1">
      <c r="A389" s="56">
        <f t="shared" si="16"/>
        <v>386</v>
      </c>
      <c r="B389" s="56" t="str">
        <f t="shared" si="24"/>
        <v>MB99</v>
      </c>
      <c r="C389" s="57" t="s">
        <v>1015</v>
      </c>
      <c r="D389" s="56" t="s">
        <v>128</v>
      </c>
      <c r="E389" s="56" t="s">
        <v>40</v>
      </c>
      <c r="F389" s="56" t="s">
        <v>7</v>
      </c>
      <c r="G389" s="56" t="s">
        <v>118</v>
      </c>
      <c r="H389" s="56" t="s">
        <v>118</v>
      </c>
      <c r="I389" s="59">
        <v>32177.0</v>
      </c>
      <c r="J389" s="56">
        <f t="shared" si="25"/>
        <v>38</v>
      </c>
      <c r="K389" s="56">
        <v>3.313297664E9</v>
      </c>
      <c r="L389" s="60"/>
      <c r="M389" s="59">
        <v>43848.0</v>
      </c>
      <c r="N389" s="60" t="s">
        <v>486</v>
      </c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8.75" hidden="1" customHeight="1">
      <c r="A390" s="56">
        <f t="shared" si="16"/>
        <v>387</v>
      </c>
      <c r="B390" s="56" t="str">
        <f t="shared" si="24"/>
        <v>MB100</v>
      </c>
      <c r="C390" s="57" t="s">
        <v>1016</v>
      </c>
      <c r="D390" s="56" t="s">
        <v>128</v>
      </c>
      <c r="E390" s="56" t="s">
        <v>40</v>
      </c>
      <c r="F390" s="56" t="s">
        <v>7</v>
      </c>
      <c r="G390" s="56" t="s">
        <v>118</v>
      </c>
      <c r="H390" s="56" t="s">
        <v>118</v>
      </c>
      <c r="I390" s="59">
        <v>36725.0</v>
      </c>
      <c r="J390" s="56">
        <f t="shared" si="25"/>
        <v>25</v>
      </c>
      <c r="K390" s="56" t="s">
        <v>223</v>
      </c>
      <c r="L390" s="60" t="s">
        <v>1017</v>
      </c>
      <c r="M390" s="59"/>
      <c r="N390" s="60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8.75" hidden="1" customHeight="1">
      <c r="A391" s="56">
        <f t="shared" si="16"/>
        <v>388</v>
      </c>
      <c r="B391" s="56" t="str">
        <f t="shared" si="24"/>
        <v>HB94</v>
      </c>
      <c r="C391" s="57" t="s">
        <v>1018</v>
      </c>
      <c r="D391" s="56" t="s">
        <v>117</v>
      </c>
      <c r="E391" s="56" t="s">
        <v>40</v>
      </c>
      <c r="F391" s="58" t="s">
        <v>7</v>
      </c>
      <c r="G391" s="56"/>
      <c r="H391" s="56" t="s">
        <v>118</v>
      </c>
      <c r="I391" s="59">
        <v>39420.0</v>
      </c>
      <c r="J391" s="56">
        <f t="shared" si="25"/>
        <v>18</v>
      </c>
      <c r="K391" s="56"/>
      <c r="L391" s="60" t="s">
        <v>1019</v>
      </c>
      <c r="M391" s="59">
        <v>44649.0</v>
      </c>
      <c r="N391" s="60" t="s">
        <v>493</v>
      </c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8.75" hidden="1" customHeight="1">
      <c r="A392" s="56">
        <f t="shared" si="16"/>
        <v>389</v>
      </c>
      <c r="B392" s="56" t="str">
        <f t="shared" si="24"/>
        <v>HB95</v>
      </c>
      <c r="C392" s="72" t="s">
        <v>1020</v>
      </c>
      <c r="D392" s="58" t="s">
        <v>117</v>
      </c>
      <c r="E392" s="58" t="s">
        <v>34</v>
      </c>
      <c r="F392" s="58" t="s">
        <v>7</v>
      </c>
      <c r="G392" s="58" t="s">
        <v>118</v>
      </c>
      <c r="H392" s="58" t="s">
        <v>118</v>
      </c>
      <c r="I392" s="73">
        <v>36826.0</v>
      </c>
      <c r="J392" s="56">
        <f>IF($C$761="","",DATEDIF(I392,TODAY(),"Y"))</f>
        <v>25</v>
      </c>
      <c r="K392" s="58">
        <v>3.324916967E9</v>
      </c>
      <c r="L392" s="71" t="s">
        <v>1021</v>
      </c>
      <c r="M392" s="73">
        <v>45097.0</v>
      </c>
      <c r="N392" s="71" t="s">
        <v>692</v>
      </c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8.75" customHeight="1">
      <c r="A393" s="56">
        <f t="shared" si="16"/>
        <v>390</v>
      </c>
      <c r="B393" s="56" t="str">
        <f t="shared" si="24"/>
        <v>MMi12</v>
      </c>
      <c r="C393" s="57" t="s">
        <v>1022</v>
      </c>
      <c r="D393" s="56" t="s">
        <v>128</v>
      </c>
      <c r="E393" s="56" t="s">
        <v>40</v>
      </c>
      <c r="F393" s="56" t="s">
        <v>24</v>
      </c>
      <c r="G393" s="56"/>
      <c r="H393" s="56" t="s">
        <v>118</v>
      </c>
      <c r="I393" s="59">
        <v>15873.0</v>
      </c>
      <c r="J393" s="56">
        <f>IF(C393="","",DATEDIF(I393,TODAY(),"Y"))</f>
        <v>82</v>
      </c>
      <c r="K393" s="56">
        <v>3.6085571E7</v>
      </c>
      <c r="L393" s="60" t="s">
        <v>1023</v>
      </c>
      <c r="M393" s="59"/>
      <c r="N393" s="60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8.75" hidden="1" customHeight="1">
      <c r="A394" s="56">
        <f t="shared" si="16"/>
        <v>391</v>
      </c>
      <c r="B394" s="56" t="str">
        <f>IF(C394="","",D394&amp;$F$761&amp;COUNTIFS($D$4:D394,$D$761,$F$4:F394,$F$761))</f>
        <v>ML16</v>
      </c>
      <c r="C394" s="72" t="s">
        <v>1024</v>
      </c>
      <c r="D394" s="58" t="s">
        <v>128</v>
      </c>
      <c r="E394" s="58" t="s">
        <v>40</v>
      </c>
      <c r="F394" s="58" t="s">
        <v>7</v>
      </c>
      <c r="G394" s="58" t="s">
        <v>118</v>
      </c>
      <c r="H394" s="58" t="s">
        <v>118</v>
      </c>
      <c r="I394" s="73">
        <v>38587.0</v>
      </c>
      <c r="J394" s="56">
        <f>IF($C$761="","",DATEDIF(I394,TODAY(),"Y"))</f>
        <v>20</v>
      </c>
      <c r="K394" s="56"/>
      <c r="L394" s="71" t="s">
        <v>1025</v>
      </c>
      <c r="M394" s="73">
        <v>45344.0</v>
      </c>
      <c r="N394" s="60" t="s">
        <v>590</v>
      </c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8.75" hidden="1" customHeight="1">
      <c r="A395" s="56">
        <f t="shared" si="16"/>
        <v>392</v>
      </c>
      <c r="B395" s="56" t="str">
        <f t="shared" ref="B395:B461" si="26">IF(C395="","",D395&amp;F395&amp;COUNTIFS($D$4:D395,D395,$F$4:F395,F395))</f>
        <v>HB96</v>
      </c>
      <c r="C395" s="57" t="s">
        <v>1026</v>
      </c>
      <c r="D395" s="56" t="s">
        <v>117</v>
      </c>
      <c r="E395" s="56" t="s">
        <v>40</v>
      </c>
      <c r="F395" s="58" t="s">
        <v>7</v>
      </c>
      <c r="G395" s="56" t="s">
        <v>118</v>
      </c>
      <c r="H395" s="56" t="s">
        <v>118</v>
      </c>
      <c r="I395" s="59">
        <v>33038.0</v>
      </c>
      <c r="J395" s="56">
        <f t="shared" ref="J395:J425" si="27">IF(C395="","",DATEDIF(I395,TODAY(),"Y"))</f>
        <v>35</v>
      </c>
      <c r="K395" s="56">
        <v>3.321646801E9</v>
      </c>
      <c r="L395" s="60" t="s">
        <v>1027</v>
      </c>
      <c r="M395" s="59"/>
      <c r="N395" s="60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8.75" customHeight="1">
      <c r="A396" s="56">
        <f t="shared" si="16"/>
        <v>393</v>
      </c>
      <c r="B396" s="56" t="str">
        <f t="shared" si="26"/>
        <v>HL12</v>
      </c>
      <c r="C396" s="81" t="s">
        <v>14</v>
      </c>
      <c r="D396" s="56" t="s">
        <v>117</v>
      </c>
      <c r="E396" s="56" t="s">
        <v>140</v>
      </c>
      <c r="F396" s="58" t="s">
        <v>12</v>
      </c>
      <c r="G396" s="56"/>
      <c r="H396" s="56" t="s">
        <v>118</v>
      </c>
      <c r="I396" s="59">
        <v>19783.0</v>
      </c>
      <c r="J396" s="56">
        <f t="shared" si="27"/>
        <v>72</v>
      </c>
      <c r="K396" s="56">
        <v>3.333977821E9</v>
      </c>
      <c r="L396" s="60" t="s">
        <v>1028</v>
      </c>
      <c r="M396" s="59"/>
      <c r="N396" s="60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8.75" customHeight="1">
      <c r="A397" s="56">
        <f t="shared" si="16"/>
        <v>394</v>
      </c>
      <c r="B397" s="56" t="str">
        <f t="shared" si="26"/>
        <v>MMa15</v>
      </c>
      <c r="C397" s="72" t="s">
        <v>1029</v>
      </c>
      <c r="D397" s="56" t="s">
        <v>128</v>
      </c>
      <c r="E397" s="58" t="s">
        <v>40</v>
      </c>
      <c r="F397" s="58" t="s">
        <v>18</v>
      </c>
      <c r="G397" s="58" t="s">
        <v>118</v>
      </c>
      <c r="H397" s="58" t="s">
        <v>118</v>
      </c>
      <c r="I397" s="73">
        <v>39517.0</v>
      </c>
      <c r="J397" s="56">
        <f t="shared" si="27"/>
        <v>18</v>
      </c>
      <c r="K397" s="58">
        <v>3.326557599E9</v>
      </c>
      <c r="L397" s="71" t="s">
        <v>1030</v>
      </c>
      <c r="M397" s="85">
        <v>45894.0</v>
      </c>
      <c r="N397" s="71" t="s">
        <v>1031</v>
      </c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8.75" customHeight="1">
      <c r="A398" s="56">
        <f t="shared" si="16"/>
        <v>395</v>
      </c>
      <c r="B398" s="56" t="str">
        <f t="shared" si="26"/>
        <v>MJ32</v>
      </c>
      <c r="C398" s="72" t="s">
        <v>1032</v>
      </c>
      <c r="D398" s="58" t="s">
        <v>128</v>
      </c>
      <c r="E398" s="58" t="s">
        <v>40</v>
      </c>
      <c r="F398" s="58" t="s">
        <v>30</v>
      </c>
      <c r="G398" s="58" t="s">
        <v>118</v>
      </c>
      <c r="H398" s="56" t="s">
        <v>118</v>
      </c>
      <c r="I398" s="73">
        <v>40351.0</v>
      </c>
      <c r="J398" s="56">
        <f t="shared" si="27"/>
        <v>15</v>
      </c>
      <c r="K398" s="58">
        <v>3.326215358E9</v>
      </c>
      <c r="L398" s="71" t="s">
        <v>1033</v>
      </c>
      <c r="M398" s="74">
        <v>45553.0</v>
      </c>
      <c r="N398" s="71" t="s">
        <v>439</v>
      </c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8.75" customHeight="1">
      <c r="A399" s="56">
        <f t="shared" si="16"/>
        <v>396</v>
      </c>
      <c r="B399" s="56" t="str">
        <f t="shared" si="26"/>
        <v>MMa16</v>
      </c>
      <c r="C399" s="57" t="s">
        <v>1034</v>
      </c>
      <c r="D399" s="56" t="s">
        <v>128</v>
      </c>
      <c r="E399" s="56" t="s">
        <v>140</v>
      </c>
      <c r="F399" s="56" t="s">
        <v>18</v>
      </c>
      <c r="G399" s="58" t="s">
        <v>118</v>
      </c>
      <c r="H399" s="56" t="s">
        <v>118</v>
      </c>
      <c r="I399" s="59">
        <v>18992.0</v>
      </c>
      <c r="J399" s="56">
        <f t="shared" si="27"/>
        <v>74</v>
      </c>
      <c r="K399" s="56">
        <v>3.311172766E9</v>
      </c>
      <c r="L399" s="60" t="s">
        <v>1035</v>
      </c>
      <c r="M399" s="59"/>
      <c r="N399" s="60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8.75" hidden="1" customHeight="1">
      <c r="A400" s="56">
        <f t="shared" si="16"/>
        <v>397</v>
      </c>
      <c r="B400" s="56" t="str">
        <f t="shared" si="26"/>
        <v>MB102</v>
      </c>
      <c r="C400" s="57" t="s">
        <v>1036</v>
      </c>
      <c r="D400" s="56" t="s">
        <v>128</v>
      </c>
      <c r="E400" s="56" t="s">
        <v>22</v>
      </c>
      <c r="F400" s="56" t="s">
        <v>7</v>
      </c>
      <c r="G400" s="56" t="s">
        <v>118</v>
      </c>
      <c r="H400" s="56" t="s">
        <v>118</v>
      </c>
      <c r="I400" s="59">
        <v>30977.0</v>
      </c>
      <c r="J400" s="56">
        <f t="shared" si="27"/>
        <v>41</v>
      </c>
      <c r="K400" s="56">
        <v>3.33181795E9</v>
      </c>
      <c r="L400" s="60" t="s">
        <v>1037</v>
      </c>
      <c r="M400" s="59"/>
      <c r="N400" s="60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8.75" hidden="1" customHeight="1">
      <c r="A401" s="56">
        <f t="shared" si="16"/>
        <v>398</v>
      </c>
      <c r="B401" s="56" t="str">
        <f t="shared" si="26"/>
        <v>MB103</v>
      </c>
      <c r="C401" s="57" t="s">
        <v>1038</v>
      </c>
      <c r="D401" s="56" t="s">
        <v>128</v>
      </c>
      <c r="E401" s="56" t="s">
        <v>40</v>
      </c>
      <c r="F401" s="56" t="s">
        <v>7</v>
      </c>
      <c r="G401" s="56" t="s">
        <v>118</v>
      </c>
      <c r="H401" s="56" t="s">
        <v>118</v>
      </c>
      <c r="I401" s="59">
        <v>38244.0</v>
      </c>
      <c r="J401" s="56">
        <f t="shared" si="27"/>
        <v>21</v>
      </c>
      <c r="K401" s="56"/>
      <c r="L401" s="60" t="s">
        <v>1039</v>
      </c>
      <c r="M401" s="59">
        <v>43510.0</v>
      </c>
      <c r="N401" s="60" t="s">
        <v>235</v>
      </c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8.75" customHeight="1">
      <c r="A402" s="56">
        <f t="shared" si="16"/>
        <v>399</v>
      </c>
      <c r="B402" s="56" t="str">
        <f t="shared" si="26"/>
        <v>ML17</v>
      </c>
      <c r="C402" s="57" t="s">
        <v>1040</v>
      </c>
      <c r="D402" s="56" t="s">
        <v>128</v>
      </c>
      <c r="E402" s="56" t="s">
        <v>34</v>
      </c>
      <c r="F402" s="56" t="s">
        <v>12</v>
      </c>
      <c r="G402" s="58" t="s">
        <v>118</v>
      </c>
      <c r="H402" s="56" t="s">
        <v>118</v>
      </c>
      <c r="I402" s="59">
        <v>19626.0</v>
      </c>
      <c r="J402" s="56">
        <f t="shared" si="27"/>
        <v>72</v>
      </c>
      <c r="K402" s="56">
        <v>3.312975617E9</v>
      </c>
      <c r="L402" s="60" t="s">
        <v>1041</v>
      </c>
      <c r="M402" s="59"/>
      <c r="N402" s="60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8.75" customHeight="1">
      <c r="A403" s="56">
        <f t="shared" si="16"/>
        <v>400</v>
      </c>
      <c r="B403" s="56" t="str">
        <f t="shared" si="26"/>
        <v>HS21</v>
      </c>
      <c r="C403" s="57" t="s">
        <v>1042</v>
      </c>
      <c r="D403" s="56" t="s">
        <v>117</v>
      </c>
      <c r="E403" s="58" t="s">
        <v>16</v>
      </c>
      <c r="F403" s="56" t="s">
        <v>43</v>
      </c>
      <c r="G403" s="58" t="s">
        <v>118</v>
      </c>
      <c r="H403" s="56" t="s">
        <v>118</v>
      </c>
      <c r="I403" s="59">
        <v>23870.0</v>
      </c>
      <c r="J403" s="56">
        <f t="shared" si="27"/>
        <v>60</v>
      </c>
      <c r="K403" s="56">
        <v>3.311408364E9</v>
      </c>
      <c r="L403" s="60" t="s">
        <v>1043</v>
      </c>
      <c r="M403" s="59"/>
      <c r="N403" s="71" t="s">
        <v>1044</v>
      </c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8.75" customHeight="1">
      <c r="A404" s="56">
        <f t="shared" si="16"/>
        <v>401</v>
      </c>
      <c r="B404" s="56" t="str">
        <f t="shared" si="26"/>
        <v>ML18</v>
      </c>
      <c r="C404" s="57" t="s">
        <v>1045</v>
      </c>
      <c r="D404" s="56" t="s">
        <v>128</v>
      </c>
      <c r="E404" s="56" t="s">
        <v>34</v>
      </c>
      <c r="F404" s="56" t="s">
        <v>12</v>
      </c>
      <c r="G404" s="56"/>
      <c r="H404" s="56" t="s">
        <v>118</v>
      </c>
      <c r="I404" s="59">
        <v>27294.0</v>
      </c>
      <c r="J404" s="56">
        <f t="shared" si="27"/>
        <v>51</v>
      </c>
      <c r="K404" s="56">
        <v>3.313419066E9</v>
      </c>
      <c r="L404" s="60" t="s">
        <v>1046</v>
      </c>
      <c r="M404" s="59">
        <v>44805.0</v>
      </c>
      <c r="N404" s="60" t="s">
        <v>1047</v>
      </c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8.75" customHeight="1">
      <c r="A405" s="56">
        <f t="shared" si="16"/>
        <v>402</v>
      </c>
      <c r="B405" s="56" t="str">
        <f t="shared" si="26"/>
        <v>MJ33</v>
      </c>
      <c r="C405" s="57" t="s">
        <v>1048</v>
      </c>
      <c r="D405" s="56" t="s">
        <v>128</v>
      </c>
      <c r="E405" s="56" t="s">
        <v>16</v>
      </c>
      <c r="F405" s="56" t="s">
        <v>30</v>
      </c>
      <c r="G405" s="58" t="s">
        <v>118</v>
      </c>
      <c r="H405" s="56" t="s">
        <v>118</v>
      </c>
      <c r="I405" s="59">
        <v>21808.0</v>
      </c>
      <c r="J405" s="56">
        <f t="shared" si="27"/>
        <v>66</v>
      </c>
      <c r="K405" s="56">
        <v>9.341232365E9</v>
      </c>
      <c r="L405" s="60" t="s">
        <v>1049</v>
      </c>
      <c r="M405" s="59">
        <v>43347.0</v>
      </c>
      <c r="N405" s="71" t="s">
        <v>142</v>
      </c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8.75" hidden="1" customHeight="1">
      <c r="A406" s="56">
        <f t="shared" si="16"/>
        <v>403</v>
      </c>
      <c r="B406" s="56" t="str">
        <f t="shared" si="26"/>
        <v>MB104</v>
      </c>
      <c r="C406" s="57" t="s">
        <v>1050</v>
      </c>
      <c r="D406" s="56" t="s">
        <v>128</v>
      </c>
      <c r="E406" s="56" t="s">
        <v>140</v>
      </c>
      <c r="F406" s="58" t="s">
        <v>7</v>
      </c>
      <c r="G406" s="56" t="s">
        <v>118</v>
      </c>
      <c r="H406" s="56" t="s">
        <v>118</v>
      </c>
      <c r="I406" s="59">
        <v>21909.0</v>
      </c>
      <c r="J406" s="56">
        <f t="shared" si="27"/>
        <v>66</v>
      </c>
      <c r="K406" s="56">
        <v>3.311807269E9</v>
      </c>
      <c r="L406" s="60" t="s">
        <v>956</v>
      </c>
      <c r="M406" s="59"/>
      <c r="N406" s="60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8.75" customHeight="1">
      <c r="A407" s="56">
        <f t="shared" si="16"/>
        <v>404</v>
      </c>
      <c r="B407" s="56" t="str">
        <f t="shared" si="26"/>
        <v>HD7</v>
      </c>
      <c r="C407" s="72" t="s">
        <v>1051</v>
      </c>
      <c r="D407" s="58" t="s">
        <v>117</v>
      </c>
      <c r="E407" s="58" t="s">
        <v>34</v>
      </c>
      <c r="F407" s="58" t="s">
        <v>49</v>
      </c>
      <c r="G407" s="58"/>
      <c r="H407" s="56" t="s">
        <v>118</v>
      </c>
      <c r="I407" s="73">
        <v>38026.0</v>
      </c>
      <c r="J407" s="56">
        <f t="shared" si="27"/>
        <v>22</v>
      </c>
      <c r="K407" s="58">
        <v>3.317942112E9</v>
      </c>
      <c r="L407" s="71" t="s">
        <v>1052</v>
      </c>
      <c r="M407" s="87">
        <v>45499.0</v>
      </c>
      <c r="N407" s="71" t="s">
        <v>1053</v>
      </c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8.75" customHeight="1">
      <c r="A408" s="75">
        <f t="shared" si="16"/>
        <v>405</v>
      </c>
      <c r="B408" s="75" t="str">
        <f t="shared" si="26"/>
        <v>HD8</v>
      </c>
      <c r="C408" s="76" t="s">
        <v>1054</v>
      </c>
      <c r="D408" s="77" t="s">
        <v>117</v>
      </c>
      <c r="E408" s="77" t="s">
        <v>28</v>
      </c>
      <c r="F408" s="77" t="s">
        <v>49</v>
      </c>
      <c r="G408" s="77" t="s">
        <v>118</v>
      </c>
      <c r="H408" s="75" t="s">
        <v>118</v>
      </c>
      <c r="I408" s="78">
        <v>38026.0</v>
      </c>
      <c r="J408" s="75">
        <f t="shared" si="27"/>
        <v>22</v>
      </c>
      <c r="K408" s="77">
        <v>3.317942112E9</v>
      </c>
      <c r="L408" s="79" t="s">
        <v>1055</v>
      </c>
      <c r="M408" s="80">
        <v>45971.0</v>
      </c>
      <c r="N408" s="71" t="s">
        <v>1056</v>
      </c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8.75" customHeight="1">
      <c r="A409" s="56">
        <f t="shared" si="16"/>
        <v>406</v>
      </c>
      <c r="B409" s="56" t="str">
        <f t="shared" si="26"/>
        <v>HS22</v>
      </c>
      <c r="C409" s="57" t="s">
        <v>1057</v>
      </c>
      <c r="D409" s="56" t="s">
        <v>117</v>
      </c>
      <c r="E409" s="56" t="s">
        <v>16</v>
      </c>
      <c r="F409" s="58" t="s">
        <v>43</v>
      </c>
      <c r="G409" s="58" t="s">
        <v>118</v>
      </c>
      <c r="H409" s="56" t="s">
        <v>118</v>
      </c>
      <c r="I409" s="59">
        <v>19661.0</v>
      </c>
      <c r="J409" s="56">
        <f t="shared" si="27"/>
        <v>72</v>
      </c>
      <c r="K409" s="56">
        <v>9.341232365E9</v>
      </c>
      <c r="L409" s="60" t="s">
        <v>1049</v>
      </c>
      <c r="M409" s="59">
        <v>43393.0</v>
      </c>
      <c r="N409" s="71" t="s">
        <v>341</v>
      </c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8.75" customHeight="1">
      <c r="A410" s="56">
        <f t="shared" si="16"/>
        <v>407</v>
      </c>
      <c r="B410" s="56" t="str">
        <f t="shared" si="26"/>
        <v>MV25</v>
      </c>
      <c r="C410" s="72" t="s">
        <v>1058</v>
      </c>
      <c r="D410" s="56" t="s">
        <v>128</v>
      </c>
      <c r="E410" s="56" t="s">
        <v>40</v>
      </c>
      <c r="F410" s="58" t="s">
        <v>36</v>
      </c>
      <c r="G410" s="58" t="s">
        <v>118</v>
      </c>
      <c r="H410" s="56" t="s">
        <v>118</v>
      </c>
      <c r="I410" s="73">
        <v>40312.0</v>
      </c>
      <c r="J410" s="56">
        <f t="shared" si="27"/>
        <v>15</v>
      </c>
      <c r="K410" s="58">
        <v>3.318550932E9</v>
      </c>
      <c r="L410" s="71" t="s">
        <v>1059</v>
      </c>
      <c r="M410" s="73">
        <v>45495.0</v>
      </c>
      <c r="N410" s="71" t="s">
        <v>439</v>
      </c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8.75" customHeight="1">
      <c r="A411" s="56">
        <f t="shared" si="16"/>
        <v>408</v>
      </c>
      <c r="B411" s="56" t="str">
        <f t="shared" si="26"/>
        <v>HD9</v>
      </c>
      <c r="C411" s="57" t="s">
        <v>1060</v>
      </c>
      <c r="D411" s="56" t="s">
        <v>117</v>
      </c>
      <c r="E411" s="56" t="s">
        <v>22</v>
      </c>
      <c r="F411" s="56" t="s">
        <v>49</v>
      </c>
      <c r="G411" s="56"/>
      <c r="H411" s="56" t="s">
        <v>118</v>
      </c>
      <c r="I411" s="59">
        <v>31752.0</v>
      </c>
      <c r="J411" s="56">
        <f t="shared" si="27"/>
        <v>39</v>
      </c>
      <c r="K411" s="56">
        <v>3.319957077E9</v>
      </c>
      <c r="L411" s="60" t="s">
        <v>1061</v>
      </c>
      <c r="M411" s="59">
        <v>43703.0</v>
      </c>
      <c r="N411" s="71" t="s">
        <v>1062</v>
      </c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8.75" hidden="1" customHeight="1">
      <c r="A412" s="56">
        <f t="shared" si="16"/>
        <v>409</v>
      </c>
      <c r="B412" s="56" t="str">
        <f t="shared" si="26"/>
        <v>HB97</v>
      </c>
      <c r="C412" s="57" t="s">
        <v>1063</v>
      </c>
      <c r="D412" s="56" t="s">
        <v>117</v>
      </c>
      <c r="E412" s="56" t="s">
        <v>40</v>
      </c>
      <c r="F412" s="56" t="s">
        <v>7</v>
      </c>
      <c r="G412" s="56" t="s">
        <v>118</v>
      </c>
      <c r="H412" s="56" t="s">
        <v>118</v>
      </c>
      <c r="I412" s="59">
        <v>38212.0</v>
      </c>
      <c r="J412" s="56">
        <f t="shared" si="27"/>
        <v>21</v>
      </c>
      <c r="K412" s="56" t="s">
        <v>1064</v>
      </c>
      <c r="L412" s="60" t="s">
        <v>1065</v>
      </c>
      <c r="M412" s="59">
        <v>43803.0</v>
      </c>
      <c r="N412" s="60" t="s">
        <v>218</v>
      </c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8.75" hidden="1" customHeight="1">
      <c r="A413" s="56">
        <f t="shared" si="16"/>
        <v>410</v>
      </c>
      <c r="B413" s="56" t="str">
        <f t="shared" si="26"/>
        <v>MB105</v>
      </c>
      <c r="C413" s="57" t="s">
        <v>1066</v>
      </c>
      <c r="D413" s="56" t="s">
        <v>128</v>
      </c>
      <c r="E413" s="56" t="s">
        <v>140</v>
      </c>
      <c r="F413" s="58" t="s">
        <v>7</v>
      </c>
      <c r="G413" s="56" t="s">
        <v>118</v>
      </c>
      <c r="H413" s="56" t="s">
        <v>118</v>
      </c>
      <c r="I413" s="59">
        <v>20211.0</v>
      </c>
      <c r="J413" s="56">
        <f t="shared" si="27"/>
        <v>70</v>
      </c>
      <c r="K413" s="56">
        <v>3.313127068E9</v>
      </c>
      <c r="L413" s="60" t="s">
        <v>1067</v>
      </c>
      <c r="M413" s="59"/>
      <c r="N413" s="60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8.75" customHeight="1">
      <c r="A414" s="75">
        <f t="shared" si="16"/>
        <v>411</v>
      </c>
      <c r="B414" s="75" t="str">
        <f t="shared" si="26"/>
        <v>MS16</v>
      </c>
      <c r="C414" s="76" t="s">
        <v>1068</v>
      </c>
      <c r="D414" s="75" t="s">
        <v>128</v>
      </c>
      <c r="E414" s="77" t="s">
        <v>40</v>
      </c>
      <c r="F414" s="77" t="s">
        <v>43</v>
      </c>
      <c r="G414" s="75" t="s">
        <v>118</v>
      </c>
      <c r="H414" s="75" t="s">
        <v>118</v>
      </c>
      <c r="I414" s="78">
        <v>40517.0</v>
      </c>
      <c r="J414" s="75">
        <f t="shared" si="27"/>
        <v>15</v>
      </c>
      <c r="K414" s="77">
        <v>3.322851832E9</v>
      </c>
      <c r="L414" s="79" t="s">
        <v>1069</v>
      </c>
      <c r="M414" s="78">
        <v>45692.0</v>
      </c>
      <c r="N414" s="71" t="s">
        <v>458</v>
      </c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8.75" customHeight="1">
      <c r="A415" s="56">
        <f t="shared" si="16"/>
        <v>412</v>
      </c>
      <c r="B415" s="56" t="str">
        <f t="shared" si="26"/>
        <v>MS17</v>
      </c>
      <c r="C415" s="57" t="s">
        <v>1070</v>
      </c>
      <c r="D415" s="56" t="s">
        <v>128</v>
      </c>
      <c r="E415" s="56" t="s">
        <v>40</v>
      </c>
      <c r="F415" s="56" t="s">
        <v>43</v>
      </c>
      <c r="G415" s="56"/>
      <c r="H415" s="56" t="s">
        <v>118</v>
      </c>
      <c r="I415" s="59">
        <v>39265.0</v>
      </c>
      <c r="J415" s="56">
        <f t="shared" si="27"/>
        <v>18</v>
      </c>
      <c r="K415" s="56"/>
      <c r="L415" s="60" t="s">
        <v>1071</v>
      </c>
      <c r="M415" s="59">
        <v>44512.0</v>
      </c>
      <c r="N415" s="60" t="s">
        <v>515</v>
      </c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8.75" customHeight="1">
      <c r="A416" s="56">
        <f t="shared" si="16"/>
        <v>413</v>
      </c>
      <c r="B416" s="56" t="str">
        <f t="shared" si="26"/>
        <v>HL13</v>
      </c>
      <c r="C416" s="72" t="s">
        <v>1072</v>
      </c>
      <c r="D416" s="58" t="s">
        <v>117</v>
      </c>
      <c r="E416" s="58" t="s">
        <v>40</v>
      </c>
      <c r="F416" s="58" t="s">
        <v>12</v>
      </c>
      <c r="G416" s="58"/>
      <c r="H416" s="56" t="s">
        <v>118</v>
      </c>
      <c r="I416" s="73">
        <v>39981.0</v>
      </c>
      <c r="J416" s="56">
        <f t="shared" si="27"/>
        <v>16</v>
      </c>
      <c r="K416" s="56"/>
      <c r="L416" s="71" t="s">
        <v>1073</v>
      </c>
      <c r="M416" s="73">
        <v>45502.0</v>
      </c>
      <c r="N416" s="60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8.75" hidden="1" customHeight="1">
      <c r="A417" s="56">
        <f t="shared" si="16"/>
        <v>414</v>
      </c>
      <c r="B417" s="56" t="str">
        <f t="shared" si="26"/>
        <v>HB98</v>
      </c>
      <c r="C417" s="57" t="s">
        <v>1074</v>
      </c>
      <c r="D417" s="56" t="s">
        <v>117</v>
      </c>
      <c r="E417" s="56" t="s">
        <v>22</v>
      </c>
      <c r="F417" s="56" t="s">
        <v>7</v>
      </c>
      <c r="G417" s="56" t="s">
        <v>118</v>
      </c>
      <c r="H417" s="56" t="s">
        <v>118</v>
      </c>
      <c r="I417" s="59">
        <v>31190.0</v>
      </c>
      <c r="J417" s="56">
        <f t="shared" si="27"/>
        <v>40</v>
      </c>
      <c r="K417" s="56">
        <v>3.314569087E9</v>
      </c>
      <c r="L417" s="60" t="s">
        <v>1075</v>
      </c>
      <c r="M417" s="59"/>
      <c r="N417" s="60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8.75" customHeight="1">
      <c r="A418" s="56">
        <f t="shared" si="16"/>
        <v>415</v>
      </c>
      <c r="B418" s="56" t="str">
        <f t="shared" si="26"/>
        <v>MMa17</v>
      </c>
      <c r="C418" s="57" t="s">
        <v>1076</v>
      </c>
      <c r="D418" s="56" t="s">
        <v>128</v>
      </c>
      <c r="E418" s="56" t="s">
        <v>22</v>
      </c>
      <c r="F418" s="56" t="s">
        <v>18</v>
      </c>
      <c r="G418" s="56"/>
      <c r="H418" s="56" t="s">
        <v>118</v>
      </c>
      <c r="I418" s="59">
        <v>32942.0</v>
      </c>
      <c r="J418" s="56">
        <f t="shared" si="27"/>
        <v>36</v>
      </c>
      <c r="K418" s="56">
        <v>3.313152649E9</v>
      </c>
      <c r="L418" s="60" t="s">
        <v>1077</v>
      </c>
      <c r="M418" s="59">
        <v>43021.0</v>
      </c>
      <c r="N418" s="60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8.75" hidden="1" customHeight="1">
      <c r="A419" s="56">
        <f t="shared" si="16"/>
        <v>416</v>
      </c>
      <c r="B419" s="56" t="str">
        <f t="shared" si="26"/>
        <v>MB106</v>
      </c>
      <c r="C419" s="57" t="s">
        <v>1078</v>
      </c>
      <c r="D419" s="56" t="s">
        <v>128</v>
      </c>
      <c r="E419" s="56" t="s">
        <v>34</v>
      </c>
      <c r="F419" s="56" t="s">
        <v>7</v>
      </c>
      <c r="G419" s="56" t="s">
        <v>118</v>
      </c>
      <c r="H419" s="56" t="s">
        <v>118</v>
      </c>
      <c r="I419" s="59">
        <v>29359.0</v>
      </c>
      <c r="J419" s="56">
        <f t="shared" si="27"/>
        <v>45</v>
      </c>
      <c r="K419" s="56" t="s">
        <v>223</v>
      </c>
      <c r="L419" s="60" t="s">
        <v>1079</v>
      </c>
      <c r="M419" s="59"/>
      <c r="N419" s="60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8.75" customHeight="1">
      <c r="A420" s="56">
        <f t="shared" si="16"/>
        <v>417</v>
      </c>
      <c r="B420" s="56" t="str">
        <f t="shared" si="26"/>
        <v>MMa18</v>
      </c>
      <c r="C420" s="72" t="s">
        <v>1080</v>
      </c>
      <c r="D420" s="56" t="s">
        <v>128</v>
      </c>
      <c r="E420" s="58" t="s">
        <v>40</v>
      </c>
      <c r="F420" s="58" t="s">
        <v>18</v>
      </c>
      <c r="G420" s="56"/>
      <c r="H420" s="56" t="s">
        <v>118</v>
      </c>
      <c r="I420" s="73">
        <v>39158.0</v>
      </c>
      <c r="J420" s="56">
        <f t="shared" si="27"/>
        <v>19</v>
      </c>
      <c r="K420" s="58">
        <v>3.327183934E9</v>
      </c>
      <c r="L420" s="71" t="s">
        <v>1081</v>
      </c>
      <c r="M420" s="73">
        <v>44697.0</v>
      </c>
      <c r="N420" s="71" t="s">
        <v>1082</v>
      </c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8.75" customHeight="1">
      <c r="A421" s="56">
        <f t="shared" si="16"/>
        <v>418</v>
      </c>
      <c r="B421" s="56" t="str">
        <f t="shared" si="26"/>
        <v>MD17</v>
      </c>
      <c r="C421" s="72" t="s">
        <v>1083</v>
      </c>
      <c r="D421" s="56" t="s">
        <v>128</v>
      </c>
      <c r="E421" s="58" t="s">
        <v>34</v>
      </c>
      <c r="F421" s="58" t="s">
        <v>49</v>
      </c>
      <c r="G421" s="56" t="s">
        <v>118</v>
      </c>
      <c r="H421" s="56" t="s">
        <v>118</v>
      </c>
      <c r="I421" s="73">
        <v>18811.0</v>
      </c>
      <c r="J421" s="56">
        <f t="shared" si="27"/>
        <v>74</v>
      </c>
      <c r="K421" s="58">
        <v>3.312478072E9</v>
      </c>
      <c r="L421" s="71" t="s">
        <v>1084</v>
      </c>
      <c r="M421" s="73">
        <v>45863.0</v>
      </c>
      <c r="N421" s="71" t="s">
        <v>1085</v>
      </c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8.75" customHeight="1">
      <c r="A422" s="56">
        <f t="shared" si="16"/>
        <v>419</v>
      </c>
      <c r="B422" s="56" t="str">
        <f t="shared" si="26"/>
        <v>MV26</v>
      </c>
      <c r="C422" s="81" t="s">
        <v>39</v>
      </c>
      <c r="D422" s="56" t="s">
        <v>128</v>
      </c>
      <c r="E422" s="56" t="s">
        <v>140</v>
      </c>
      <c r="F422" s="56" t="s">
        <v>36</v>
      </c>
      <c r="G422" s="58" t="s">
        <v>118</v>
      </c>
      <c r="H422" s="56" t="s">
        <v>118</v>
      </c>
      <c r="I422" s="59">
        <v>15951.0</v>
      </c>
      <c r="J422" s="56">
        <f t="shared" si="27"/>
        <v>82</v>
      </c>
      <c r="K422" s="56">
        <v>1.9202638E7</v>
      </c>
      <c r="L422" s="60" t="s">
        <v>452</v>
      </c>
      <c r="M422" s="59"/>
      <c r="N422" s="71" t="s">
        <v>1086</v>
      </c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8.75" customHeight="1">
      <c r="A423" s="56">
        <f t="shared" si="16"/>
        <v>420</v>
      </c>
      <c r="B423" s="56" t="str">
        <f t="shared" si="26"/>
        <v>MD18</v>
      </c>
      <c r="C423" s="72" t="s">
        <v>1087</v>
      </c>
      <c r="D423" s="58" t="s">
        <v>128</v>
      </c>
      <c r="E423" s="58" t="s">
        <v>34</v>
      </c>
      <c r="F423" s="58" t="s">
        <v>49</v>
      </c>
      <c r="G423" s="58" t="s">
        <v>165</v>
      </c>
      <c r="H423" s="56" t="s">
        <v>118</v>
      </c>
      <c r="I423" s="73">
        <v>24730.0</v>
      </c>
      <c r="J423" s="56">
        <f t="shared" si="27"/>
        <v>58</v>
      </c>
      <c r="K423" s="58">
        <v>3.31225998E9</v>
      </c>
      <c r="L423" s="71" t="s">
        <v>1088</v>
      </c>
      <c r="M423" s="83">
        <v>45953.0</v>
      </c>
      <c r="N423" s="7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8.75" hidden="1" customHeight="1">
      <c r="A424" s="56">
        <f t="shared" si="16"/>
        <v>421</v>
      </c>
      <c r="B424" s="56" t="str">
        <f t="shared" si="26"/>
        <v>HB99</v>
      </c>
      <c r="C424" s="57" t="s">
        <v>1089</v>
      </c>
      <c r="D424" s="56" t="s">
        <v>117</v>
      </c>
      <c r="E424" s="56" t="s">
        <v>40</v>
      </c>
      <c r="F424" s="56" t="s">
        <v>7</v>
      </c>
      <c r="G424" s="56" t="s">
        <v>118</v>
      </c>
      <c r="H424" s="56" t="s">
        <v>118</v>
      </c>
      <c r="I424" s="59">
        <v>37932.0</v>
      </c>
      <c r="J424" s="56">
        <f t="shared" si="27"/>
        <v>22</v>
      </c>
      <c r="K424" s="56">
        <v>3.84117134E9</v>
      </c>
      <c r="L424" s="60" t="s">
        <v>1090</v>
      </c>
      <c r="M424" s="59">
        <v>43154.0</v>
      </c>
      <c r="N424" s="60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8.75" customHeight="1">
      <c r="A425" s="56">
        <f t="shared" si="16"/>
        <v>422</v>
      </c>
      <c r="B425" s="56" t="str">
        <f t="shared" si="26"/>
        <v>ML19</v>
      </c>
      <c r="C425" s="72" t="s">
        <v>1091</v>
      </c>
      <c r="D425" s="56" t="s">
        <v>128</v>
      </c>
      <c r="E425" s="58" t="s">
        <v>40</v>
      </c>
      <c r="F425" s="58" t="s">
        <v>12</v>
      </c>
      <c r="G425" s="58" t="s">
        <v>118</v>
      </c>
      <c r="H425" s="56" t="s">
        <v>118</v>
      </c>
      <c r="I425" s="73">
        <v>39236.0</v>
      </c>
      <c r="J425" s="56">
        <f t="shared" si="27"/>
        <v>18</v>
      </c>
      <c r="K425" s="56"/>
      <c r="L425" s="71" t="s">
        <v>1092</v>
      </c>
      <c r="M425" s="88">
        <v>45834.0</v>
      </c>
      <c r="N425" s="89" t="s">
        <v>174</v>
      </c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8.75" customHeight="1">
      <c r="A426" s="56">
        <f t="shared" si="16"/>
        <v>423</v>
      </c>
      <c r="B426" s="56" t="str">
        <f t="shared" si="26"/>
        <v>HS23</v>
      </c>
      <c r="C426" s="72" t="s">
        <v>1093</v>
      </c>
      <c r="D426" s="58" t="s">
        <v>117</v>
      </c>
      <c r="E426" s="58" t="s">
        <v>40</v>
      </c>
      <c r="F426" s="58" t="s">
        <v>43</v>
      </c>
      <c r="G426" s="58"/>
      <c r="H426" s="58" t="s">
        <v>118</v>
      </c>
      <c r="I426" s="73">
        <v>39653.0</v>
      </c>
      <c r="J426" s="56">
        <f>IF($C$761="","",DATEDIF(I426,TODAY(),"Y"))</f>
        <v>17</v>
      </c>
      <c r="K426" s="58">
        <v>3.318585485E9</v>
      </c>
      <c r="L426" s="71" t="s">
        <v>1094</v>
      </c>
      <c r="M426" s="73">
        <v>45354.0</v>
      </c>
      <c r="N426" s="60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8.75" hidden="1" customHeight="1">
      <c r="A427" s="56">
        <f t="shared" si="16"/>
        <v>424</v>
      </c>
      <c r="B427" s="56" t="str">
        <f t="shared" si="26"/>
        <v>HB100</v>
      </c>
      <c r="C427" s="57" t="s">
        <v>1095</v>
      </c>
      <c r="D427" s="56" t="s">
        <v>117</v>
      </c>
      <c r="E427" s="56" t="s">
        <v>16</v>
      </c>
      <c r="F427" s="56" t="s">
        <v>7</v>
      </c>
      <c r="G427" s="56"/>
      <c r="H427" s="56"/>
      <c r="I427" s="59"/>
      <c r="J427" s="56">
        <f t="shared" ref="J427:J461" si="28">IF(C427="","",DATEDIF(I427,TODAY(),"Y"))</f>
        <v>126</v>
      </c>
      <c r="K427" s="56"/>
      <c r="L427" s="60"/>
      <c r="M427" s="59"/>
      <c r="N427" s="60" t="s">
        <v>515</v>
      </c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8.75" hidden="1" customHeight="1">
      <c r="A428" s="56">
        <f t="shared" si="16"/>
        <v>425</v>
      </c>
      <c r="B428" s="56" t="str">
        <f t="shared" si="26"/>
        <v>HB101</v>
      </c>
      <c r="C428" s="57" t="s">
        <v>1096</v>
      </c>
      <c r="D428" s="56" t="s">
        <v>117</v>
      </c>
      <c r="E428" s="56" t="s">
        <v>34</v>
      </c>
      <c r="F428" s="56" t="s">
        <v>7</v>
      </c>
      <c r="G428" s="56" t="s">
        <v>118</v>
      </c>
      <c r="H428" s="56" t="s">
        <v>118</v>
      </c>
      <c r="I428" s="59">
        <v>18270.0</v>
      </c>
      <c r="J428" s="56">
        <f t="shared" si="28"/>
        <v>76</v>
      </c>
      <c r="K428" s="56">
        <v>3.31126019E9</v>
      </c>
      <c r="L428" s="60" t="s">
        <v>1097</v>
      </c>
      <c r="M428" s="59">
        <v>43407.0</v>
      </c>
      <c r="N428" s="60" t="s">
        <v>692</v>
      </c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8.75" customHeight="1">
      <c r="A429" s="56">
        <f t="shared" si="16"/>
        <v>426</v>
      </c>
      <c r="B429" s="56" t="str">
        <f t="shared" si="26"/>
        <v>HL14</v>
      </c>
      <c r="C429" s="57" t="s">
        <v>1098</v>
      </c>
      <c r="D429" s="56" t="s">
        <v>117</v>
      </c>
      <c r="E429" s="56" t="s">
        <v>22</v>
      </c>
      <c r="F429" s="56" t="s">
        <v>12</v>
      </c>
      <c r="G429" s="58" t="s">
        <v>118</v>
      </c>
      <c r="H429" s="56" t="s">
        <v>118</v>
      </c>
      <c r="I429" s="59">
        <v>28181.0</v>
      </c>
      <c r="J429" s="56">
        <f t="shared" si="28"/>
        <v>49</v>
      </c>
      <c r="K429" s="56">
        <v>3.310760575E9</v>
      </c>
      <c r="L429" s="60" t="s">
        <v>1099</v>
      </c>
      <c r="M429" s="59">
        <v>44428.0</v>
      </c>
      <c r="N429" s="60" t="s">
        <v>1100</v>
      </c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8.75" hidden="1" customHeight="1">
      <c r="A430" s="56">
        <f t="shared" si="16"/>
        <v>427</v>
      </c>
      <c r="B430" s="56" t="str">
        <f t="shared" si="26"/>
        <v>HB102</v>
      </c>
      <c r="C430" s="57" t="s">
        <v>1101</v>
      </c>
      <c r="D430" s="56" t="s">
        <v>117</v>
      </c>
      <c r="E430" s="56" t="s">
        <v>40</v>
      </c>
      <c r="F430" s="58" t="s">
        <v>7</v>
      </c>
      <c r="G430" s="56" t="s">
        <v>118</v>
      </c>
      <c r="H430" s="56" t="s">
        <v>118</v>
      </c>
      <c r="I430" s="59">
        <v>34137.0</v>
      </c>
      <c r="J430" s="56">
        <f t="shared" si="28"/>
        <v>32</v>
      </c>
      <c r="K430" s="56">
        <v>5.521045734E9</v>
      </c>
      <c r="L430" s="60"/>
      <c r="M430" s="59">
        <v>43502.0</v>
      </c>
      <c r="N430" s="60" t="s">
        <v>486</v>
      </c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8.75" hidden="1" customHeight="1">
      <c r="A431" s="56">
        <f t="shared" si="16"/>
        <v>428</v>
      </c>
      <c r="B431" s="56" t="str">
        <f t="shared" si="26"/>
        <v>HB103</v>
      </c>
      <c r="C431" s="57" t="s">
        <v>1102</v>
      </c>
      <c r="D431" s="56" t="s">
        <v>117</v>
      </c>
      <c r="E431" s="56" t="s">
        <v>22</v>
      </c>
      <c r="F431" s="56" t="s">
        <v>7</v>
      </c>
      <c r="G431" s="56" t="s">
        <v>118</v>
      </c>
      <c r="H431" s="56" t="s">
        <v>118</v>
      </c>
      <c r="I431" s="59">
        <v>30805.0</v>
      </c>
      <c r="J431" s="56">
        <f t="shared" si="28"/>
        <v>41</v>
      </c>
      <c r="K431" s="56">
        <v>9.981814486E9</v>
      </c>
      <c r="L431" s="60" t="s">
        <v>1103</v>
      </c>
      <c r="M431" s="59">
        <v>43801.0</v>
      </c>
      <c r="N431" s="60" t="s">
        <v>1104</v>
      </c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8.75" hidden="1" customHeight="1">
      <c r="A432" s="56">
        <f t="shared" si="16"/>
        <v>429</v>
      </c>
      <c r="B432" s="56" t="str">
        <f t="shared" si="26"/>
        <v>HB104</v>
      </c>
      <c r="C432" s="57" t="s">
        <v>1105</v>
      </c>
      <c r="D432" s="56" t="s">
        <v>117</v>
      </c>
      <c r="E432" s="56" t="s">
        <v>40</v>
      </c>
      <c r="F432" s="56" t="s">
        <v>7</v>
      </c>
      <c r="G432" s="56" t="s">
        <v>118</v>
      </c>
      <c r="H432" s="56" t="s">
        <v>118</v>
      </c>
      <c r="I432" s="59">
        <v>35902.0</v>
      </c>
      <c r="J432" s="56">
        <f t="shared" si="28"/>
        <v>28</v>
      </c>
      <c r="K432" s="56">
        <v>3.313667413E9</v>
      </c>
      <c r="L432" s="60" t="s">
        <v>1106</v>
      </c>
      <c r="M432" s="59"/>
      <c r="N432" s="60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8.75" hidden="1" customHeight="1">
      <c r="A433" s="56">
        <f t="shared" si="16"/>
        <v>430</v>
      </c>
      <c r="B433" s="56" t="str">
        <f t="shared" si="26"/>
        <v>HB105</v>
      </c>
      <c r="C433" s="57" t="s">
        <v>1107</v>
      </c>
      <c r="D433" s="56" t="s">
        <v>117</v>
      </c>
      <c r="E433" s="56" t="s">
        <v>140</v>
      </c>
      <c r="F433" s="56" t="s">
        <v>7</v>
      </c>
      <c r="G433" s="56" t="s">
        <v>118</v>
      </c>
      <c r="H433" s="56" t="s">
        <v>118</v>
      </c>
      <c r="I433" s="59">
        <v>21721.0</v>
      </c>
      <c r="J433" s="56">
        <f t="shared" si="28"/>
        <v>66</v>
      </c>
      <c r="K433" s="56">
        <v>3.6554212E7</v>
      </c>
      <c r="L433" s="60" t="s">
        <v>1108</v>
      </c>
      <c r="M433" s="59"/>
      <c r="N433" s="60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8.75" hidden="1" customHeight="1">
      <c r="A434" s="56">
        <f t="shared" si="16"/>
        <v>431</v>
      </c>
      <c r="B434" s="56" t="str">
        <f t="shared" si="26"/>
        <v>MB107</v>
      </c>
      <c r="C434" s="57" t="s">
        <v>1109</v>
      </c>
      <c r="D434" s="56" t="s">
        <v>128</v>
      </c>
      <c r="E434" s="56" t="s">
        <v>40</v>
      </c>
      <c r="F434" s="56" t="s">
        <v>7</v>
      </c>
      <c r="G434" s="56" t="s">
        <v>118</v>
      </c>
      <c r="H434" s="56" t="s">
        <v>165</v>
      </c>
      <c r="I434" s="59">
        <v>37024.0</v>
      </c>
      <c r="J434" s="56">
        <f t="shared" si="28"/>
        <v>24</v>
      </c>
      <c r="K434" s="56">
        <v>3.121183966E9</v>
      </c>
      <c r="L434" s="60" t="s">
        <v>1110</v>
      </c>
      <c r="M434" s="59"/>
      <c r="N434" s="60" t="s">
        <v>346</v>
      </c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8.75" customHeight="1">
      <c r="A435" s="56">
        <f t="shared" si="16"/>
        <v>432</v>
      </c>
      <c r="B435" s="56" t="str">
        <f t="shared" si="26"/>
        <v>HJ11</v>
      </c>
      <c r="C435" s="72" t="s">
        <v>1111</v>
      </c>
      <c r="D435" s="58" t="s">
        <v>117</v>
      </c>
      <c r="E435" s="58" t="s">
        <v>40</v>
      </c>
      <c r="F435" s="58" t="s">
        <v>30</v>
      </c>
      <c r="G435" s="58" t="s">
        <v>165</v>
      </c>
      <c r="H435" s="56" t="s">
        <v>118</v>
      </c>
      <c r="I435" s="73">
        <v>40166.0</v>
      </c>
      <c r="J435" s="56">
        <f t="shared" si="28"/>
        <v>16</v>
      </c>
      <c r="K435" s="58">
        <v>3.31602389E9</v>
      </c>
      <c r="L435" s="71" t="s">
        <v>1112</v>
      </c>
      <c r="M435" s="73">
        <v>45992.0</v>
      </c>
      <c r="N435" s="7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8.75" customHeight="1">
      <c r="A436" s="56">
        <f t="shared" si="16"/>
        <v>433</v>
      </c>
      <c r="B436" s="56" t="str">
        <f t="shared" si="26"/>
        <v>HS24</v>
      </c>
      <c r="C436" s="72" t="s">
        <v>1113</v>
      </c>
      <c r="D436" s="58" t="s">
        <v>117</v>
      </c>
      <c r="E436" s="58" t="s">
        <v>40</v>
      </c>
      <c r="F436" s="58" t="s">
        <v>43</v>
      </c>
      <c r="G436" s="56" t="s">
        <v>118</v>
      </c>
      <c r="H436" s="56" t="s">
        <v>118</v>
      </c>
      <c r="I436" s="73">
        <v>36463.0</v>
      </c>
      <c r="J436" s="56">
        <f t="shared" si="28"/>
        <v>26</v>
      </c>
      <c r="K436" s="58">
        <v>3.345112428E9</v>
      </c>
      <c r="L436" s="71" t="s">
        <v>1114</v>
      </c>
      <c r="M436" s="73">
        <v>45661.0</v>
      </c>
      <c r="N436" s="71" t="s">
        <v>1115</v>
      </c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8.75" customHeight="1">
      <c r="A437" s="56">
        <f t="shared" si="16"/>
        <v>434</v>
      </c>
      <c r="B437" s="56" t="str">
        <f t="shared" si="26"/>
        <v>MV27</v>
      </c>
      <c r="C437" s="72" t="s">
        <v>1116</v>
      </c>
      <c r="D437" s="58" t="s">
        <v>128</v>
      </c>
      <c r="E437" s="58" t="s">
        <v>22</v>
      </c>
      <c r="F437" s="58" t="s">
        <v>36</v>
      </c>
      <c r="G437" s="58" t="s">
        <v>118</v>
      </c>
      <c r="H437" s="56" t="s">
        <v>118</v>
      </c>
      <c r="I437" s="73">
        <v>34233.0</v>
      </c>
      <c r="J437" s="56">
        <f t="shared" si="28"/>
        <v>32</v>
      </c>
      <c r="K437" s="58">
        <v>3.314510236E9</v>
      </c>
      <c r="L437" s="71" t="s">
        <v>1117</v>
      </c>
      <c r="M437" s="85">
        <v>46050.0</v>
      </c>
      <c r="N437" s="71" t="s">
        <v>1118</v>
      </c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8.75" customHeight="1">
      <c r="A438" s="56">
        <f t="shared" si="16"/>
        <v>435</v>
      </c>
      <c r="B438" s="56" t="str">
        <f t="shared" si="26"/>
        <v>MMi13</v>
      </c>
      <c r="C438" s="90" t="s">
        <v>1119</v>
      </c>
      <c r="D438" s="56" t="s">
        <v>128</v>
      </c>
      <c r="E438" s="56" t="s">
        <v>140</v>
      </c>
      <c r="F438" s="56" t="s">
        <v>24</v>
      </c>
      <c r="G438" s="58" t="s">
        <v>118</v>
      </c>
      <c r="H438" s="56" t="s">
        <v>118</v>
      </c>
      <c r="I438" s="59">
        <v>22436.0</v>
      </c>
      <c r="J438" s="56">
        <f t="shared" si="28"/>
        <v>64</v>
      </c>
      <c r="K438" s="56">
        <v>3.311448184E9</v>
      </c>
      <c r="L438" s="60" t="s">
        <v>1120</v>
      </c>
      <c r="M438" s="59"/>
      <c r="N438" s="71" t="s">
        <v>1121</v>
      </c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8.75" hidden="1" customHeight="1">
      <c r="A439" s="56">
        <f t="shared" si="16"/>
        <v>436</v>
      </c>
      <c r="B439" s="56" t="str">
        <f t="shared" si="26"/>
        <v>MB108</v>
      </c>
      <c r="C439" s="57" t="s">
        <v>1122</v>
      </c>
      <c r="D439" s="56" t="s">
        <v>128</v>
      </c>
      <c r="E439" s="56" t="s">
        <v>22</v>
      </c>
      <c r="F439" s="56" t="s">
        <v>7</v>
      </c>
      <c r="G439" s="56" t="s">
        <v>118</v>
      </c>
      <c r="H439" s="56" t="s">
        <v>118</v>
      </c>
      <c r="I439" s="59">
        <v>26724.0</v>
      </c>
      <c r="J439" s="56">
        <f t="shared" si="28"/>
        <v>53</v>
      </c>
      <c r="K439" s="56">
        <v>3.321305852E9</v>
      </c>
      <c r="L439" s="60" t="s">
        <v>1123</v>
      </c>
      <c r="M439" s="59"/>
      <c r="N439" s="60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8.75" hidden="1" customHeight="1">
      <c r="A440" s="56">
        <f t="shared" si="16"/>
        <v>437</v>
      </c>
      <c r="B440" s="56" t="str">
        <f t="shared" si="26"/>
        <v>HB106</v>
      </c>
      <c r="C440" s="57" t="s">
        <v>1124</v>
      </c>
      <c r="D440" s="56" t="s">
        <v>117</v>
      </c>
      <c r="E440" s="56" t="s">
        <v>22</v>
      </c>
      <c r="F440" s="56" t="s">
        <v>7</v>
      </c>
      <c r="G440" s="56" t="s">
        <v>118</v>
      </c>
      <c r="H440" s="56" t="s">
        <v>118</v>
      </c>
      <c r="I440" s="59">
        <v>31164.0</v>
      </c>
      <c r="J440" s="56">
        <f t="shared" si="28"/>
        <v>40</v>
      </c>
      <c r="K440" s="56">
        <v>3.327101057E9</v>
      </c>
      <c r="L440" s="60" t="s">
        <v>1125</v>
      </c>
      <c r="M440" s="59">
        <v>43396.0</v>
      </c>
      <c r="N440" s="60" t="s">
        <v>486</v>
      </c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8.75" customHeight="1">
      <c r="A441" s="56">
        <f t="shared" si="16"/>
        <v>438</v>
      </c>
      <c r="B441" s="56" t="str">
        <f t="shared" si="26"/>
        <v>MD19</v>
      </c>
      <c r="C441" s="57" t="s">
        <v>1126</v>
      </c>
      <c r="D441" s="56" t="s">
        <v>128</v>
      </c>
      <c r="E441" s="56" t="s">
        <v>34</v>
      </c>
      <c r="F441" s="56" t="s">
        <v>49</v>
      </c>
      <c r="G441" s="58" t="s">
        <v>118</v>
      </c>
      <c r="H441" s="56" t="s">
        <v>118</v>
      </c>
      <c r="I441" s="59">
        <v>25798.0</v>
      </c>
      <c r="J441" s="56">
        <f t="shared" si="28"/>
        <v>55</v>
      </c>
      <c r="K441" s="56">
        <v>3.324420906E9</v>
      </c>
      <c r="L441" s="60" t="s">
        <v>1127</v>
      </c>
      <c r="M441" s="59">
        <v>44633.0</v>
      </c>
      <c r="N441" s="71" t="s">
        <v>221</v>
      </c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8.75" hidden="1" customHeight="1">
      <c r="A442" s="56">
        <f t="shared" si="16"/>
        <v>439</v>
      </c>
      <c r="B442" s="56" t="str">
        <f t="shared" si="26"/>
        <v>HB107</v>
      </c>
      <c r="C442" s="57" t="s">
        <v>1128</v>
      </c>
      <c r="D442" s="56" t="s">
        <v>117</v>
      </c>
      <c r="E442" s="56" t="s">
        <v>40</v>
      </c>
      <c r="F442" s="58" t="s">
        <v>7</v>
      </c>
      <c r="G442" s="56" t="s">
        <v>118</v>
      </c>
      <c r="H442" s="56" t="s">
        <v>118</v>
      </c>
      <c r="I442" s="59">
        <v>38148.0</v>
      </c>
      <c r="J442" s="56">
        <f t="shared" si="28"/>
        <v>21</v>
      </c>
      <c r="K442" s="56"/>
      <c r="L442" s="60" t="s">
        <v>1129</v>
      </c>
      <c r="M442" s="59">
        <v>43651.0</v>
      </c>
      <c r="N442" s="60" t="s">
        <v>233</v>
      </c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8.75" customHeight="1">
      <c r="A443" s="56">
        <f t="shared" si="16"/>
        <v>440</v>
      </c>
      <c r="B443" s="56" t="str">
        <f t="shared" si="26"/>
        <v>MJ34</v>
      </c>
      <c r="C443" s="72" t="s">
        <v>1130</v>
      </c>
      <c r="D443" s="58" t="s">
        <v>128</v>
      </c>
      <c r="E443" s="58" t="s">
        <v>16</v>
      </c>
      <c r="F443" s="58" t="s">
        <v>30</v>
      </c>
      <c r="G443" s="58" t="s">
        <v>118</v>
      </c>
      <c r="H443" s="56" t="s">
        <v>118</v>
      </c>
      <c r="I443" s="73">
        <v>29869.0</v>
      </c>
      <c r="J443" s="56">
        <f t="shared" si="28"/>
        <v>44</v>
      </c>
      <c r="K443" s="58">
        <v>3.314071052E9</v>
      </c>
      <c r="L443" s="71" t="s">
        <v>1131</v>
      </c>
      <c r="M443" s="73">
        <v>46070.0</v>
      </c>
      <c r="N443" s="71" t="s">
        <v>1132</v>
      </c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8.75" hidden="1" customHeight="1">
      <c r="A444" s="56">
        <f t="shared" si="16"/>
        <v>441</v>
      </c>
      <c r="B444" s="56" t="str">
        <f t="shared" si="26"/>
        <v>HB108</v>
      </c>
      <c r="C444" s="57" t="s">
        <v>1133</v>
      </c>
      <c r="D444" s="56" t="s">
        <v>117</v>
      </c>
      <c r="E444" s="56" t="s">
        <v>40</v>
      </c>
      <c r="F444" s="56" t="s">
        <v>7</v>
      </c>
      <c r="G444" s="56" t="s">
        <v>118</v>
      </c>
      <c r="H444" s="56" t="s">
        <v>118</v>
      </c>
      <c r="I444" s="59">
        <v>35354.0</v>
      </c>
      <c r="J444" s="56">
        <f t="shared" si="28"/>
        <v>29</v>
      </c>
      <c r="K444" s="56">
        <v>3.317574932E9</v>
      </c>
      <c r="L444" s="60" t="s">
        <v>1134</v>
      </c>
      <c r="M444" s="59">
        <v>43370.0</v>
      </c>
      <c r="N444" s="60" t="s">
        <v>1135</v>
      </c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8.75" hidden="1" customHeight="1">
      <c r="A445" s="56">
        <f t="shared" si="16"/>
        <v>442</v>
      </c>
      <c r="B445" s="56" t="str">
        <f t="shared" si="26"/>
        <v>MB109</v>
      </c>
      <c r="C445" s="57" t="s">
        <v>1136</v>
      </c>
      <c r="D445" s="56" t="s">
        <v>128</v>
      </c>
      <c r="E445" s="56" t="s">
        <v>28</v>
      </c>
      <c r="F445" s="56" t="s">
        <v>7</v>
      </c>
      <c r="G445" s="56" t="s">
        <v>118</v>
      </c>
      <c r="H445" s="56" t="s">
        <v>118</v>
      </c>
      <c r="I445" s="59">
        <v>35207.0</v>
      </c>
      <c r="J445" s="56">
        <f t="shared" si="28"/>
        <v>29</v>
      </c>
      <c r="K445" s="56">
        <v>3.318445822E9</v>
      </c>
      <c r="L445" s="60" t="s">
        <v>1137</v>
      </c>
      <c r="M445" s="59"/>
      <c r="N445" s="60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8.75" hidden="1" customHeight="1">
      <c r="A446" s="56">
        <f t="shared" si="16"/>
        <v>443</v>
      </c>
      <c r="B446" s="56" t="str">
        <f t="shared" si="26"/>
        <v>HB109</v>
      </c>
      <c r="C446" s="57" t="s">
        <v>1138</v>
      </c>
      <c r="D446" s="56" t="s">
        <v>117</v>
      </c>
      <c r="E446" s="56" t="s">
        <v>40</v>
      </c>
      <c r="F446" s="56" t="s">
        <v>7</v>
      </c>
      <c r="G446" s="56" t="s">
        <v>118</v>
      </c>
      <c r="H446" s="56" t="s">
        <v>118</v>
      </c>
      <c r="I446" s="59">
        <v>36572.0</v>
      </c>
      <c r="J446" s="56">
        <f t="shared" si="28"/>
        <v>26</v>
      </c>
      <c r="K446" s="56">
        <v>3.312555404E9</v>
      </c>
      <c r="L446" s="60" t="s">
        <v>1139</v>
      </c>
      <c r="M446" s="59"/>
      <c r="N446" s="60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8.75" hidden="1" customHeight="1">
      <c r="A447" s="56">
        <f t="shared" si="16"/>
        <v>444</v>
      </c>
      <c r="B447" s="56" t="str">
        <f t="shared" si="26"/>
        <v>HB110</v>
      </c>
      <c r="C447" s="57" t="s">
        <v>1140</v>
      </c>
      <c r="D447" s="56" t="s">
        <v>117</v>
      </c>
      <c r="E447" s="56" t="s">
        <v>40</v>
      </c>
      <c r="F447" s="56" t="s">
        <v>7</v>
      </c>
      <c r="G447" s="56" t="s">
        <v>118</v>
      </c>
      <c r="H447" s="56" t="s">
        <v>165</v>
      </c>
      <c r="I447" s="59"/>
      <c r="J447" s="56">
        <f t="shared" si="28"/>
        <v>126</v>
      </c>
      <c r="K447" s="56"/>
      <c r="L447" s="60" t="s">
        <v>602</v>
      </c>
      <c r="M447" s="59"/>
      <c r="N447" s="60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8.75" hidden="1" customHeight="1">
      <c r="A448" s="56">
        <f t="shared" si="16"/>
        <v>445</v>
      </c>
      <c r="B448" s="56" t="str">
        <f t="shared" si="26"/>
        <v>MB110</v>
      </c>
      <c r="C448" s="57" t="s">
        <v>1141</v>
      </c>
      <c r="D448" s="56" t="s">
        <v>128</v>
      </c>
      <c r="E448" s="56" t="s">
        <v>40</v>
      </c>
      <c r="F448" s="58" t="s">
        <v>7</v>
      </c>
      <c r="G448" s="56" t="s">
        <v>118</v>
      </c>
      <c r="H448" s="56" t="s">
        <v>118</v>
      </c>
      <c r="I448" s="59">
        <v>38623.0</v>
      </c>
      <c r="J448" s="56">
        <f t="shared" si="28"/>
        <v>20</v>
      </c>
      <c r="K448" s="56"/>
      <c r="L448" s="60" t="s">
        <v>1142</v>
      </c>
      <c r="M448" s="59">
        <v>45310.0</v>
      </c>
      <c r="N448" s="60" t="s">
        <v>590</v>
      </c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8.75" hidden="1" customHeight="1">
      <c r="A449" s="56">
        <f t="shared" si="16"/>
        <v>446</v>
      </c>
      <c r="B449" s="56" t="str">
        <f t="shared" si="26"/>
        <v>MB111</v>
      </c>
      <c r="C449" s="57" t="s">
        <v>1143</v>
      </c>
      <c r="D449" s="56" t="s">
        <v>128</v>
      </c>
      <c r="E449" s="56" t="s">
        <v>34</v>
      </c>
      <c r="F449" s="58" t="s">
        <v>7</v>
      </c>
      <c r="G449" s="56" t="s">
        <v>118</v>
      </c>
      <c r="H449" s="56" t="s">
        <v>118</v>
      </c>
      <c r="I449" s="59">
        <v>29232.0</v>
      </c>
      <c r="J449" s="56">
        <f t="shared" si="28"/>
        <v>46</v>
      </c>
      <c r="K449" s="56">
        <v>2.251110142E9</v>
      </c>
      <c r="L449" s="60" t="s">
        <v>1144</v>
      </c>
      <c r="M449" s="59">
        <v>44669.0</v>
      </c>
      <c r="N449" s="60" t="s">
        <v>275</v>
      </c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8.75" hidden="1" customHeight="1">
      <c r="A450" s="56">
        <f t="shared" si="16"/>
        <v>447</v>
      </c>
      <c r="B450" s="56" t="str">
        <f t="shared" si="26"/>
        <v>MB112</v>
      </c>
      <c r="C450" s="57" t="s">
        <v>1145</v>
      </c>
      <c r="D450" s="56" t="s">
        <v>128</v>
      </c>
      <c r="E450" s="56" t="s">
        <v>34</v>
      </c>
      <c r="F450" s="56" t="s">
        <v>7</v>
      </c>
      <c r="G450" s="56" t="s">
        <v>118</v>
      </c>
      <c r="H450" s="56" t="s">
        <v>118</v>
      </c>
      <c r="I450" s="59">
        <v>15157.0</v>
      </c>
      <c r="J450" s="56">
        <f t="shared" si="28"/>
        <v>84</v>
      </c>
      <c r="K450" s="56">
        <v>1.5109611E7</v>
      </c>
      <c r="L450" s="60" t="s">
        <v>1146</v>
      </c>
      <c r="M450" s="59"/>
      <c r="N450" s="60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8.75" hidden="1" customHeight="1">
      <c r="A451" s="56">
        <f t="shared" si="16"/>
        <v>448</v>
      </c>
      <c r="B451" s="56" t="str">
        <f t="shared" si="26"/>
        <v>HB111</v>
      </c>
      <c r="C451" s="72" t="s">
        <v>1147</v>
      </c>
      <c r="D451" s="58" t="s">
        <v>117</v>
      </c>
      <c r="E451" s="58" t="s">
        <v>28</v>
      </c>
      <c r="F451" s="58" t="s">
        <v>7</v>
      </c>
      <c r="G451" s="58"/>
      <c r="H451" s="56" t="s">
        <v>118</v>
      </c>
      <c r="I451" s="73">
        <v>33453.0</v>
      </c>
      <c r="J451" s="56">
        <f t="shared" si="28"/>
        <v>34</v>
      </c>
      <c r="K451" s="58">
        <v>3.330292785E9</v>
      </c>
      <c r="L451" s="71" t="s">
        <v>1148</v>
      </c>
      <c r="M451" s="82">
        <v>45531.0</v>
      </c>
      <c r="N451" s="71" t="s">
        <v>1149</v>
      </c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8.75" hidden="1" customHeight="1">
      <c r="A452" s="56">
        <f t="shared" si="16"/>
        <v>449</v>
      </c>
      <c r="B452" s="56" t="str">
        <f t="shared" si="26"/>
        <v>HB112</v>
      </c>
      <c r="C452" s="57" t="s">
        <v>1150</v>
      </c>
      <c r="D452" s="56" t="s">
        <v>117</v>
      </c>
      <c r="E452" s="56" t="s">
        <v>22</v>
      </c>
      <c r="F452" s="58" t="s">
        <v>7</v>
      </c>
      <c r="G452" s="56" t="s">
        <v>118</v>
      </c>
      <c r="H452" s="56" t="s">
        <v>118</v>
      </c>
      <c r="I452" s="59">
        <v>33453.0</v>
      </c>
      <c r="J452" s="56">
        <f t="shared" si="28"/>
        <v>34</v>
      </c>
      <c r="K452" s="56">
        <v>3.32092583E9</v>
      </c>
      <c r="L452" s="60" t="s">
        <v>1151</v>
      </c>
      <c r="M452" s="59"/>
      <c r="N452" s="60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8.75" hidden="1" customHeight="1">
      <c r="A453" s="56">
        <f t="shared" si="16"/>
        <v>450</v>
      </c>
      <c r="B453" s="56" t="str">
        <f t="shared" si="26"/>
        <v>HB113</v>
      </c>
      <c r="C453" s="57" t="s">
        <v>1152</v>
      </c>
      <c r="D453" s="56" t="s">
        <v>117</v>
      </c>
      <c r="E453" s="56" t="s">
        <v>40</v>
      </c>
      <c r="F453" s="56" t="s">
        <v>7</v>
      </c>
      <c r="G453" s="56" t="s">
        <v>118</v>
      </c>
      <c r="H453" s="56" t="s">
        <v>118</v>
      </c>
      <c r="I453" s="59">
        <v>34395.0</v>
      </c>
      <c r="J453" s="56">
        <f t="shared" si="28"/>
        <v>32</v>
      </c>
      <c r="K453" s="56">
        <v>3.316717383E9</v>
      </c>
      <c r="L453" s="60" t="s">
        <v>1153</v>
      </c>
      <c r="M453" s="59">
        <v>43101.0</v>
      </c>
      <c r="N453" s="60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8.75" hidden="1" customHeight="1">
      <c r="A454" s="56">
        <f t="shared" si="16"/>
        <v>451</v>
      </c>
      <c r="B454" s="56" t="str">
        <f t="shared" si="26"/>
        <v>HB114</v>
      </c>
      <c r="C454" s="57" t="s">
        <v>1154</v>
      </c>
      <c r="D454" s="56" t="s">
        <v>117</v>
      </c>
      <c r="E454" s="56" t="s">
        <v>28</v>
      </c>
      <c r="F454" s="58" t="s">
        <v>7</v>
      </c>
      <c r="G454" s="58" t="s">
        <v>118</v>
      </c>
      <c r="H454" s="56" t="s">
        <v>118</v>
      </c>
      <c r="I454" s="59">
        <v>35965.0</v>
      </c>
      <c r="J454" s="56">
        <f t="shared" si="28"/>
        <v>27</v>
      </c>
      <c r="K454" s="56">
        <v>3.31124304E9</v>
      </c>
      <c r="L454" s="60" t="s">
        <v>1155</v>
      </c>
      <c r="M454" s="59">
        <v>44969.0</v>
      </c>
      <c r="N454" s="60" t="s">
        <v>1156</v>
      </c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8.75" hidden="1" customHeight="1">
      <c r="A455" s="56">
        <f t="shared" si="16"/>
        <v>452</v>
      </c>
      <c r="B455" s="56" t="str">
        <f t="shared" si="26"/>
        <v>MB113</v>
      </c>
      <c r="C455" s="57" t="s">
        <v>1157</v>
      </c>
      <c r="D455" s="56" t="s">
        <v>128</v>
      </c>
      <c r="E455" s="56" t="s">
        <v>40</v>
      </c>
      <c r="F455" s="58" t="s">
        <v>7</v>
      </c>
      <c r="G455" s="56" t="s">
        <v>118</v>
      </c>
      <c r="H455" s="56" t="s">
        <v>118</v>
      </c>
      <c r="I455" s="59">
        <v>39742.0</v>
      </c>
      <c r="J455" s="56">
        <f t="shared" si="28"/>
        <v>17</v>
      </c>
      <c r="K455" s="56"/>
      <c r="L455" s="60" t="s">
        <v>1158</v>
      </c>
      <c r="M455" s="59">
        <v>44895.0</v>
      </c>
      <c r="N455" s="60" t="s">
        <v>235</v>
      </c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8.75" customHeight="1">
      <c r="A456" s="56">
        <f t="shared" si="16"/>
        <v>453</v>
      </c>
      <c r="B456" s="56" t="str">
        <f t="shared" si="26"/>
        <v>MS18</v>
      </c>
      <c r="C456" s="72" t="s">
        <v>1159</v>
      </c>
      <c r="D456" s="56" t="s">
        <v>128</v>
      </c>
      <c r="E456" s="58" t="s">
        <v>40</v>
      </c>
      <c r="F456" s="58" t="s">
        <v>43</v>
      </c>
      <c r="G456" s="58" t="s">
        <v>118</v>
      </c>
      <c r="H456" s="56" t="s">
        <v>118</v>
      </c>
      <c r="I456" s="73">
        <v>38513.0</v>
      </c>
      <c r="J456" s="56">
        <f t="shared" si="28"/>
        <v>20</v>
      </c>
      <c r="K456" s="58">
        <v>4.671037885E9</v>
      </c>
      <c r="L456" s="71" t="s">
        <v>1160</v>
      </c>
      <c r="M456" s="73">
        <v>45834.0</v>
      </c>
      <c r="N456" s="71" t="s">
        <v>1161</v>
      </c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8.75" customHeight="1">
      <c r="A457" s="56">
        <f t="shared" si="16"/>
        <v>454</v>
      </c>
      <c r="B457" s="56" t="str">
        <f t="shared" si="26"/>
        <v>HD10</v>
      </c>
      <c r="C457" s="57" t="s">
        <v>1162</v>
      </c>
      <c r="D457" s="56" t="s">
        <v>117</v>
      </c>
      <c r="E457" s="56" t="s">
        <v>22</v>
      </c>
      <c r="F457" s="56" t="s">
        <v>49</v>
      </c>
      <c r="G457" s="56"/>
      <c r="H457" s="56" t="s">
        <v>118</v>
      </c>
      <c r="I457" s="59">
        <v>28423.0</v>
      </c>
      <c r="J457" s="56">
        <f t="shared" si="28"/>
        <v>48</v>
      </c>
      <c r="K457" s="56">
        <v>3.310807887E9</v>
      </c>
      <c r="L457" s="60"/>
      <c r="M457" s="59">
        <v>39264.0</v>
      </c>
      <c r="N457" s="60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8.75" customHeight="1">
      <c r="A458" s="56">
        <f t="shared" si="16"/>
        <v>455</v>
      </c>
      <c r="B458" s="56" t="str">
        <f t="shared" si="26"/>
        <v>MV28</v>
      </c>
      <c r="C458" s="72" t="s">
        <v>1163</v>
      </c>
      <c r="D458" s="56" t="s">
        <v>128</v>
      </c>
      <c r="E458" s="58" t="s">
        <v>40</v>
      </c>
      <c r="F458" s="58" t="s">
        <v>36</v>
      </c>
      <c r="G458" s="58" t="s">
        <v>118</v>
      </c>
      <c r="H458" s="56" t="s">
        <v>118</v>
      </c>
      <c r="I458" s="73">
        <v>40188.0</v>
      </c>
      <c r="J458" s="56">
        <f t="shared" si="28"/>
        <v>16</v>
      </c>
      <c r="K458" s="58">
        <v>3.322852368E9</v>
      </c>
      <c r="L458" s="71" t="s">
        <v>1164</v>
      </c>
      <c r="M458" s="73">
        <v>46046.0</v>
      </c>
      <c r="N458" s="71" t="s">
        <v>1165</v>
      </c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8.75" customHeight="1">
      <c r="A459" s="56">
        <f t="shared" si="16"/>
        <v>456</v>
      </c>
      <c r="B459" s="56" t="str">
        <f t="shared" si="26"/>
        <v>HS25</v>
      </c>
      <c r="C459" s="57" t="s">
        <v>1166</v>
      </c>
      <c r="D459" s="56" t="s">
        <v>117</v>
      </c>
      <c r="E459" s="56" t="s">
        <v>40</v>
      </c>
      <c r="F459" s="56" t="s">
        <v>43</v>
      </c>
      <c r="G459" s="58" t="s">
        <v>118</v>
      </c>
      <c r="H459" s="56" t="s">
        <v>118</v>
      </c>
      <c r="I459" s="59">
        <v>37775.0</v>
      </c>
      <c r="J459" s="56">
        <f t="shared" si="28"/>
        <v>22</v>
      </c>
      <c r="K459" s="56"/>
      <c r="L459" s="60" t="s">
        <v>1167</v>
      </c>
      <c r="M459" s="59">
        <v>43370.0</v>
      </c>
      <c r="N459" s="71" t="s">
        <v>1168</v>
      </c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8.75" customHeight="1">
      <c r="A460" s="56">
        <f t="shared" si="16"/>
        <v>457</v>
      </c>
      <c r="B460" s="56" t="str">
        <f t="shared" si="26"/>
        <v>HD11</v>
      </c>
      <c r="C460" s="72" t="s">
        <v>1169</v>
      </c>
      <c r="D460" s="58" t="s">
        <v>117</v>
      </c>
      <c r="E460" s="58" t="s">
        <v>40</v>
      </c>
      <c r="F460" s="58" t="s">
        <v>49</v>
      </c>
      <c r="G460" s="56"/>
      <c r="H460" s="56" t="s">
        <v>118</v>
      </c>
      <c r="I460" s="73">
        <v>38854.0</v>
      </c>
      <c r="J460" s="56">
        <f t="shared" si="28"/>
        <v>19</v>
      </c>
      <c r="K460" s="58">
        <v>3.325581513E9</v>
      </c>
      <c r="L460" s="71" t="s">
        <v>1170</v>
      </c>
      <c r="M460" s="73">
        <v>42253.0</v>
      </c>
      <c r="N460" s="60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8.75" hidden="1" customHeight="1">
      <c r="A461" s="56">
        <f t="shared" si="16"/>
        <v>458</v>
      </c>
      <c r="B461" s="56" t="str">
        <f t="shared" si="26"/>
        <v>MB114</v>
      </c>
      <c r="C461" s="57" t="s">
        <v>1171</v>
      </c>
      <c r="D461" s="56" t="s">
        <v>128</v>
      </c>
      <c r="E461" s="56" t="s">
        <v>16</v>
      </c>
      <c r="F461" s="56" t="s">
        <v>7</v>
      </c>
      <c r="G461" s="56" t="s">
        <v>118</v>
      </c>
      <c r="H461" s="56" t="s">
        <v>118</v>
      </c>
      <c r="I461" s="59">
        <v>26598.0</v>
      </c>
      <c r="J461" s="56">
        <f t="shared" si="28"/>
        <v>53</v>
      </c>
      <c r="K461" s="56">
        <v>3.310658129E9</v>
      </c>
      <c r="L461" s="60" t="s">
        <v>1172</v>
      </c>
      <c r="M461" s="59"/>
      <c r="N461" s="60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8.75" customHeight="1">
      <c r="A462" s="43">
        <f t="shared" si="16"/>
        <v>459</v>
      </c>
      <c r="B462" s="43" t="str">
        <f>IF(C462="","",D462&amp;$F$761&amp;COUNTIFS($D$4:D462,$D$761,$F$4:F462,$F$761))</f>
        <v>HL19</v>
      </c>
      <c r="C462" s="44" t="s">
        <v>1173</v>
      </c>
      <c r="D462" s="45" t="s">
        <v>117</v>
      </c>
      <c r="E462" s="45" t="s">
        <v>40</v>
      </c>
      <c r="F462" s="45" t="s">
        <v>36</v>
      </c>
      <c r="G462" s="45"/>
      <c r="H462" s="45" t="s">
        <v>118</v>
      </c>
      <c r="I462" s="63">
        <v>40302.0</v>
      </c>
      <c r="J462" s="43">
        <f>IF($C$761="","",DATEDIF(I462,TODAY(),"Y"))</f>
        <v>15</v>
      </c>
      <c r="K462" s="45" t="s">
        <v>1174</v>
      </c>
      <c r="L462" s="48" t="s">
        <v>1175</v>
      </c>
      <c r="M462" s="63">
        <v>45481.0</v>
      </c>
      <c r="N462" s="48" t="s">
        <v>1176</v>
      </c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8.75" hidden="1" customHeight="1">
      <c r="A463" s="56">
        <f t="shared" si="16"/>
        <v>460</v>
      </c>
      <c r="B463" s="56" t="str">
        <f t="shared" ref="B463:B465" si="29">IF(C463="","",D463&amp;F463&amp;COUNTIFS($D$4:D463,D463,$F$4:F463,F463))</f>
        <v>MB115</v>
      </c>
      <c r="C463" s="57" t="s">
        <v>1177</v>
      </c>
      <c r="D463" s="56" t="s">
        <v>128</v>
      </c>
      <c r="E463" s="56" t="s">
        <v>40</v>
      </c>
      <c r="F463" s="58" t="s">
        <v>7</v>
      </c>
      <c r="G463" s="56" t="s">
        <v>118</v>
      </c>
      <c r="H463" s="56" t="s">
        <v>118</v>
      </c>
      <c r="I463" s="59">
        <v>39315.0</v>
      </c>
      <c r="J463" s="56">
        <f t="shared" ref="J463:J464" si="30">IF(C463="","",DATEDIF(I463,TODAY(),"Y"))</f>
        <v>18</v>
      </c>
      <c r="K463" s="56">
        <v>5.562173928E9</v>
      </c>
      <c r="L463" s="60" t="s">
        <v>1178</v>
      </c>
      <c r="M463" s="59">
        <v>44467.0</v>
      </c>
      <c r="N463" s="60" t="s">
        <v>1179</v>
      </c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8.75" hidden="1" customHeight="1">
      <c r="A464" s="56">
        <f t="shared" si="16"/>
        <v>461</v>
      </c>
      <c r="B464" s="56" t="str">
        <f t="shared" si="29"/>
        <v>HB115</v>
      </c>
      <c r="C464" s="57" t="s">
        <v>1180</v>
      </c>
      <c r="D464" s="56" t="s">
        <v>117</v>
      </c>
      <c r="E464" s="56" t="s">
        <v>40</v>
      </c>
      <c r="F464" s="58" t="s">
        <v>7</v>
      </c>
      <c r="G464" s="56" t="s">
        <v>118</v>
      </c>
      <c r="H464" s="56" t="s">
        <v>118</v>
      </c>
      <c r="I464" s="59">
        <v>37804.0</v>
      </c>
      <c r="J464" s="56">
        <f t="shared" si="30"/>
        <v>22</v>
      </c>
      <c r="K464" s="56">
        <v>3.313369072E9</v>
      </c>
      <c r="L464" s="60" t="s">
        <v>1181</v>
      </c>
      <c r="M464" s="59">
        <v>43376.0</v>
      </c>
      <c r="N464" s="60" t="s">
        <v>233</v>
      </c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8.75" customHeight="1">
      <c r="A465" s="56">
        <f t="shared" si="16"/>
        <v>462</v>
      </c>
      <c r="B465" s="56" t="str">
        <f t="shared" si="29"/>
        <v>MMa19</v>
      </c>
      <c r="C465" s="57" t="s">
        <v>1182</v>
      </c>
      <c r="D465" s="56" t="s">
        <v>128</v>
      </c>
      <c r="E465" s="56" t="s">
        <v>40</v>
      </c>
      <c r="F465" s="56" t="s">
        <v>18</v>
      </c>
      <c r="G465" s="58" t="s">
        <v>118</v>
      </c>
      <c r="H465" s="56" t="s">
        <v>118</v>
      </c>
      <c r="I465" s="59">
        <v>38759.0</v>
      </c>
      <c r="J465" s="56">
        <f t="shared" ref="J465:J466" si="31">IF($C$761="","",DATEDIF(I465,TODAY(),"Y"))</f>
        <v>20</v>
      </c>
      <c r="K465" s="56">
        <v>3.325370466E9</v>
      </c>
      <c r="L465" s="60" t="s">
        <v>1183</v>
      </c>
      <c r="M465" s="59">
        <v>45349.0</v>
      </c>
      <c r="N465" s="60" t="s">
        <v>1184</v>
      </c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8.75" hidden="1" customHeight="1">
      <c r="A466" s="56">
        <f t="shared" si="16"/>
        <v>463</v>
      </c>
      <c r="B466" s="56" t="str">
        <f>IF(C466="","",D466&amp;$F$761&amp;COUNTIFS($D$4:D466,$D$761,$F$4:F466,$F$761))</f>
        <v>ML19</v>
      </c>
      <c r="C466" s="72" t="s">
        <v>1185</v>
      </c>
      <c r="D466" s="58" t="s">
        <v>128</v>
      </c>
      <c r="E466" s="58" t="s">
        <v>40</v>
      </c>
      <c r="F466" s="58" t="s">
        <v>7</v>
      </c>
      <c r="G466" s="58" t="s">
        <v>118</v>
      </c>
      <c r="H466" s="58" t="s">
        <v>118</v>
      </c>
      <c r="I466" s="73">
        <v>40066.0</v>
      </c>
      <c r="J466" s="56">
        <f t="shared" si="31"/>
        <v>16</v>
      </c>
      <c r="K466" s="58">
        <v>6.693334275E9</v>
      </c>
      <c r="L466" s="71" t="s">
        <v>1186</v>
      </c>
      <c r="M466" s="73">
        <v>45429.0</v>
      </c>
      <c r="N466" s="60" t="s">
        <v>300</v>
      </c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8.75" hidden="1" customHeight="1">
      <c r="A467" s="56">
        <f t="shared" si="16"/>
        <v>464</v>
      </c>
      <c r="B467" s="56" t="str">
        <f t="shared" ref="B467:B482" si="32">IF(C467="","",D467&amp;F467&amp;COUNTIFS($D$4:D467,D467,$F$4:F467,F467))</f>
        <v>MB117</v>
      </c>
      <c r="C467" s="57" t="s">
        <v>1187</v>
      </c>
      <c r="D467" s="56" t="s">
        <v>128</v>
      </c>
      <c r="E467" s="56" t="s">
        <v>40</v>
      </c>
      <c r="F467" s="56" t="s">
        <v>7</v>
      </c>
      <c r="G467" s="56" t="s">
        <v>118</v>
      </c>
      <c r="H467" s="56" t="s">
        <v>118</v>
      </c>
      <c r="I467" s="59">
        <v>35941.0</v>
      </c>
      <c r="J467" s="56">
        <f t="shared" ref="J467:J482" si="33">IF(C467="","",DATEDIF(I467,TODAY(),"Y"))</f>
        <v>27</v>
      </c>
      <c r="K467" s="56">
        <v>5.611218429E9</v>
      </c>
      <c r="L467" s="60" t="s">
        <v>1188</v>
      </c>
      <c r="M467" s="59">
        <v>44799.0</v>
      </c>
      <c r="N467" s="60" t="s">
        <v>1189</v>
      </c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8.75" hidden="1" customHeight="1">
      <c r="A468" s="56">
        <f t="shared" si="16"/>
        <v>465</v>
      </c>
      <c r="B468" s="56" t="str">
        <f t="shared" si="32"/>
        <v>MB118</v>
      </c>
      <c r="C468" s="57" t="s">
        <v>1190</v>
      </c>
      <c r="D468" s="56" t="s">
        <v>128</v>
      </c>
      <c r="E468" s="56" t="s">
        <v>40</v>
      </c>
      <c r="F468" s="56" t="s">
        <v>7</v>
      </c>
      <c r="G468" s="56" t="s">
        <v>118</v>
      </c>
      <c r="H468" s="56" t="s">
        <v>118</v>
      </c>
      <c r="I468" s="59">
        <v>34497.0</v>
      </c>
      <c r="J468" s="56">
        <f t="shared" si="33"/>
        <v>31</v>
      </c>
      <c r="K468" s="56">
        <v>3.311404956E9</v>
      </c>
      <c r="L468" s="60" t="s">
        <v>1191</v>
      </c>
      <c r="M468" s="59"/>
      <c r="N468" s="60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8.75" hidden="1" customHeight="1">
      <c r="A469" s="56">
        <f t="shared" si="16"/>
        <v>466</v>
      </c>
      <c r="B469" s="56" t="str">
        <f t="shared" si="32"/>
        <v>MB119</v>
      </c>
      <c r="C469" s="57" t="s">
        <v>1192</v>
      </c>
      <c r="D469" s="56" t="s">
        <v>128</v>
      </c>
      <c r="E469" s="56" t="s">
        <v>22</v>
      </c>
      <c r="F469" s="58" t="s">
        <v>7</v>
      </c>
      <c r="G469" s="56" t="s">
        <v>118</v>
      </c>
      <c r="H469" s="56" t="s">
        <v>118</v>
      </c>
      <c r="I469" s="59">
        <v>28313.0</v>
      </c>
      <c r="J469" s="56">
        <f t="shared" si="33"/>
        <v>48</v>
      </c>
      <c r="K469" s="56"/>
      <c r="L469" s="60"/>
      <c r="M469" s="59">
        <v>43265.0</v>
      </c>
      <c r="N469" s="60" t="s">
        <v>1193</v>
      </c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8.75" hidden="1" customHeight="1">
      <c r="A470" s="56">
        <f t="shared" si="16"/>
        <v>467</v>
      </c>
      <c r="B470" s="56" t="str">
        <f t="shared" si="32"/>
        <v>MB120</v>
      </c>
      <c r="C470" s="57" t="s">
        <v>1194</v>
      </c>
      <c r="D470" s="56" t="s">
        <v>128</v>
      </c>
      <c r="E470" s="56" t="s">
        <v>28</v>
      </c>
      <c r="F470" s="58" t="s">
        <v>7</v>
      </c>
      <c r="G470" s="56" t="s">
        <v>118</v>
      </c>
      <c r="H470" s="56" t="s">
        <v>118</v>
      </c>
      <c r="I470" s="59">
        <v>36547.0</v>
      </c>
      <c r="J470" s="56">
        <f t="shared" si="33"/>
        <v>26</v>
      </c>
      <c r="K470" s="56">
        <v>3.321083522E9</v>
      </c>
      <c r="L470" s="60" t="s">
        <v>1195</v>
      </c>
      <c r="M470" s="59"/>
      <c r="N470" s="60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8.75" customHeight="1">
      <c r="A471" s="56">
        <f t="shared" si="16"/>
        <v>468</v>
      </c>
      <c r="B471" s="56" t="str">
        <f t="shared" si="32"/>
        <v>ML20</v>
      </c>
      <c r="C471" s="57" t="s">
        <v>1196</v>
      </c>
      <c r="D471" s="56" t="s">
        <v>128</v>
      </c>
      <c r="E471" s="56" t="s">
        <v>34</v>
      </c>
      <c r="F471" s="56" t="s">
        <v>12</v>
      </c>
      <c r="G471" s="58" t="s">
        <v>118</v>
      </c>
      <c r="H471" s="56" t="s">
        <v>118</v>
      </c>
      <c r="I471" s="59">
        <v>16523.0</v>
      </c>
      <c r="J471" s="56">
        <f t="shared" si="33"/>
        <v>81</v>
      </c>
      <c r="K471" s="56">
        <v>3.310388699E9</v>
      </c>
      <c r="L471" s="60" t="s">
        <v>1197</v>
      </c>
      <c r="M471" s="59"/>
      <c r="N471" s="71" t="s">
        <v>900</v>
      </c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8.75" hidden="1" customHeight="1">
      <c r="A472" s="56">
        <f t="shared" si="16"/>
        <v>469</v>
      </c>
      <c r="B472" s="56" t="str">
        <f t="shared" si="32"/>
        <v>MB121</v>
      </c>
      <c r="C472" s="57" t="s">
        <v>1198</v>
      </c>
      <c r="D472" s="56" t="s">
        <v>128</v>
      </c>
      <c r="E472" s="56" t="s">
        <v>40</v>
      </c>
      <c r="F472" s="56" t="s">
        <v>7</v>
      </c>
      <c r="G472" s="56" t="s">
        <v>118</v>
      </c>
      <c r="H472" s="56" t="s">
        <v>118</v>
      </c>
      <c r="I472" s="59">
        <v>36604.0</v>
      </c>
      <c r="J472" s="56">
        <f t="shared" si="33"/>
        <v>26</v>
      </c>
      <c r="K472" s="56">
        <v>3.31145248E9</v>
      </c>
      <c r="L472" s="60" t="s">
        <v>1199</v>
      </c>
      <c r="M472" s="59">
        <v>43710.0</v>
      </c>
      <c r="N472" s="60" t="s">
        <v>486</v>
      </c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8.75" hidden="1" customHeight="1">
      <c r="A473" s="56">
        <f t="shared" si="16"/>
        <v>470</v>
      </c>
      <c r="B473" s="56" t="str">
        <f t="shared" si="32"/>
        <v>MB122</v>
      </c>
      <c r="C473" s="57" t="s">
        <v>1200</v>
      </c>
      <c r="D473" s="56" t="s">
        <v>128</v>
      </c>
      <c r="E473" s="56" t="s">
        <v>40</v>
      </c>
      <c r="F473" s="56" t="s">
        <v>7</v>
      </c>
      <c r="G473" s="56" t="s">
        <v>118</v>
      </c>
      <c r="H473" s="56" t="s">
        <v>118</v>
      </c>
      <c r="I473" s="59">
        <v>34034.0</v>
      </c>
      <c r="J473" s="56">
        <f t="shared" si="33"/>
        <v>33</v>
      </c>
      <c r="K473" s="56"/>
      <c r="L473" s="60" t="s">
        <v>1199</v>
      </c>
      <c r="M473" s="59">
        <v>43339.0</v>
      </c>
      <c r="N473" s="60" t="s">
        <v>0</v>
      </c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8.75" customHeight="1">
      <c r="A474" s="56">
        <f t="shared" si="16"/>
        <v>471</v>
      </c>
      <c r="B474" s="56" t="str">
        <f t="shared" si="32"/>
        <v>MMa20</v>
      </c>
      <c r="C474" s="57" t="s">
        <v>1201</v>
      </c>
      <c r="D474" s="56" t="s">
        <v>128</v>
      </c>
      <c r="E474" s="56" t="s">
        <v>140</v>
      </c>
      <c r="F474" s="56" t="s">
        <v>18</v>
      </c>
      <c r="G474" s="58" t="s">
        <v>118</v>
      </c>
      <c r="H474" s="56" t="s">
        <v>118</v>
      </c>
      <c r="I474" s="59">
        <v>18526.0</v>
      </c>
      <c r="J474" s="56">
        <f t="shared" si="33"/>
        <v>75</v>
      </c>
      <c r="K474" s="56">
        <v>3.312375698E9</v>
      </c>
      <c r="L474" s="60" t="s">
        <v>1202</v>
      </c>
      <c r="M474" s="59"/>
      <c r="N474" s="60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8.75" hidden="1" customHeight="1">
      <c r="A475" s="56">
        <f t="shared" si="16"/>
        <v>472</v>
      </c>
      <c r="B475" s="56" t="str">
        <f t="shared" si="32"/>
        <v>HB116</v>
      </c>
      <c r="C475" s="57" t="s">
        <v>1203</v>
      </c>
      <c r="D475" s="56" t="s">
        <v>117</v>
      </c>
      <c r="E475" s="56" t="s">
        <v>16</v>
      </c>
      <c r="F475" s="58" t="s">
        <v>7</v>
      </c>
      <c r="G475" s="56" t="s">
        <v>118</v>
      </c>
      <c r="H475" s="56" t="s">
        <v>118</v>
      </c>
      <c r="I475" s="59">
        <v>24698.0</v>
      </c>
      <c r="J475" s="56">
        <f t="shared" si="33"/>
        <v>58</v>
      </c>
      <c r="K475" s="56">
        <v>5.646417209E9</v>
      </c>
      <c r="L475" s="60" t="s">
        <v>1204</v>
      </c>
      <c r="M475" s="59">
        <v>45200.0</v>
      </c>
      <c r="N475" s="60" t="s">
        <v>1205</v>
      </c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8.75" hidden="1" customHeight="1">
      <c r="A476" s="56">
        <f t="shared" si="16"/>
        <v>473</v>
      </c>
      <c r="B476" s="56" t="str">
        <f t="shared" si="32"/>
        <v>HB117</v>
      </c>
      <c r="C476" s="57" t="s">
        <v>1206</v>
      </c>
      <c r="D476" s="56" t="s">
        <v>117</v>
      </c>
      <c r="E476" s="56" t="s">
        <v>446</v>
      </c>
      <c r="F476" s="56" t="s">
        <v>7</v>
      </c>
      <c r="G476" s="56" t="s">
        <v>118</v>
      </c>
      <c r="H476" s="56" t="s">
        <v>118</v>
      </c>
      <c r="I476" s="59">
        <v>34162.0</v>
      </c>
      <c r="J476" s="56">
        <f t="shared" si="33"/>
        <v>32</v>
      </c>
      <c r="K476" s="56">
        <v>3.320681505E9</v>
      </c>
      <c r="L476" s="60" t="s">
        <v>1207</v>
      </c>
      <c r="M476" s="59"/>
      <c r="N476" s="60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8.75" hidden="1" customHeight="1">
      <c r="A477" s="56">
        <f t="shared" si="16"/>
        <v>474</v>
      </c>
      <c r="B477" s="56" t="str">
        <f t="shared" si="32"/>
        <v>HB118</v>
      </c>
      <c r="C477" s="57" t="s">
        <v>1208</v>
      </c>
      <c r="D477" s="56" t="s">
        <v>117</v>
      </c>
      <c r="E477" s="56" t="s">
        <v>40</v>
      </c>
      <c r="F477" s="56" t="s">
        <v>7</v>
      </c>
      <c r="G477" s="56" t="s">
        <v>118</v>
      </c>
      <c r="H477" s="56" t="s">
        <v>118</v>
      </c>
      <c r="I477" s="59">
        <v>37515.0</v>
      </c>
      <c r="J477" s="56">
        <f t="shared" si="33"/>
        <v>23</v>
      </c>
      <c r="K477" s="56">
        <v>3.312718302E9</v>
      </c>
      <c r="L477" s="60" t="s">
        <v>1209</v>
      </c>
      <c r="M477" s="59"/>
      <c r="N477" s="60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8.75" hidden="1" customHeight="1">
      <c r="A478" s="56">
        <f t="shared" si="16"/>
        <v>475</v>
      </c>
      <c r="B478" s="56" t="str">
        <f t="shared" si="32"/>
        <v>HB119</v>
      </c>
      <c r="C478" s="57" t="s">
        <v>1210</v>
      </c>
      <c r="D478" s="56" t="s">
        <v>117</v>
      </c>
      <c r="E478" s="56" t="s">
        <v>446</v>
      </c>
      <c r="F478" s="56" t="s">
        <v>7</v>
      </c>
      <c r="G478" s="56" t="s">
        <v>118</v>
      </c>
      <c r="H478" s="56" t="s">
        <v>118</v>
      </c>
      <c r="I478" s="59">
        <v>34503.0</v>
      </c>
      <c r="J478" s="56">
        <f t="shared" si="33"/>
        <v>31</v>
      </c>
      <c r="K478" s="56">
        <v>3.321228447E9</v>
      </c>
      <c r="L478" s="60" t="s">
        <v>179</v>
      </c>
      <c r="M478" s="59"/>
      <c r="N478" s="60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8.75" customHeight="1">
      <c r="A479" s="56">
        <f t="shared" si="16"/>
        <v>476</v>
      </c>
      <c r="B479" s="56" t="str">
        <f t="shared" si="32"/>
        <v>HJ12</v>
      </c>
      <c r="C479" s="57" t="s">
        <v>1211</v>
      </c>
      <c r="D479" s="56" t="s">
        <v>117</v>
      </c>
      <c r="E479" s="56" t="s">
        <v>34</v>
      </c>
      <c r="F479" s="56" t="s">
        <v>30</v>
      </c>
      <c r="G479" s="58" t="s">
        <v>118</v>
      </c>
      <c r="H479" s="56" t="s">
        <v>118</v>
      </c>
      <c r="I479" s="59">
        <v>21678.0</v>
      </c>
      <c r="J479" s="56">
        <f t="shared" si="33"/>
        <v>66</v>
      </c>
      <c r="K479" s="56">
        <v>3.318261657E9</v>
      </c>
      <c r="L479" s="60" t="s">
        <v>1212</v>
      </c>
      <c r="M479" s="59"/>
      <c r="N479" s="71" t="s">
        <v>362</v>
      </c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8.75" customHeight="1">
      <c r="A480" s="56">
        <f t="shared" si="16"/>
        <v>477</v>
      </c>
      <c r="B480" s="56" t="str">
        <f t="shared" si="32"/>
        <v>MS19</v>
      </c>
      <c r="C480" s="57" t="s">
        <v>1213</v>
      </c>
      <c r="D480" s="56" t="s">
        <v>128</v>
      </c>
      <c r="E480" s="56" t="s">
        <v>40</v>
      </c>
      <c r="F480" s="56" t="s">
        <v>43</v>
      </c>
      <c r="G480" s="58" t="s">
        <v>118</v>
      </c>
      <c r="H480" s="56" t="s">
        <v>118</v>
      </c>
      <c r="I480" s="59">
        <v>39945.0</v>
      </c>
      <c r="J480" s="56">
        <f t="shared" si="33"/>
        <v>16</v>
      </c>
      <c r="K480" s="56"/>
      <c r="L480" s="60" t="s">
        <v>1214</v>
      </c>
      <c r="M480" s="59">
        <v>45340.0</v>
      </c>
      <c r="N480" s="71" t="s">
        <v>174</v>
      </c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8.75" hidden="1" customHeight="1">
      <c r="A481" s="56">
        <f t="shared" si="16"/>
        <v>478</v>
      </c>
      <c r="B481" s="56" t="str">
        <f t="shared" si="32"/>
        <v>HB120</v>
      </c>
      <c r="C481" s="57" t="s">
        <v>1215</v>
      </c>
      <c r="D481" s="56" t="s">
        <v>117</v>
      </c>
      <c r="E481" s="56" t="s">
        <v>140</v>
      </c>
      <c r="F481" s="58" t="s">
        <v>7</v>
      </c>
      <c r="G481" s="56" t="s">
        <v>118</v>
      </c>
      <c r="H481" s="56" t="s">
        <v>118</v>
      </c>
      <c r="I481" s="59">
        <v>18064.0</v>
      </c>
      <c r="J481" s="56">
        <f t="shared" si="33"/>
        <v>76</v>
      </c>
      <c r="K481" s="56">
        <v>3.317891836E9</v>
      </c>
      <c r="L481" s="60" t="s">
        <v>1216</v>
      </c>
      <c r="M481" s="59"/>
      <c r="N481" s="60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8.75" customHeight="1">
      <c r="A482" s="56">
        <f t="shared" si="16"/>
        <v>479</v>
      </c>
      <c r="B482" s="56" t="str">
        <f t="shared" si="32"/>
        <v>MJ35</v>
      </c>
      <c r="C482" s="72" t="s">
        <v>1217</v>
      </c>
      <c r="D482" s="58" t="s">
        <v>128</v>
      </c>
      <c r="E482" s="58" t="s">
        <v>34</v>
      </c>
      <c r="F482" s="58" t="s">
        <v>30</v>
      </c>
      <c r="G482" s="58" t="s">
        <v>118</v>
      </c>
      <c r="H482" s="56" t="s">
        <v>118</v>
      </c>
      <c r="I482" s="73">
        <v>20360.0</v>
      </c>
      <c r="J482" s="56">
        <f t="shared" si="33"/>
        <v>70</v>
      </c>
      <c r="K482" s="58">
        <v>3.311336197E9</v>
      </c>
      <c r="L482" s="89" t="s">
        <v>1218</v>
      </c>
      <c r="M482" s="73">
        <v>46070.0</v>
      </c>
      <c r="N482" s="71" t="s">
        <v>1219</v>
      </c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8.75" hidden="1" customHeight="1">
      <c r="A483" s="56">
        <f t="shared" si="16"/>
        <v>480</v>
      </c>
      <c r="B483" s="56" t="str">
        <f>IF(C483="","",D483&amp;$F$761&amp;COUNTIFS($D$4:D483,$D$761,$F$4:F483,$F$761))</f>
        <v>ML20</v>
      </c>
      <c r="C483" s="72" t="s">
        <v>1220</v>
      </c>
      <c r="D483" s="58" t="s">
        <v>128</v>
      </c>
      <c r="E483" s="58" t="s">
        <v>22</v>
      </c>
      <c r="F483" s="58" t="s">
        <v>7</v>
      </c>
      <c r="G483" s="58" t="s">
        <v>118</v>
      </c>
      <c r="H483" s="58" t="s">
        <v>118</v>
      </c>
      <c r="I483" s="73">
        <v>34096.0</v>
      </c>
      <c r="J483" s="56">
        <f>IF($C$761="","",DATEDIF(I483,TODAY(),"Y"))</f>
        <v>32</v>
      </c>
      <c r="K483" s="58">
        <v>3.319068504E9</v>
      </c>
      <c r="L483" s="71" t="s">
        <v>1221</v>
      </c>
      <c r="M483" s="73">
        <v>45409.0</v>
      </c>
      <c r="N483" s="71" t="s">
        <v>1222</v>
      </c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8.75" customHeight="1">
      <c r="A484" s="56">
        <f t="shared" si="16"/>
        <v>481</v>
      </c>
      <c r="B484" s="56" t="str">
        <f t="shared" ref="B484:B541" si="34">IF(C484="","",D484&amp;F484&amp;COUNTIFS($D$4:D484,D484,$F$4:F484,F484))</f>
        <v>MV29</v>
      </c>
      <c r="C484" s="57" t="s">
        <v>1223</v>
      </c>
      <c r="D484" s="56" t="s">
        <v>128</v>
      </c>
      <c r="E484" s="56" t="s">
        <v>22</v>
      </c>
      <c r="F484" s="56" t="s">
        <v>36</v>
      </c>
      <c r="G484" s="56"/>
      <c r="H484" s="56" t="s">
        <v>118</v>
      </c>
      <c r="I484" s="59">
        <v>31495.0</v>
      </c>
      <c r="J484" s="56">
        <f t="shared" ref="J484:J511" si="35">IF(C484="","",DATEDIF(I484,TODAY(),"Y"))</f>
        <v>40</v>
      </c>
      <c r="K484" s="56">
        <v>3.333930369E9</v>
      </c>
      <c r="L484" s="60" t="s">
        <v>1224</v>
      </c>
      <c r="M484" s="59">
        <v>44617.0</v>
      </c>
      <c r="N484" s="60" t="s">
        <v>1225</v>
      </c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8.75" customHeight="1">
      <c r="A485" s="56">
        <f t="shared" si="16"/>
        <v>482</v>
      </c>
      <c r="B485" s="56" t="str">
        <f t="shared" si="34"/>
        <v>MS20</v>
      </c>
      <c r="C485" s="72" t="s">
        <v>1226</v>
      </c>
      <c r="D485" s="56" t="s">
        <v>128</v>
      </c>
      <c r="E485" s="58" t="s">
        <v>40</v>
      </c>
      <c r="F485" s="58" t="s">
        <v>43</v>
      </c>
      <c r="G485" s="58" t="s">
        <v>118</v>
      </c>
      <c r="H485" s="56" t="s">
        <v>118</v>
      </c>
      <c r="I485" s="73">
        <v>36781.0</v>
      </c>
      <c r="J485" s="56">
        <f t="shared" si="35"/>
        <v>25</v>
      </c>
      <c r="K485" s="58">
        <v>3.325639762E9</v>
      </c>
      <c r="L485" s="71" t="s">
        <v>953</v>
      </c>
      <c r="M485" s="73">
        <v>45779.0</v>
      </c>
      <c r="N485" s="71" t="s">
        <v>954</v>
      </c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8.75" hidden="1" customHeight="1">
      <c r="A486" s="56">
        <f t="shared" si="16"/>
        <v>483</v>
      </c>
      <c r="B486" s="56" t="str">
        <f t="shared" si="34"/>
        <v>MB124</v>
      </c>
      <c r="C486" s="57" t="s">
        <v>1227</v>
      </c>
      <c r="D486" s="56" t="s">
        <v>128</v>
      </c>
      <c r="E486" s="56" t="s">
        <v>40</v>
      </c>
      <c r="F486" s="58" t="s">
        <v>7</v>
      </c>
      <c r="G486" s="56" t="s">
        <v>118</v>
      </c>
      <c r="H486" s="56" t="s">
        <v>118</v>
      </c>
      <c r="I486" s="59">
        <v>38589.0</v>
      </c>
      <c r="J486" s="56">
        <f t="shared" si="35"/>
        <v>20</v>
      </c>
      <c r="K486" s="56">
        <v>3.315550055E9</v>
      </c>
      <c r="L486" s="60" t="s">
        <v>1228</v>
      </c>
      <c r="M486" s="59">
        <v>43857.0</v>
      </c>
      <c r="N486" s="60" t="s">
        <v>235</v>
      </c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8.75" hidden="1" customHeight="1">
      <c r="A487" s="56">
        <f t="shared" si="16"/>
        <v>484</v>
      </c>
      <c r="B487" s="56" t="str">
        <f t="shared" si="34"/>
        <v>HB121</v>
      </c>
      <c r="C487" s="57" t="s">
        <v>1229</v>
      </c>
      <c r="D487" s="56" t="s">
        <v>117</v>
      </c>
      <c r="E487" s="56" t="s">
        <v>40</v>
      </c>
      <c r="F487" s="58" t="s">
        <v>7</v>
      </c>
      <c r="G487" s="56" t="s">
        <v>118</v>
      </c>
      <c r="H487" s="56" t="s">
        <v>118</v>
      </c>
      <c r="I487" s="59">
        <v>38174.0</v>
      </c>
      <c r="J487" s="56">
        <f t="shared" si="35"/>
        <v>21</v>
      </c>
      <c r="K487" s="56">
        <v>3.310727255E9</v>
      </c>
      <c r="L487" s="60" t="s">
        <v>1230</v>
      </c>
      <c r="M487" s="59">
        <v>43501.0</v>
      </c>
      <c r="N487" s="60" t="s">
        <v>218</v>
      </c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8.75" customHeight="1">
      <c r="A488" s="56">
        <f t="shared" si="16"/>
        <v>485</v>
      </c>
      <c r="B488" s="56" t="str">
        <f t="shared" si="34"/>
        <v>HS26</v>
      </c>
      <c r="C488" s="57" t="s">
        <v>1231</v>
      </c>
      <c r="D488" s="56" t="s">
        <v>117</v>
      </c>
      <c r="E488" s="56" t="s">
        <v>40</v>
      </c>
      <c r="F488" s="56" t="s">
        <v>43</v>
      </c>
      <c r="G488" s="58" t="s">
        <v>118</v>
      </c>
      <c r="H488" s="56" t="s">
        <v>118</v>
      </c>
      <c r="I488" s="59">
        <v>38515.0</v>
      </c>
      <c r="J488" s="56">
        <f t="shared" si="35"/>
        <v>20</v>
      </c>
      <c r="K488" s="56">
        <v>3.32048041E9</v>
      </c>
      <c r="L488" s="60" t="s">
        <v>1232</v>
      </c>
      <c r="M488" s="59">
        <v>43861.0</v>
      </c>
      <c r="N488" s="71" t="s">
        <v>1233</v>
      </c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8.75" customHeight="1">
      <c r="A489" s="56">
        <f t="shared" si="16"/>
        <v>486</v>
      </c>
      <c r="B489" s="56" t="str">
        <f t="shared" si="34"/>
        <v>HS27</v>
      </c>
      <c r="C489" s="72" t="s">
        <v>1234</v>
      </c>
      <c r="D489" s="56" t="s">
        <v>117</v>
      </c>
      <c r="E489" s="56" t="s">
        <v>40</v>
      </c>
      <c r="F489" s="56" t="s">
        <v>43</v>
      </c>
      <c r="G489" s="56"/>
      <c r="H489" s="56" t="s">
        <v>118</v>
      </c>
      <c r="I489" s="59">
        <v>36324.0</v>
      </c>
      <c r="J489" s="56">
        <f t="shared" si="35"/>
        <v>26</v>
      </c>
      <c r="K489" s="56"/>
      <c r="L489" s="60" t="s">
        <v>1235</v>
      </c>
      <c r="M489" s="59"/>
      <c r="N489" s="60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8.75" hidden="1" customHeight="1">
      <c r="A490" s="56">
        <f t="shared" si="16"/>
        <v>487</v>
      </c>
      <c r="B490" s="56" t="str">
        <f t="shared" si="34"/>
        <v>HB122</v>
      </c>
      <c r="C490" s="57" t="s">
        <v>1236</v>
      </c>
      <c r="D490" s="56" t="s">
        <v>117</v>
      </c>
      <c r="E490" s="56" t="s">
        <v>34</v>
      </c>
      <c r="F490" s="56" t="s">
        <v>7</v>
      </c>
      <c r="G490" s="56" t="s">
        <v>118</v>
      </c>
      <c r="H490" s="56" t="s">
        <v>118</v>
      </c>
      <c r="I490" s="59">
        <v>26412.0</v>
      </c>
      <c r="J490" s="56">
        <f t="shared" si="35"/>
        <v>54</v>
      </c>
      <c r="K490" s="56">
        <v>3.316247505E9</v>
      </c>
      <c r="L490" s="60" t="s">
        <v>1237</v>
      </c>
      <c r="M490" s="59">
        <v>43598.0</v>
      </c>
      <c r="N490" s="60" t="s">
        <v>467</v>
      </c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8.75" hidden="1" customHeight="1">
      <c r="A491" s="56">
        <f t="shared" si="16"/>
        <v>488</v>
      </c>
      <c r="B491" s="56" t="str">
        <f t="shared" si="34"/>
        <v>HB123</v>
      </c>
      <c r="C491" s="57" t="s">
        <v>1238</v>
      </c>
      <c r="D491" s="56" t="s">
        <v>117</v>
      </c>
      <c r="E491" s="56" t="s">
        <v>40</v>
      </c>
      <c r="F491" s="56" t="s">
        <v>7</v>
      </c>
      <c r="G491" s="56" t="s">
        <v>118</v>
      </c>
      <c r="H491" s="56" t="s">
        <v>118</v>
      </c>
      <c r="I491" s="59">
        <v>37687.0</v>
      </c>
      <c r="J491" s="56">
        <f t="shared" si="35"/>
        <v>23</v>
      </c>
      <c r="K491" s="56">
        <v>3.323118333E9</v>
      </c>
      <c r="L491" s="60" t="s">
        <v>1239</v>
      </c>
      <c r="M491" s="59">
        <v>42948.0</v>
      </c>
      <c r="N491" s="60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8.75" hidden="1" customHeight="1">
      <c r="A492" s="56">
        <f t="shared" si="16"/>
        <v>489</v>
      </c>
      <c r="B492" s="56" t="str">
        <f t="shared" si="34"/>
        <v>HB124</v>
      </c>
      <c r="C492" s="57" t="s">
        <v>1240</v>
      </c>
      <c r="D492" s="56" t="s">
        <v>117</v>
      </c>
      <c r="E492" s="56" t="s">
        <v>140</v>
      </c>
      <c r="F492" s="58" t="s">
        <v>7</v>
      </c>
      <c r="G492" s="56" t="s">
        <v>118</v>
      </c>
      <c r="H492" s="56" t="s">
        <v>118</v>
      </c>
      <c r="I492" s="59">
        <v>24271.0</v>
      </c>
      <c r="J492" s="56">
        <f t="shared" si="35"/>
        <v>59</v>
      </c>
      <c r="K492" s="56">
        <v>3.312665737E9</v>
      </c>
      <c r="L492" s="60" t="s">
        <v>1241</v>
      </c>
      <c r="M492" s="59"/>
      <c r="N492" s="60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8.75" hidden="1" customHeight="1">
      <c r="A493" s="56">
        <f t="shared" si="16"/>
        <v>490</v>
      </c>
      <c r="B493" s="56" t="str">
        <f t="shared" si="34"/>
        <v>HB125</v>
      </c>
      <c r="C493" s="57" t="s">
        <v>1242</v>
      </c>
      <c r="D493" s="56" t="s">
        <v>117</v>
      </c>
      <c r="E493" s="56" t="s">
        <v>34</v>
      </c>
      <c r="F493" s="58" t="s">
        <v>7</v>
      </c>
      <c r="G493" s="56" t="s">
        <v>118</v>
      </c>
      <c r="H493" s="56" t="s">
        <v>118</v>
      </c>
      <c r="I493" s="59">
        <v>32830.0</v>
      </c>
      <c r="J493" s="56">
        <f t="shared" si="35"/>
        <v>36</v>
      </c>
      <c r="K493" s="56">
        <v>3.326570033E9</v>
      </c>
      <c r="L493" s="60" t="s">
        <v>1243</v>
      </c>
      <c r="M493" s="59">
        <v>44812.0</v>
      </c>
      <c r="N493" s="60" t="s">
        <v>467</v>
      </c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8.75" hidden="1" customHeight="1">
      <c r="A494" s="56">
        <f t="shared" si="16"/>
        <v>491</v>
      </c>
      <c r="B494" s="56" t="str">
        <f t="shared" si="34"/>
        <v>HB126</v>
      </c>
      <c r="C494" s="81" t="s">
        <v>45</v>
      </c>
      <c r="D494" s="56" t="s">
        <v>117</v>
      </c>
      <c r="E494" s="56" t="s">
        <v>34</v>
      </c>
      <c r="F494" s="56" t="s">
        <v>7</v>
      </c>
      <c r="G494" s="56" t="s">
        <v>118</v>
      </c>
      <c r="H494" s="56" t="s">
        <v>118</v>
      </c>
      <c r="I494" s="59">
        <v>12405.0</v>
      </c>
      <c r="J494" s="56">
        <f t="shared" si="35"/>
        <v>92</v>
      </c>
      <c r="K494" s="56">
        <v>4.4440274E7</v>
      </c>
      <c r="L494" s="60" t="s">
        <v>1241</v>
      </c>
      <c r="M494" s="59"/>
      <c r="N494" s="60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8.75" customHeight="1">
      <c r="A495" s="56">
        <f t="shared" si="16"/>
        <v>492</v>
      </c>
      <c r="B495" s="56" t="str">
        <f t="shared" si="34"/>
        <v>MS21</v>
      </c>
      <c r="C495" s="57" t="s">
        <v>1244</v>
      </c>
      <c r="D495" s="56" t="s">
        <v>128</v>
      </c>
      <c r="E495" s="56" t="s">
        <v>34</v>
      </c>
      <c r="F495" s="56" t="s">
        <v>43</v>
      </c>
      <c r="G495" s="56"/>
      <c r="H495" s="56" t="s">
        <v>118</v>
      </c>
      <c r="I495" s="59">
        <v>14312.0</v>
      </c>
      <c r="J495" s="56">
        <f t="shared" si="35"/>
        <v>87</v>
      </c>
      <c r="K495" s="56">
        <v>3.6089896E7</v>
      </c>
      <c r="L495" s="60" t="s">
        <v>1245</v>
      </c>
      <c r="M495" s="59">
        <v>42979.0</v>
      </c>
      <c r="N495" s="60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8.75" hidden="1" customHeight="1">
      <c r="A496" s="56">
        <f t="shared" si="16"/>
        <v>493</v>
      </c>
      <c r="B496" s="56" t="str">
        <f t="shared" si="34"/>
        <v>MB125</v>
      </c>
      <c r="C496" s="57" t="s">
        <v>1246</v>
      </c>
      <c r="D496" s="56" t="s">
        <v>128</v>
      </c>
      <c r="E496" s="56" t="s">
        <v>34</v>
      </c>
      <c r="F496" s="56" t="s">
        <v>7</v>
      </c>
      <c r="G496" s="56" t="s">
        <v>118</v>
      </c>
      <c r="H496" s="56" t="s">
        <v>118</v>
      </c>
      <c r="I496" s="59">
        <v>18037.0</v>
      </c>
      <c r="J496" s="56">
        <f t="shared" si="35"/>
        <v>76</v>
      </c>
      <c r="K496" s="56">
        <v>3.312871608E9</v>
      </c>
      <c r="L496" s="60" t="s">
        <v>1247</v>
      </c>
      <c r="M496" s="59"/>
      <c r="N496" s="60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8.75" hidden="1" customHeight="1">
      <c r="A497" s="56">
        <f t="shared" si="16"/>
        <v>494</v>
      </c>
      <c r="B497" s="56" t="str">
        <f t="shared" si="34"/>
        <v>HB127</v>
      </c>
      <c r="C497" s="57" t="s">
        <v>1248</v>
      </c>
      <c r="D497" s="56" t="s">
        <v>117</v>
      </c>
      <c r="E497" s="56" t="s">
        <v>140</v>
      </c>
      <c r="F497" s="56" t="s">
        <v>7</v>
      </c>
      <c r="G497" s="56" t="s">
        <v>118</v>
      </c>
      <c r="H497" s="56" t="s">
        <v>118</v>
      </c>
      <c r="I497" s="59">
        <v>26105.0</v>
      </c>
      <c r="J497" s="56">
        <f t="shared" si="35"/>
        <v>54</v>
      </c>
      <c r="K497" s="56">
        <v>3.311144004E9</v>
      </c>
      <c r="L497" s="60" t="s">
        <v>1249</v>
      </c>
      <c r="M497" s="59"/>
      <c r="N497" s="60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8.75" customHeight="1">
      <c r="A498" s="56">
        <f t="shared" si="16"/>
        <v>495</v>
      </c>
      <c r="B498" s="56" t="str">
        <f t="shared" si="34"/>
        <v>MMa21</v>
      </c>
      <c r="C498" s="57" t="s">
        <v>1250</v>
      </c>
      <c r="D498" s="56" t="s">
        <v>128</v>
      </c>
      <c r="E498" s="56" t="s">
        <v>22</v>
      </c>
      <c r="F498" s="56" t="s">
        <v>18</v>
      </c>
      <c r="G498" s="56"/>
      <c r="H498" s="56" t="s">
        <v>118</v>
      </c>
      <c r="I498" s="59">
        <v>25677.0</v>
      </c>
      <c r="J498" s="56">
        <f t="shared" si="35"/>
        <v>56</v>
      </c>
      <c r="K498" s="56">
        <v>3.312138088E9</v>
      </c>
      <c r="L498" s="60"/>
      <c r="M498" s="59">
        <v>43257.0</v>
      </c>
      <c r="N498" s="60" t="s">
        <v>1251</v>
      </c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8.75" customHeight="1">
      <c r="A499" s="56">
        <f t="shared" si="16"/>
        <v>496</v>
      </c>
      <c r="B499" s="56" t="str">
        <f t="shared" si="34"/>
        <v>MJ36</v>
      </c>
      <c r="C499" s="57" t="s">
        <v>1252</v>
      </c>
      <c r="D499" s="56" t="s">
        <v>128</v>
      </c>
      <c r="E499" s="56" t="s">
        <v>40</v>
      </c>
      <c r="F499" s="56" t="s">
        <v>30</v>
      </c>
      <c r="G499" s="56"/>
      <c r="H499" s="56" t="s">
        <v>118</v>
      </c>
      <c r="I499" s="59">
        <v>39893.0</v>
      </c>
      <c r="J499" s="56">
        <f t="shared" si="35"/>
        <v>17</v>
      </c>
      <c r="K499" s="56">
        <v>3.329440478E9</v>
      </c>
      <c r="L499" s="60" t="s">
        <v>1253</v>
      </c>
      <c r="M499" s="59">
        <v>45162.0</v>
      </c>
      <c r="N499" s="60" t="s">
        <v>403</v>
      </c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8.75" hidden="1" customHeight="1">
      <c r="A500" s="56">
        <f t="shared" si="16"/>
        <v>497</v>
      </c>
      <c r="B500" s="56" t="str">
        <f t="shared" si="34"/>
        <v>MB126</v>
      </c>
      <c r="C500" s="57" t="s">
        <v>1254</v>
      </c>
      <c r="D500" s="56" t="s">
        <v>128</v>
      </c>
      <c r="E500" s="56" t="s">
        <v>40</v>
      </c>
      <c r="F500" s="56" t="s">
        <v>7</v>
      </c>
      <c r="G500" s="56" t="s">
        <v>118</v>
      </c>
      <c r="H500" s="56" t="s">
        <v>118</v>
      </c>
      <c r="I500" s="59">
        <v>37987.0</v>
      </c>
      <c r="J500" s="56">
        <f t="shared" si="35"/>
        <v>22</v>
      </c>
      <c r="K500" s="56"/>
      <c r="L500" s="60"/>
      <c r="M500" s="59">
        <v>43215.0</v>
      </c>
      <c r="N500" s="60" t="s">
        <v>230</v>
      </c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8.75" hidden="1" customHeight="1">
      <c r="A501" s="56">
        <f t="shared" si="16"/>
        <v>498</v>
      </c>
      <c r="B501" s="56" t="str">
        <f t="shared" si="34"/>
        <v>HB128</v>
      </c>
      <c r="C501" s="57" t="s">
        <v>1255</v>
      </c>
      <c r="D501" s="56" t="s">
        <v>117</v>
      </c>
      <c r="E501" s="56" t="s">
        <v>40</v>
      </c>
      <c r="F501" s="56" t="s">
        <v>7</v>
      </c>
      <c r="G501" s="56" t="s">
        <v>118</v>
      </c>
      <c r="H501" s="56" t="s">
        <v>118</v>
      </c>
      <c r="I501" s="59">
        <v>36904.0</v>
      </c>
      <c r="J501" s="56">
        <f t="shared" si="35"/>
        <v>25</v>
      </c>
      <c r="K501" s="56">
        <v>3.320712775E9</v>
      </c>
      <c r="L501" s="60" t="s">
        <v>1249</v>
      </c>
      <c r="M501" s="59"/>
      <c r="N501" s="60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8.75" hidden="1" customHeight="1">
      <c r="A502" s="56">
        <f t="shared" si="16"/>
        <v>499</v>
      </c>
      <c r="B502" s="56" t="str">
        <f t="shared" si="34"/>
        <v>HB129</v>
      </c>
      <c r="C502" s="57" t="s">
        <v>1256</v>
      </c>
      <c r="D502" s="56" t="s">
        <v>117</v>
      </c>
      <c r="E502" s="56" t="s">
        <v>140</v>
      </c>
      <c r="F502" s="58" t="s">
        <v>7</v>
      </c>
      <c r="G502" s="56" t="s">
        <v>118</v>
      </c>
      <c r="H502" s="56" t="s">
        <v>118</v>
      </c>
      <c r="I502" s="59">
        <v>17798.0</v>
      </c>
      <c r="J502" s="56">
        <f t="shared" si="35"/>
        <v>77</v>
      </c>
      <c r="K502" s="56">
        <v>1.7295265E7</v>
      </c>
      <c r="L502" s="60" t="s">
        <v>1257</v>
      </c>
      <c r="M502" s="59"/>
      <c r="N502" s="60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8.75" hidden="1" customHeight="1">
      <c r="A503" s="56">
        <f t="shared" si="16"/>
        <v>500</v>
      </c>
      <c r="B503" s="56" t="str">
        <f t="shared" si="34"/>
        <v>HB130</v>
      </c>
      <c r="C503" s="57" t="s">
        <v>1258</v>
      </c>
      <c r="D503" s="56" t="s">
        <v>117</v>
      </c>
      <c r="E503" s="56" t="s">
        <v>28</v>
      </c>
      <c r="F503" s="58" t="s">
        <v>7</v>
      </c>
      <c r="G503" s="56" t="s">
        <v>118</v>
      </c>
      <c r="H503" s="56" t="s">
        <v>118</v>
      </c>
      <c r="I503" s="59">
        <v>34743.0</v>
      </c>
      <c r="J503" s="56">
        <f t="shared" si="35"/>
        <v>31</v>
      </c>
      <c r="K503" s="56">
        <v>6.642577898E9</v>
      </c>
      <c r="L503" s="60" t="s">
        <v>1259</v>
      </c>
      <c r="M503" s="59">
        <v>43222.0</v>
      </c>
      <c r="N503" s="60" t="s">
        <v>1260</v>
      </c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8.75" hidden="1" customHeight="1">
      <c r="A504" s="56">
        <f t="shared" si="16"/>
        <v>501</v>
      </c>
      <c r="B504" s="56" t="str">
        <f t="shared" si="34"/>
        <v>HB131</v>
      </c>
      <c r="C504" s="57" t="s">
        <v>1261</v>
      </c>
      <c r="D504" s="56" t="s">
        <v>117</v>
      </c>
      <c r="E504" s="56" t="s">
        <v>16</v>
      </c>
      <c r="F504" s="58" t="s">
        <v>7</v>
      </c>
      <c r="G504" s="56" t="s">
        <v>118</v>
      </c>
      <c r="H504" s="56" t="s">
        <v>118</v>
      </c>
      <c r="I504" s="59">
        <v>27527.0</v>
      </c>
      <c r="J504" s="56">
        <f t="shared" si="35"/>
        <v>50</v>
      </c>
      <c r="K504" s="56">
        <v>3.841164595E9</v>
      </c>
      <c r="L504" s="60" t="s">
        <v>1262</v>
      </c>
      <c r="M504" s="59">
        <v>44805.0</v>
      </c>
      <c r="N504" s="60" t="s">
        <v>1263</v>
      </c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8.75" hidden="1" customHeight="1">
      <c r="A505" s="56">
        <f t="shared" si="16"/>
        <v>502</v>
      </c>
      <c r="B505" s="56" t="str">
        <f t="shared" si="34"/>
        <v>HB132</v>
      </c>
      <c r="C505" s="57" t="s">
        <v>1264</v>
      </c>
      <c r="D505" s="56" t="s">
        <v>117</v>
      </c>
      <c r="E505" s="56" t="s">
        <v>16</v>
      </c>
      <c r="F505" s="56" t="s">
        <v>7</v>
      </c>
      <c r="G505" s="56" t="s">
        <v>118</v>
      </c>
      <c r="H505" s="56" t="s">
        <v>118</v>
      </c>
      <c r="I505" s="59">
        <v>26167.0</v>
      </c>
      <c r="J505" s="56">
        <f t="shared" si="35"/>
        <v>54</v>
      </c>
      <c r="K505" s="56">
        <v>3.321892337E9</v>
      </c>
      <c r="L505" s="60" t="s">
        <v>1265</v>
      </c>
      <c r="M505" s="59" t="s">
        <v>1266</v>
      </c>
      <c r="N505" s="60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8.75" customHeight="1">
      <c r="A506" s="56">
        <f t="shared" si="16"/>
        <v>503</v>
      </c>
      <c r="B506" s="56" t="str">
        <f t="shared" si="34"/>
        <v>HJ13</v>
      </c>
      <c r="C506" s="57" t="s">
        <v>1267</v>
      </c>
      <c r="D506" s="56" t="s">
        <v>117</v>
      </c>
      <c r="E506" s="56" t="s">
        <v>140</v>
      </c>
      <c r="F506" s="56" t="s">
        <v>30</v>
      </c>
      <c r="G506" s="58" t="s">
        <v>118</v>
      </c>
      <c r="H506" s="56" t="s">
        <v>118</v>
      </c>
      <c r="I506" s="59">
        <v>23392.0</v>
      </c>
      <c r="J506" s="56">
        <f t="shared" si="35"/>
        <v>62</v>
      </c>
      <c r="K506" s="56" t="s">
        <v>1268</v>
      </c>
      <c r="L506" s="60" t="s">
        <v>1269</v>
      </c>
      <c r="M506" s="59">
        <v>42699.0</v>
      </c>
      <c r="N506" s="71" t="s">
        <v>1270</v>
      </c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8.75" customHeight="1">
      <c r="A507" s="56">
        <f t="shared" si="16"/>
        <v>504</v>
      </c>
      <c r="B507" s="56" t="str">
        <f t="shared" si="34"/>
        <v>MD20</v>
      </c>
      <c r="C507" s="57" t="s">
        <v>1271</v>
      </c>
      <c r="D507" s="56" t="s">
        <v>128</v>
      </c>
      <c r="E507" s="56" t="s">
        <v>16</v>
      </c>
      <c r="F507" s="56" t="s">
        <v>49</v>
      </c>
      <c r="G507" s="58" t="s">
        <v>118</v>
      </c>
      <c r="H507" s="56" t="s">
        <v>165</v>
      </c>
      <c r="I507" s="59">
        <v>27138.0</v>
      </c>
      <c r="J507" s="56">
        <f t="shared" si="35"/>
        <v>52</v>
      </c>
      <c r="K507" s="56">
        <v>3.34994639E8</v>
      </c>
      <c r="L507" s="60" t="s">
        <v>1209</v>
      </c>
      <c r="M507" s="59"/>
      <c r="N507" s="71" t="s">
        <v>1272</v>
      </c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8.75" customHeight="1">
      <c r="A508" s="56">
        <f t="shared" si="16"/>
        <v>505</v>
      </c>
      <c r="B508" s="56" t="str">
        <f t="shared" si="34"/>
        <v>MJ37</v>
      </c>
      <c r="C508" s="57" t="s">
        <v>1273</v>
      </c>
      <c r="D508" s="56" t="s">
        <v>128</v>
      </c>
      <c r="E508" s="56" t="s">
        <v>40</v>
      </c>
      <c r="F508" s="56" t="s">
        <v>30</v>
      </c>
      <c r="G508" s="58" t="s">
        <v>118</v>
      </c>
      <c r="H508" s="56" t="s">
        <v>118</v>
      </c>
      <c r="I508" s="59">
        <v>37017.0</v>
      </c>
      <c r="J508" s="56">
        <f t="shared" si="35"/>
        <v>24</v>
      </c>
      <c r="K508" s="56">
        <v>3.315355986E9</v>
      </c>
      <c r="L508" s="71" t="s">
        <v>1274</v>
      </c>
      <c r="M508" s="73">
        <v>42887.0</v>
      </c>
      <c r="N508" s="71" t="s">
        <v>1275</v>
      </c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8.75" hidden="1" customHeight="1">
      <c r="A509" s="56">
        <f t="shared" si="16"/>
        <v>506</v>
      </c>
      <c r="B509" s="56" t="str">
        <f t="shared" si="34"/>
        <v>HB133</v>
      </c>
      <c r="C509" s="57" t="s">
        <v>1276</v>
      </c>
      <c r="D509" s="56" t="s">
        <v>117</v>
      </c>
      <c r="E509" s="56" t="s">
        <v>40</v>
      </c>
      <c r="F509" s="56" t="s">
        <v>7</v>
      </c>
      <c r="G509" s="56" t="s">
        <v>118</v>
      </c>
      <c r="H509" s="56" t="s">
        <v>118</v>
      </c>
      <c r="I509" s="59">
        <v>37866.0</v>
      </c>
      <c r="J509" s="56">
        <f t="shared" si="35"/>
        <v>22</v>
      </c>
      <c r="K509" s="56">
        <v>3.317712426E9</v>
      </c>
      <c r="L509" s="60" t="s">
        <v>1277</v>
      </c>
      <c r="M509" s="59">
        <v>43171.0</v>
      </c>
      <c r="N509" s="60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8.75" customHeight="1">
      <c r="A510" s="56">
        <f t="shared" si="16"/>
        <v>507</v>
      </c>
      <c r="B510" s="56" t="str">
        <f t="shared" si="34"/>
        <v>MMa22</v>
      </c>
      <c r="C510" s="57" t="s">
        <v>1278</v>
      </c>
      <c r="D510" s="56" t="s">
        <v>128</v>
      </c>
      <c r="E510" s="56" t="s">
        <v>140</v>
      </c>
      <c r="F510" s="56" t="s">
        <v>18</v>
      </c>
      <c r="G510" s="58" t="s">
        <v>118</v>
      </c>
      <c r="H510" s="56" t="s">
        <v>118</v>
      </c>
      <c r="I510" s="59">
        <v>18898.0</v>
      </c>
      <c r="J510" s="56">
        <f t="shared" si="35"/>
        <v>74</v>
      </c>
      <c r="K510" s="56">
        <v>3.310700579E9</v>
      </c>
      <c r="L510" s="60" t="s">
        <v>1279</v>
      </c>
      <c r="M510" s="59"/>
      <c r="N510" s="60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8.75" customHeight="1">
      <c r="A511" s="56">
        <f t="shared" si="16"/>
        <v>508</v>
      </c>
      <c r="B511" s="56" t="str">
        <f t="shared" si="34"/>
        <v>HMa9</v>
      </c>
      <c r="C511" s="57" t="s">
        <v>1280</v>
      </c>
      <c r="D511" s="56" t="s">
        <v>117</v>
      </c>
      <c r="E511" s="56" t="s">
        <v>40</v>
      </c>
      <c r="F511" s="56" t="s">
        <v>18</v>
      </c>
      <c r="G511" s="56"/>
      <c r="H511" s="56" t="s">
        <v>118</v>
      </c>
      <c r="I511" s="59">
        <v>38797.0</v>
      </c>
      <c r="J511" s="56">
        <f t="shared" si="35"/>
        <v>20</v>
      </c>
      <c r="K511" s="56">
        <v>3.323113517E9</v>
      </c>
      <c r="L511" s="60" t="s">
        <v>1281</v>
      </c>
      <c r="M511" s="59">
        <v>44191.0</v>
      </c>
      <c r="N511" s="60" t="s">
        <v>202</v>
      </c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8.75" customHeight="1">
      <c r="A512" s="56">
        <f t="shared" si="16"/>
        <v>509</v>
      </c>
      <c r="B512" s="56" t="str">
        <f t="shared" si="34"/>
        <v>MMa23</v>
      </c>
      <c r="C512" s="57" t="s">
        <v>1282</v>
      </c>
      <c r="D512" s="56" t="s">
        <v>128</v>
      </c>
      <c r="E512" s="56" t="s">
        <v>40</v>
      </c>
      <c r="F512" s="58" t="s">
        <v>18</v>
      </c>
      <c r="G512" s="56"/>
      <c r="H512" s="56" t="s">
        <v>118</v>
      </c>
      <c r="I512" s="59">
        <v>38507.0</v>
      </c>
      <c r="J512" s="56">
        <f>IF($C$761="","",DATEDIF(I512,TODAY(),"Y"))</f>
        <v>20</v>
      </c>
      <c r="K512" s="56">
        <v>3.319540495E9</v>
      </c>
      <c r="L512" s="60" t="s">
        <v>1283</v>
      </c>
      <c r="M512" s="59">
        <v>45346.0</v>
      </c>
      <c r="N512" s="60" t="s">
        <v>1184</v>
      </c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8.75" hidden="1" customHeight="1">
      <c r="A513" s="56">
        <f t="shared" si="16"/>
        <v>510</v>
      </c>
      <c r="B513" s="56" t="str">
        <f t="shared" si="34"/>
        <v>MB127</v>
      </c>
      <c r="C513" s="57" t="s">
        <v>1284</v>
      </c>
      <c r="D513" s="56" t="s">
        <v>128</v>
      </c>
      <c r="E513" s="56" t="s">
        <v>40</v>
      </c>
      <c r="F513" s="58" t="s">
        <v>7</v>
      </c>
      <c r="G513" s="56" t="s">
        <v>118</v>
      </c>
      <c r="H513" s="56" t="s">
        <v>118</v>
      </c>
      <c r="I513" s="59">
        <v>31769.0</v>
      </c>
      <c r="J513" s="56">
        <f t="shared" ref="J513:J541" si="36">IF(C513="","",DATEDIF(I513,TODAY(),"Y"))</f>
        <v>39</v>
      </c>
      <c r="K513" s="56">
        <v>3.317213885E9</v>
      </c>
      <c r="L513" s="60" t="s">
        <v>1285</v>
      </c>
      <c r="M513" s="59"/>
      <c r="N513" s="60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8.75" customHeight="1">
      <c r="A514" s="75">
        <f t="shared" si="16"/>
        <v>511</v>
      </c>
      <c r="B514" s="75" t="str">
        <f t="shared" si="34"/>
        <v>MMi14</v>
      </c>
      <c r="C514" s="76" t="s">
        <v>1286</v>
      </c>
      <c r="D514" s="84" t="s">
        <v>128</v>
      </c>
      <c r="E514" s="84" t="s">
        <v>16</v>
      </c>
      <c r="F514" s="77" t="s">
        <v>24</v>
      </c>
      <c r="G514" s="84" t="s">
        <v>118</v>
      </c>
      <c r="H514" s="75" t="s">
        <v>118</v>
      </c>
      <c r="I514" s="78">
        <v>23287.0</v>
      </c>
      <c r="J514" s="75">
        <f t="shared" si="36"/>
        <v>62</v>
      </c>
      <c r="K514" s="77">
        <v>3.312059249E9</v>
      </c>
      <c r="L514" s="79" t="s">
        <v>1287</v>
      </c>
      <c r="M514" s="80">
        <v>45947.0</v>
      </c>
      <c r="N514" s="91" t="s">
        <v>649</v>
      </c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8.75" hidden="1" customHeight="1">
      <c r="A515" s="56">
        <f t="shared" si="16"/>
        <v>512</v>
      </c>
      <c r="B515" s="56" t="str">
        <f t="shared" si="34"/>
        <v>HB134</v>
      </c>
      <c r="C515" s="57" t="s">
        <v>1288</v>
      </c>
      <c r="D515" s="56" t="s">
        <v>117</v>
      </c>
      <c r="E515" s="56" t="s">
        <v>40</v>
      </c>
      <c r="F515" s="56" t="s">
        <v>7</v>
      </c>
      <c r="G515" s="56" t="s">
        <v>118</v>
      </c>
      <c r="H515" s="56" t="s">
        <v>118</v>
      </c>
      <c r="I515" s="59">
        <v>37035.0</v>
      </c>
      <c r="J515" s="56">
        <f t="shared" si="36"/>
        <v>24</v>
      </c>
      <c r="K515" s="56" t="s">
        <v>223</v>
      </c>
      <c r="L515" s="60" t="s">
        <v>1289</v>
      </c>
      <c r="M515" s="59"/>
      <c r="N515" s="60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8.75" customHeight="1">
      <c r="A516" s="56">
        <f t="shared" si="16"/>
        <v>513</v>
      </c>
      <c r="B516" s="56" t="str">
        <f t="shared" si="34"/>
        <v>ML21</v>
      </c>
      <c r="C516" s="57" t="s">
        <v>1290</v>
      </c>
      <c r="D516" s="56" t="s">
        <v>128</v>
      </c>
      <c r="E516" s="56" t="s">
        <v>34</v>
      </c>
      <c r="F516" s="56" t="s">
        <v>12</v>
      </c>
      <c r="G516" s="58"/>
      <c r="H516" s="56" t="s">
        <v>118</v>
      </c>
      <c r="I516" s="59">
        <v>23374.0</v>
      </c>
      <c r="J516" s="56">
        <f t="shared" si="36"/>
        <v>62</v>
      </c>
      <c r="K516" s="56">
        <v>3.319649262E9</v>
      </c>
      <c r="L516" s="60" t="s">
        <v>1291</v>
      </c>
      <c r="M516" s="59"/>
      <c r="N516" s="60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8.75" customHeight="1">
      <c r="A517" s="56">
        <f t="shared" si="16"/>
        <v>514</v>
      </c>
      <c r="B517" s="56" t="str">
        <f t="shared" si="34"/>
        <v>ML22</v>
      </c>
      <c r="C517" s="72" t="s">
        <v>1292</v>
      </c>
      <c r="D517" s="56" t="s">
        <v>128</v>
      </c>
      <c r="E517" s="58" t="s">
        <v>16</v>
      </c>
      <c r="F517" s="58" t="s">
        <v>12</v>
      </c>
      <c r="G517" s="58" t="s">
        <v>118</v>
      </c>
      <c r="H517" s="56" t="s">
        <v>118</v>
      </c>
      <c r="I517" s="73">
        <v>23396.0</v>
      </c>
      <c r="J517" s="56">
        <f t="shared" si="36"/>
        <v>62</v>
      </c>
      <c r="K517" s="58">
        <v>3.31288646E9</v>
      </c>
      <c r="L517" s="60"/>
      <c r="M517" s="73">
        <v>45779.0</v>
      </c>
      <c r="N517" s="71" t="s">
        <v>433</v>
      </c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8.75" customHeight="1">
      <c r="A518" s="56">
        <f t="shared" si="16"/>
        <v>515</v>
      </c>
      <c r="B518" s="56" t="str">
        <f t="shared" si="34"/>
        <v>HMa10</v>
      </c>
      <c r="C518" s="57" t="s">
        <v>1293</v>
      </c>
      <c r="D518" s="56" t="s">
        <v>117</v>
      </c>
      <c r="E518" s="56" t="s">
        <v>140</v>
      </c>
      <c r="F518" s="56" t="s">
        <v>18</v>
      </c>
      <c r="G518" s="56"/>
      <c r="H518" s="56" t="s">
        <v>118</v>
      </c>
      <c r="I518" s="59">
        <v>25116.0</v>
      </c>
      <c r="J518" s="56">
        <f t="shared" si="36"/>
        <v>57</v>
      </c>
      <c r="K518" s="56">
        <v>3.311678748E9</v>
      </c>
      <c r="L518" s="60" t="s">
        <v>1294</v>
      </c>
      <c r="M518" s="59"/>
      <c r="N518" s="60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8.75" customHeight="1">
      <c r="A519" s="56">
        <f t="shared" si="16"/>
        <v>516</v>
      </c>
      <c r="B519" s="56" t="str">
        <f t="shared" si="34"/>
        <v>ML23</v>
      </c>
      <c r="C519" s="57" t="s">
        <v>1295</v>
      </c>
      <c r="D519" s="56" t="s">
        <v>128</v>
      </c>
      <c r="E519" s="56" t="s">
        <v>16</v>
      </c>
      <c r="F519" s="56" t="s">
        <v>12</v>
      </c>
      <c r="G519" s="58" t="s">
        <v>118</v>
      </c>
      <c r="H519" s="56" t="s">
        <v>118</v>
      </c>
      <c r="I519" s="59">
        <v>26696.0</v>
      </c>
      <c r="J519" s="56">
        <f t="shared" si="36"/>
        <v>53</v>
      </c>
      <c r="K519" s="56">
        <v>3.32028444E9</v>
      </c>
      <c r="L519" s="60" t="s">
        <v>1296</v>
      </c>
      <c r="M519" s="59">
        <v>45334.0</v>
      </c>
      <c r="N519" s="60" t="s">
        <v>1297</v>
      </c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8.75" hidden="1" customHeight="1">
      <c r="A520" s="56">
        <f t="shared" si="16"/>
        <v>517</v>
      </c>
      <c r="B520" s="56" t="str">
        <f t="shared" si="34"/>
        <v>HB135</v>
      </c>
      <c r="C520" s="57" t="s">
        <v>1298</v>
      </c>
      <c r="D520" s="56" t="s">
        <v>117</v>
      </c>
      <c r="E520" s="56" t="s">
        <v>40</v>
      </c>
      <c r="F520" s="58" t="s">
        <v>7</v>
      </c>
      <c r="G520" s="56" t="s">
        <v>118</v>
      </c>
      <c r="H520" s="56" t="s">
        <v>118</v>
      </c>
      <c r="I520" s="59">
        <v>38287.0</v>
      </c>
      <c r="J520" s="56">
        <f t="shared" si="36"/>
        <v>21</v>
      </c>
      <c r="K520" s="56">
        <v>3.312135713E9</v>
      </c>
      <c r="L520" s="60" t="s">
        <v>1299</v>
      </c>
      <c r="M520" s="59">
        <v>43725.0</v>
      </c>
      <c r="N520" s="60" t="s">
        <v>218</v>
      </c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8.75" hidden="1" customHeight="1">
      <c r="A521" s="56">
        <f t="shared" si="16"/>
        <v>518</v>
      </c>
      <c r="B521" s="56" t="str">
        <f t="shared" si="34"/>
        <v>HB136</v>
      </c>
      <c r="C521" s="57" t="s">
        <v>1300</v>
      </c>
      <c r="D521" s="56" t="s">
        <v>117</v>
      </c>
      <c r="E521" s="56"/>
      <c r="F521" s="58" t="s">
        <v>7</v>
      </c>
      <c r="G521" s="56" t="s">
        <v>118</v>
      </c>
      <c r="H521" s="56" t="s">
        <v>118</v>
      </c>
      <c r="I521" s="59">
        <v>23391.0</v>
      </c>
      <c r="J521" s="56">
        <f t="shared" si="36"/>
        <v>62</v>
      </c>
      <c r="K521" s="56">
        <v>3.317052821E9</v>
      </c>
      <c r="L521" s="60" t="s">
        <v>1301</v>
      </c>
      <c r="M521" s="59">
        <v>44951.0</v>
      </c>
      <c r="N521" s="60" t="s">
        <v>467</v>
      </c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8.75" customHeight="1">
      <c r="A522" s="56">
        <f t="shared" si="16"/>
        <v>519</v>
      </c>
      <c r="B522" s="56" t="str">
        <f t="shared" si="34"/>
        <v>HMa11</v>
      </c>
      <c r="C522" s="72" t="s">
        <v>1302</v>
      </c>
      <c r="D522" s="58" t="s">
        <v>117</v>
      </c>
      <c r="E522" s="58" t="s">
        <v>34</v>
      </c>
      <c r="F522" s="58" t="s">
        <v>18</v>
      </c>
      <c r="G522" s="58" t="s">
        <v>118</v>
      </c>
      <c r="H522" s="56" t="s">
        <v>118</v>
      </c>
      <c r="I522" s="73">
        <v>23360.0</v>
      </c>
      <c r="J522" s="56">
        <f t="shared" si="36"/>
        <v>62</v>
      </c>
      <c r="K522" s="58">
        <v>3.331196678E9</v>
      </c>
      <c r="L522" s="71" t="s">
        <v>1303</v>
      </c>
      <c r="M522" s="73">
        <v>46063.0</v>
      </c>
      <c r="N522" s="71" t="s">
        <v>362</v>
      </c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8.75" customHeight="1">
      <c r="A523" s="56">
        <f t="shared" si="16"/>
        <v>520</v>
      </c>
      <c r="B523" s="56" t="str">
        <f t="shared" si="34"/>
        <v>MS22</v>
      </c>
      <c r="C523" s="57" t="s">
        <v>1304</v>
      </c>
      <c r="D523" s="56" t="s">
        <v>128</v>
      </c>
      <c r="E523" s="56" t="s">
        <v>34</v>
      </c>
      <c r="F523" s="56" t="s">
        <v>43</v>
      </c>
      <c r="G523" s="58" t="s">
        <v>118</v>
      </c>
      <c r="H523" s="56" t="s">
        <v>118</v>
      </c>
      <c r="I523" s="59">
        <v>23479.0</v>
      </c>
      <c r="J523" s="56">
        <f t="shared" si="36"/>
        <v>62</v>
      </c>
      <c r="K523" s="56">
        <v>3.331890699E9</v>
      </c>
      <c r="L523" s="60" t="s">
        <v>1305</v>
      </c>
      <c r="M523" s="59"/>
      <c r="N523" s="71" t="s">
        <v>1306</v>
      </c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8.75" hidden="1" customHeight="1">
      <c r="A524" s="56">
        <f t="shared" si="16"/>
        <v>521</v>
      </c>
      <c r="B524" s="56" t="str">
        <f t="shared" si="34"/>
        <v>HB137</v>
      </c>
      <c r="C524" s="57" t="s">
        <v>1307</v>
      </c>
      <c r="D524" s="56" t="s">
        <v>117</v>
      </c>
      <c r="E524" s="56" t="s">
        <v>40</v>
      </c>
      <c r="F524" s="56" t="s">
        <v>7</v>
      </c>
      <c r="G524" s="56" t="s">
        <v>118</v>
      </c>
      <c r="H524" s="56" t="s">
        <v>118</v>
      </c>
      <c r="I524" s="59">
        <v>37140.0</v>
      </c>
      <c r="J524" s="56">
        <f t="shared" si="36"/>
        <v>24</v>
      </c>
      <c r="K524" s="56">
        <v>3.311678748E9</v>
      </c>
      <c r="L524" s="60" t="s">
        <v>1308</v>
      </c>
      <c r="M524" s="59"/>
      <c r="N524" s="60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8.75" hidden="1" customHeight="1">
      <c r="A525" s="56">
        <f t="shared" si="16"/>
        <v>522</v>
      </c>
      <c r="B525" s="56" t="str">
        <f t="shared" si="34"/>
        <v>HB138</v>
      </c>
      <c r="C525" s="57" t="s">
        <v>1309</v>
      </c>
      <c r="D525" s="56" t="s">
        <v>117</v>
      </c>
      <c r="E525" s="56" t="s">
        <v>34</v>
      </c>
      <c r="F525" s="58" t="s">
        <v>7</v>
      </c>
      <c r="G525" s="56" t="s">
        <v>118</v>
      </c>
      <c r="H525" s="56" t="s">
        <v>118</v>
      </c>
      <c r="I525" s="59">
        <v>14320.0</v>
      </c>
      <c r="J525" s="56">
        <f t="shared" si="36"/>
        <v>87</v>
      </c>
      <c r="K525" s="56">
        <v>3.337214649E9</v>
      </c>
      <c r="L525" s="60" t="s">
        <v>1310</v>
      </c>
      <c r="M525" s="59"/>
      <c r="N525" s="60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8.75" customHeight="1">
      <c r="A526" s="56">
        <f t="shared" si="16"/>
        <v>523</v>
      </c>
      <c r="B526" s="56" t="str">
        <f t="shared" si="34"/>
        <v>MS23</v>
      </c>
      <c r="C526" s="57" t="s">
        <v>1311</v>
      </c>
      <c r="D526" s="56" t="s">
        <v>128</v>
      </c>
      <c r="E526" s="56" t="s">
        <v>40</v>
      </c>
      <c r="F526" s="56" t="s">
        <v>43</v>
      </c>
      <c r="G526" s="56"/>
      <c r="H526" s="56" t="s">
        <v>118</v>
      </c>
      <c r="I526" s="59">
        <v>32124.0</v>
      </c>
      <c r="J526" s="56">
        <f t="shared" si="36"/>
        <v>38</v>
      </c>
      <c r="K526" s="56"/>
      <c r="L526" s="60"/>
      <c r="M526" s="59">
        <v>43792.0</v>
      </c>
      <c r="N526" s="60" t="s">
        <v>1312</v>
      </c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8.75" customHeight="1">
      <c r="A527" s="56">
        <f t="shared" si="16"/>
        <v>524</v>
      </c>
      <c r="B527" s="56" t="str">
        <f t="shared" si="34"/>
        <v>MMa24</v>
      </c>
      <c r="C527" s="57" t="s">
        <v>1313</v>
      </c>
      <c r="D527" s="56" t="s">
        <v>128</v>
      </c>
      <c r="E527" s="56" t="s">
        <v>34</v>
      </c>
      <c r="F527" s="56" t="s">
        <v>18</v>
      </c>
      <c r="G527" s="56"/>
      <c r="H527" s="56" t="s">
        <v>118</v>
      </c>
      <c r="I527" s="59">
        <v>13755.0</v>
      </c>
      <c r="J527" s="56">
        <f t="shared" si="36"/>
        <v>88</v>
      </c>
      <c r="K527" s="56" t="s">
        <v>223</v>
      </c>
      <c r="L527" s="60" t="s">
        <v>1314</v>
      </c>
      <c r="M527" s="59"/>
      <c r="N527" s="60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8.75" hidden="1" customHeight="1">
      <c r="A528" s="56">
        <f t="shared" si="16"/>
        <v>525</v>
      </c>
      <c r="B528" s="56" t="str">
        <f t="shared" si="34"/>
        <v>MB128</v>
      </c>
      <c r="C528" s="57" t="s">
        <v>1315</v>
      </c>
      <c r="D528" s="56" t="s">
        <v>128</v>
      </c>
      <c r="E528" s="56" t="s">
        <v>40</v>
      </c>
      <c r="F528" s="56" t="s">
        <v>7</v>
      </c>
      <c r="G528" s="56" t="s">
        <v>118</v>
      </c>
      <c r="H528" s="56" t="s">
        <v>118</v>
      </c>
      <c r="I528" s="59">
        <v>30146.0</v>
      </c>
      <c r="J528" s="56">
        <f t="shared" si="36"/>
        <v>43</v>
      </c>
      <c r="K528" s="56">
        <v>3.322426265E9</v>
      </c>
      <c r="L528" s="60" t="s">
        <v>1316</v>
      </c>
      <c r="M528" s="59">
        <v>42992.0</v>
      </c>
      <c r="N528" s="60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8.75" hidden="1" customHeight="1">
      <c r="A529" s="56">
        <f t="shared" si="16"/>
        <v>526</v>
      </c>
      <c r="B529" s="56" t="str">
        <f t="shared" si="34"/>
        <v>MB129</v>
      </c>
      <c r="C529" s="57" t="s">
        <v>1317</v>
      </c>
      <c r="D529" s="56" t="s">
        <v>128</v>
      </c>
      <c r="E529" s="56" t="s">
        <v>40</v>
      </c>
      <c r="F529" s="56" t="s">
        <v>7</v>
      </c>
      <c r="G529" s="56" t="s">
        <v>118</v>
      </c>
      <c r="H529" s="56" t="s">
        <v>118</v>
      </c>
      <c r="I529" s="59">
        <v>35988.0</v>
      </c>
      <c r="J529" s="56">
        <f t="shared" si="36"/>
        <v>27</v>
      </c>
      <c r="K529" s="56">
        <v>7.712717388E9</v>
      </c>
      <c r="L529" s="60"/>
      <c r="M529" s="59">
        <v>43528.0</v>
      </c>
      <c r="N529" s="60" t="s">
        <v>1318</v>
      </c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8.75" hidden="1" customHeight="1">
      <c r="A530" s="56">
        <f t="shared" si="16"/>
        <v>527</v>
      </c>
      <c r="B530" s="56" t="str">
        <f t="shared" si="34"/>
        <v>MB130</v>
      </c>
      <c r="C530" s="57" t="s">
        <v>1319</v>
      </c>
      <c r="D530" s="56" t="s">
        <v>128</v>
      </c>
      <c r="E530" s="56" t="s">
        <v>34</v>
      </c>
      <c r="F530" s="56" t="s">
        <v>7</v>
      </c>
      <c r="G530" s="56" t="s">
        <v>118</v>
      </c>
      <c r="H530" s="56" t="s">
        <v>118</v>
      </c>
      <c r="I530" s="59"/>
      <c r="J530" s="56">
        <f t="shared" si="36"/>
        <v>126</v>
      </c>
      <c r="K530" s="56">
        <v>3.541080321E9</v>
      </c>
      <c r="L530" s="60" t="s">
        <v>1320</v>
      </c>
      <c r="M530" s="59">
        <v>43117.0</v>
      </c>
      <c r="N530" s="60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8.75" hidden="1" customHeight="1">
      <c r="A531" s="56">
        <f t="shared" si="16"/>
        <v>528</v>
      </c>
      <c r="B531" s="56" t="str">
        <f t="shared" si="34"/>
        <v>MB131</v>
      </c>
      <c r="C531" s="57" t="s">
        <v>1321</v>
      </c>
      <c r="D531" s="56" t="s">
        <v>128</v>
      </c>
      <c r="E531" s="56" t="s">
        <v>140</v>
      </c>
      <c r="F531" s="56" t="s">
        <v>7</v>
      </c>
      <c r="G531" s="56" t="s">
        <v>118</v>
      </c>
      <c r="H531" s="56" t="s">
        <v>118</v>
      </c>
      <c r="I531" s="59">
        <v>24283.0</v>
      </c>
      <c r="J531" s="56">
        <f t="shared" si="36"/>
        <v>59</v>
      </c>
      <c r="K531" s="56">
        <v>3.337236242E9</v>
      </c>
      <c r="L531" s="60" t="s">
        <v>1322</v>
      </c>
      <c r="M531" s="59"/>
      <c r="N531" s="60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8.75" customHeight="1">
      <c r="A532" s="56">
        <f t="shared" si="16"/>
        <v>529</v>
      </c>
      <c r="B532" s="56" t="str">
        <f t="shared" si="34"/>
        <v>MD21</v>
      </c>
      <c r="C532" s="57" t="s">
        <v>1323</v>
      </c>
      <c r="D532" s="56" t="s">
        <v>128</v>
      </c>
      <c r="E532" s="56" t="s">
        <v>34</v>
      </c>
      <c r="F532" s="56" t="s">
        <v>49</v>
      </c>
      <c r="G532" s="58" t="s">
        <v>118</v>
      </c>
      <c r="H532" s="56" t="s">
        <v>118</v>
      </c>
      <c r="I532" s="59">
        <v>16880.0</v>
      </c>
      <c r="J532" s="56">
        <f t="shared" si="36"/>
        <v>80</v>
      </c>
      <c r="K532" s="56">
        <v>3.313971693E9</v>
      </c>
      <c r="L532" s="60" t="s">
        <v>1324</v>
      </c>
      <c r="M532" s="59"/>
      <c r="N532" s="71" t="s">
        <v>1325</v>
      </c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8.75" hidden="1" customHeight="1">
      <c r="A533" s="56">
        <f t="shared" si="16"/>
        <v>530</v>
      </c>
      <c r="B533" s="56" t="str">
        <f t="shared" si="34"/>
        <v>MB132</v>
      </c>
      <c r="C533" s="57" t="s">
        <v>1326</v>
      </c>
      <c r="D533" s="56" t="s">
        <v>128</v>
      </c>
      <c r="E533" s="56" t="s">
        <v>140</v>
      </c>
      <c r="F533" s="56" t="s">
        <v>7</v>
      </c>
      <c r="G533" s="56" t="s">
        <v>118</v>
      </c>
      <c r="H533" s="56" t="s">
        <v>118</v>
      </c>
      <c r="I533" s="59"/>
      <c r="J533" s="56">
        <f t="shared" si="36"/>
        <v>126</v>
      </c>
      <c r="K533" s="56"/>
      <c r="L533" s="60" t="s">
        <v>1327</v>
      </c>
      <c r="M533" s="59"/>
      <c r="N533" s="60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8.75" hidden="1" customHeight="1">
      <c r="A534" s="56">
        <f t="shared" si="16"/>
        <v>531</v>
      </c>
      <c r="B534" s="56" t="str">
        <f t="shared" si="34"/>
        <v>MB133</v>
      </c>
      <c r="C534" s="57" t="s">
        <v>1328</v>
      </c>
      <c r="D534" s="56" t="s">
        <v>128</v>
      </c>
      <c r="E534" s="56" t="s">
        <v>40</v>
      </c>
      <c r="F534" s="56" t="s">
        <v>7</v>
      </c>
      <c r="G534" s="56" t="s">
        <v>118</v>
      </c>
      <c r="H534" s="56" t="s">
        <v>118</v>
      </c>
      <c r="I534" s="59">
        <v>35893.0</v>
      </c>
      <c r="J534" s="56">
        <f t="shared" si="36"/>
        <v>28</v>
      </c>
      <c r="K534" s="56">
        <v>3.321782248E9</v>
      </c>
      <c r="L534" s="60" t="s">
        <v>1329</v>
      </c>
      <c r="M534" s="59"/>
      <c r="N534" s="60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8.75" customHeight="1">
      <c r="A535" s="56">
        <f t="shared" si="16"/>
        <v>532</v>
      </c>
      <c r="B535" s="56" t="str">
        <f t="shared" si="34"/>
        <v>MMi15</v>
      </c>
      <c r="C535" s="57" t="s">
        <v>1330</v>
      </c>
      <c r="D535" s="56" t="s">
        <v>128</v>
      </c>
      <c r="E535" s="56" t="s">
        <v>34</v>
      </c>
      <c r="F535" s="56" t="s">
        <v>24</v>
      </c>
      <c r="G535" s="58" t="s">
        <v>118</v>
      </c>
      <c r="H535" s="56" t="s">
        <v>118</v>
      </c>
      <c r="I535" s="59">
        <v>24877.0</v>
      </c>
      <c r="J535" s="56">
        <f t="shared" si="36"/>
        <v>58</v>
      </c>
      <c r="K535" s="56">
        <v>3.315521978E9</v>
      </c>
      <c r="L535" s="60" t="s">
        <v>1331</v>
      </c>
      <c r="M535" s="59">
        <v>44765.0</v>
      </c>
      <c r="N535" s="71" t="s">
        <v>1332</v>
      </c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8.75" customHeight="1">
      <c r="A536" s="75">
        <f t="shared" si="16"/>
        <v>533</v>
      </c>
      <c r="B536" s="75" t="str">
        <f t="shared" si="34"/>
        <v>MMi16</v>
      </c>
      <c r="C536" s="76" t="s">
        <v>1333</v>
      </c>
      <c r="D536" s="84" t="s">
        <v>128</v>
      </c>
      <c r="E536" s="77" t="s">
        <v>40</v>
      </c>
      <c r="F536" s="77" t="s">
        <v>24</v>
      </c>
      <c r="G536" s="84" t="s">
        <v>118</v>
      </c>
      <c r="H536" s="75" t="s">
        <v>118</v>
      </c>
      <c r="I536" s="78">
        <v>39650.0</v>
      </c>
      <c r="J536" s="75">
        <f t="shared" si="36"/>
        <v>17</v>
      </c>
      <c r="K536" s="77">
        <v>3.312053056E9</v>
      </c>
      <c r="L536" s="79" t="s">
        <v>1334</v>
      </c>
      <c r="M536" s="80">
        <v>45945.0</v>
      </c>
      <c r="N536" s="79" t="s">
        <v>1335</v>
      </c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8.75" customHeight="1">
      <c r="A537" s="56">
        <f t="shared" si="16"/>
        <v>534</v>
      </c>
      <c r="B537" s="56" t="str">
        <f t="shared" si="34"/>
        <v>HS28</v>
      </c>
      <c r="C537" s="72" t="s">
        <v>1336</v>
      </c>
      <c r="D537" s="58" t="s">
        <v>117</v>
      </c>
      <c r="E537" s="58" t="s">
        <v>16</v>
      </c>
      <c r="F537" s="58" t="s">
        <v>43</v>
      </c>
      <c r="G537" s="58" t="s">
        <v>118</v>
      </c>
      <c r="H537" s="56" t="s">
        <v>118</v>
      </c>
      <c r="I537" s="73">
        <v>20467.0</v>
      </c>
      <c r="J537" s="56">
        <f t="shared" si="36"/>
        <v>70</v>
      </c>
      <c r="K537" s="58">
        <v>3.351226582E9</v>
      </c>
      <c r="L537" s="71" t="s">
        <v>1337</v>
      </c>
      <c r="M537" s="85">
        <v>46034.0</v>
      </c>
      <c r="N537" s="71" t="s">
        <v>254</v>
      </c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8.75" customHeight="1">
      <c r="A538" s="56">
        <f t="shared" si="16"/>
        <v>535</v>
      </c>
      <c r="B538" s="56" t="str">
        <f t="shared" si="34"/>
        <v>ML24</v>
      </c>
      <c r="C538" s="57" t="s">
        <v>1338</v>
      </c>
      <c r="D538" s="56" t="s">
        <v>128</v>
      </c>
      <c r="E538" s="56" t="s">
        <v>34</v>
      </c>
      <c r="F538" s="56" t="s">
        <v>12</v>
      </c>
      <c r="G538" s="58"/>
      <c r="H538" s="56" t="s">
        <v>118</v>
      </c>
      <c r="I538" s="59">
        <v>14087.0</v>
      </c>
      <c r="J538" s="56">
        <f t="shared" si="36"/>
        <v>87</v>
      </c>
      <c r="K538" s="56">
        <v>3.6080945E7</v>
      </c>
      <c r="L538" s="60" t="s">
        <v>1339</v>
      </c>
      <c r="M538" s="59"/>
      <c r="N538" s="60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8.75" hidden="1" customHeight="1">
      <c r="A539" s="56">
        <f t="shared" si="16"/>
        <v>536</v>
      </c>
      <c r="B539" s="56" t="str">
        <f t="shared" si="34"/>
        <v>MB134</v>
      </c>
      <c r="C539" s="57" t="s">
        <v>1340</v>
      </c>
      <c r="D539" s="56" t="s">
        <v>128</v>
      </c>
      <c r="E539" s="56" t="s">
        <v>34</v>
      </c>
      <c r="F539" s="56" t="s">
        <v>7</v>
      </c>
      <c r="G539" s="56" t="s">
        <v>118</v>
      </c>
      <c r="H539" s="56" t="s">
        <v>118</v>
      </c>
      <c r="I539" s="59">
        <v>21617.0</v>
      </c>
      <c r="J539" s="56">
        <f t="shared" si="36"/>
        <v>67</v>
      </c>
      <c r="K539" s="56" t="s">
        <v>223</v>
      </c>
      <c r="L539" s="60" t="s">
        <v>1341</v>
      </c>
      <c r="M539" s="59"/>
      <c r="N539" s="60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8.75" customHeight="1">
      <c r="A540" s="56">
        <f t="shared" si="16"/>
        <v>537</v>
      </c>
      <c r="B540" s="56" t="str">
        <f t="shared" si="34"/>
        <v>MV30</v>
      </c>
      <c r="C540" s="72" t="s">
        <v>1342</v>
      </c>
      <c r="D540" s="58" t="s">
        <v>128</v>
      </c>
      <c r="E540" s="58" t="s">
        <v>40</v>
      </c>
      <c r="F540" s="58" t="s">
        <v>36</v>
      </c>
      <c r="G540" s="58" t="s">
        <v>118</v>
      </c>
      <c r="H540" s="56" t="s">
        <v>118</v>
      </c>
      <c r="I540" s="73">
        <v>38788.0</v>
      </c>
      <c r="J540" s="56">
        <f t="shared" si="36"/>
        <v>20</v>
      </c>
      <c r="K540" s="58">
        <v>3.311201951E9</v>
      </c>
      <c r="L540" s="71" t="s">
        <v>1343</v>
      </c>
      <c r="M540" s="73">
        <v>45726.0</v>
      </c>
      <c r="N540" s="71" t="s">
        <v>1344</v>
      </c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8.75" customHeight="1">
      <c r="A541" s="75">
        <f t="shared" si="16"/>
        <v>538</v>
      </c>
      <c r="B541" s="75" t="str">
        <f t="shared" si="34"/>
        <v>MMa25</v>
      </c>
      <c r="C541" s="76" t="s">
        <v>1345</v>
      </c>
      <c r="D541" s="84" t="s">
        <v>128</v>
      </c>
      <c r="E541" s="77" t="s">
        <v>40</v>
      </c>
      <c r="F541" s="77" t="s">
        <v>18</v>
      </c>
      <c r="G541" s="84" t="s">
        <v>118</v>
      </c>
      <c r="H541" s="75" t="s">
        <v>118</v>
      </c>
      <c r="I541" s="78">
        <v>39350.0</v>
      </c>
      <c r="J541" s="75">
        <f t="shared" si="36"/>
        <v>18</v>
      </c>
      <c r="K541" s="77">
        <v>3.315940184E9</v>
      </c>
      <c r="L541" s="79" t="s">
        <v>1346</v>
      </c>
      <c r="M541" s="80">
        <v>45943.0</v>
      </c>
      <c r="N541" s="79" t="s">
        <v>1335</v>
      </c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8.75" customHeight="1">
      <c r="A542" s="58">
        <v>813.0</v>
      </c>
      <c r="B542" s="56" t="str">
        <f>IF(C542="","",D542&amp;$F$816&amp;COUNTIFS($D$4:D542,$D$816,$F$4:F542,$F$816))</f>
        <v>MMa25</v>
      </c>
      <c r="C542" s="72" t="s">
        <v>1347</v>
      </c>
      <c r="D542" s="58" t="s">
        <v>128</v>
      </c>
      <c r="E542" s="58" t="s">
        <v>40</v>
      </c>
      <c r="F542" s="58" t="s">
        <v>43</v>
      </c>
      <c r="G542" s="58"/>
      <c r="H542" s="58" t="s">
        <v>118</v>
      </c>
      <c r="I542" s="73">
        <v>40105.0</v>
      </c>
      <c r="J542" s="58">
        <v>15.0</v>
      </c>
      <c r="K542" s="58">
        <v>3.337836693E9</v>
      </c>
      <c r="L542" s="71" t="s">
        <v>1348</v>
      </c>
      <c r="M542" s="73">
        <v>45622.0</v>
      </c>
      <c r="N542" s="71" t="s">
        <v>300</v>
      </c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8.75" hidden="1" customHeight="1">
      <c r="A543" s="56">
        <f t="shared" ref="A543:A940" si="37">IF(D543="","",COUNTA($D$4:$D543))</f>
        <v>540</v>
      </c>
      <c r="B543" s="56" t="str">
        <f t="shared" ref="B543:B572" si="38">IF(C543="","",D543&amp;F543&amp;COUNTIFS($D$4:D543,D543,$F$4:F543,F543))</f>
        <v>HB139</v>
      </c>
      <c r="C543" s="57" t="s">
        <v>1349</v>
      </c>
      <c r="D543" s="56" t="s">
        <v>117</v>
      </c>
      <c r="E543" s="56" t="s">
        <v>34</v>
      </c>
      <c r="F543" s="58" t="s">
        <v>7</v>
      </c>
      <c r="G543" s="56" t="s">
        <v>118</v>
      </c>
      <c r="H543" s="56" t="s">
        <v>118</v>
      </c>
      <c r="I543" s="59">
        <v>27660.0</v>
      </c>
      <c r="J543" s="56">
        <f t="shared" ref="J543:J572" si="39">IF(C543="","",DATEDIF(I543,TODAY(),"Y"))</f>
        <v>50</v>
      </c>
      <c r="K543" s="56">
        <v>3.319614214E9</v>
      </c>
      <c r="L543" s="60" t="s">
        <v>1350</v>
      </c>
      <c r="M543" s="59">
        <v>43527.0</v>
      </c>
      <c r="N543" s="60" t="s">
        <v>467</v>
      </c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8.75" hidden="1" customHeight="1">
      <c r="A544" s="56">
        <f t="shared" si="37"/>
        <v>541</v>
      </c>
      <c r="B544" s="56" t="str">
        <f t="shared" si="38"/>
        <v>MB135</v>
      </c>
      <c r="C544" s="57" t="s">
        <v>1351</v>
      </c>
      <c r="D544" s="56" t="s">
        <v>128</v>
      </c>
      <c r="E544" s="56" t="s">
        <v>34</v>
      </c>
      <c r="F544" s="56" t="s">
        <v>7</v>
      </c>
      <c r="G544" s="56" t="s">
        <v>118</v>
      </c>
      <c r="H544" s="56" t="s">
        <v>118</v>
      </c>
      <c r="I544" s="59">
        <v>21102.0</v>
      </c>
      <c r="J544" s="56">
        <f t="shared" si="39"/>
        <v>68</v>
      </c>
      <c r="K544" s="56">
        <v>3.317505905E9</v>
      </c>
      <c r="L544" s="60" t="s">
        <v>1352</v>
      </c>
      <c r="M544" s="59"/>
      <c r="N544" s="60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8.75" hidden="1" customHeight="1">
      <c r="A545" s="56">
        <f t="shared" si="37"/>
        <v>542</v>
      </c>
      <c r="B545" s="56" t="str">
        <f t="shared" si="38"/>
        <v>MB136</v>
      </c>
      <c r="C545" s="57" t="s">
        <v>1353</v>
      </c>
      <c r="D545" s="56" t="s">
        <v>128</v>
      </c>
      <c r="E545" s="56" t="s">
        <v>34</v>
      </c>
      <c r="F545" s="58" t="s">
        <v>7</v>
      </c>
      <c r="G545" s="56" t="s">
        <v>118</v>
      </c>
      <c r="H545" s="56" t="s">
        <v>118</v>
      </c>
      <c r="I545" s="59">
        <v>21663.0</v>
      </c>
      <c r="J545" s="56">
        <f t="shared" si="39"/>
        <v>67</v>
      </c>
      <c r="K545" s="56">
        <v>3.320134992E9</v>
      </c>
      <c r="L545" s="60" t="s">
        <v>1354</v>
      </c>
      <c r="M545" s="59">
        <v>43860.0</v>
      </c>
      <c r="N545" s="60" t="s">
        <v>1355</v>
      </c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8.75" hidden="1" customHeight="1">
      <c r="A546" s="56">
        <f t="shared" si="37"/>
        <v>543</v>
      </c>
      <c r="B546" s="56" t="str">
        <f t="shared" si="38"/>
        <v>HB140</v>
      </c>
      <c r="C546" s="92" t="s">
        <v>20</v>
      </c>
      <c r="D546" s="56" t="s">
        <v>117</v>
      </c>
      <c r="E546" s="56" t="s">
        <v>140</v>
      </c>
      <c r="F546" s="58" t="s">
        <v>7</v>
      </c>
      <c r="G546" s="58" t="s">
        <v>118</v>
      </c>
      <c r="H546" s="56" t="s">
        <v>118</v>
      </c>
      <c r="I546" s="59">
        <v>19006.0</v>
      </c>
      <c r="J546" s="56">
        <f t="shared" si="39"/>
        <v>74</v>
      </c>
      <c r="K546" s="56">
        <v>3.312073011E9</v>
      </c>
      <c r="L546" s="60" t="s">
        <v>1356</v>
      </c>
      <c r="M546" s="59"/>
      <c r="N546" s="60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8.75" customHeight="1">
      <c r="A547" s="56">
        <f t="shared" si="37"/>
        <v>544</v>
      </c>
      <c r="B547" s="56" t="str">
        <f t="shared" si="38"/>
        <v>ML25</v>
      </c>
      <c r="C547" s="72" t="s">
        <v>1357</v>
      </c>
      <c r="D547" s="56" t="s">
        <v>128</v>
      </c>
      <c r="E547" s="58" t="s">
        <v>16</v>
      </c>
      <c r="F547" s="58" t="s">
        <v>12</v>
      </c>
      <c r="G547" s="56" t="s">
        <v>118</v>
      </c>
      <c r="H547" s="56" t="s">
        <v>118</v>
      </c>
      <c r="I547" s="73">
        <v>22487.0</v>
      </c>
      <c r="J547" s="56">
        <f t="shared" si="39"/>
        <v>64</v>
      </c>
      <c r="K547" s="58">
        <v>3.333264491E9</v>
      </c>
      <c r="L547" s="71" t="s">
        <v>1358</v>
      </c>
      <c r="M547" s="73">
        <v>45672.0</v>
      </c>
      <c r="N547" s="71" t="s">
        <v>433</v>
      </c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8.75" customHeight="1">
      <c r="A548" s="56">
        <f t="shared" si="37"/>
        <v>545</v>
      </c>
      <c r="B548" s="56" t="str">
        <f t="shared" si="38"/>
        <v>MJ38</v>
      </c>
      <c r="C548" s="57" t="s">
        <v>1359</v>
      </c>
      <c r="D548" s="56" t="s">
        <v>128</v>
      </c>
      <c r="E548" s="56" t="s">
        <v>140</v>
      </c>
      <c r="F548" s="56" t="s">
        <v>30</v>
      </c>
      <c r="G548" s="58" t="s">
        <v>118</v>
      </c>
      <c r="H548" s="56" t="s">
        <v>118</v>
      </c>
      <c r="I548" s="59">
        <v>23281.0</v>
      </c>
      <c r="J548" s="56">
        <f t="shared" si="39"/>
        <v>62</v>
      </c>
      <c r="K548" s="56">
        <v>3.331596121E9</v>
      </c>
      <c r="L548" s="60" t="s">
        <v>1360</v>
      </c>
      <c r="M548" s="59"/>
      <c r="N548" s="71" t="s">
        <v>433</v>
      </c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8.75" hidden="1" customHeight="1">
      <c r="A549" s="56">
        <f t="shared" si="37"/>
        <v>546</v>
      </c>
      <c r="B549" s="56" t="str">
        <f t="shared" si="38"/>
        <v>MB137</v>
      </c>
      <c r="C549" s="57" t="s">
        <v>1361</v>
      </c>
      <c r="D549" s="56" t="s">
        <v>128</v>
      </c>
      <c r="E549" s="56" t="s">
        <v>22</v>
      </c>
      <c r="F549" s="56" t="s">
        <v>7</v>
      </c>
      <c r="G549" s="56" t="s">
        <v>118</v>
      </c>
      <c r="H549" s="56" t="s">
        <v>118</v>
      </c>
      <c r="I549" s="59">
        <v>28303.0</v>
      </c>
      <c r="J549" s="56">
        <f t="shared" si="39"/>
        <v>48</v>
      </c>
      <c r="K549" s="56">
        <v>3.312470335E9</v>
      </c>
      <c r="L549" s="60" t="s">
        <v>1362</v>
      </c>
      <c r="M549" s="59"/>
      <c r="N549" s="60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8.75" customHeight="1">
      <c r="A550" s="56">
        <f t="shared" si="37"/>
        <v>547</v>
      </c>
      <c r="B550" s="56" t="str">
        <f t="shared" si="38"/>
        <v>HJ14</v>
      </c>
      <c r="C550" s="57" t="s">
        <v>1363</v>
      </c>
      <c r="D550" s="56" t="s">
        <v>117</v>
      </c>
      <c r="E550" s="56" t="s">
        <v>16</v>
      </c>
      <c r="F550" s="56" t="s">
        <v>30</v>
      </c>
      <c r="G550" s="56"/>
      <c r="H550" s="56" t="s">
        <v>118</v>
      </c>
      <c r="I550" s="59">
        <v>25043.0</v>
      </c>
      <c r="J550" s="56">
        <f t="shared" si="39"/>
        <v>57</v>
      </c>
      <c r="K550" s="56">
        <v>3.33361769E9</v>
      </c>
      <c r="L550" s="60" t="s">
        <v>1364</v>
      </c>
      <c r="M550" s="59">
        <v>33805.0</v>
      </c>
      <c r="N550" s="60" t="s">
        <v>1365</v>
      </c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8.75" hidden="1" customHeight="1">
      <c r="A551" s="56">
        <f t="shared" si="37"/>
        <v>548</v>
      </c>
      <c r="B551" s="56" t="str">
        <f t="shared" si="38"/>
        <v>HB141</v>
      </c>
      <c r="C551" s="57" t="s">
        <v>1366</v>
      </c>
      <c r="D551" s="56" t="s">
        <v>117</v>
      </c>
      <c r="E551" s="56" t="s">
        <v>40</v>
      </c>
      <c r="F551" s="56" t="s">
        <v>7</v>
      </c>
      <c r="G551" s="56" t="s">
        <v>118</v>
      </c>
      <c r="H551" s="56" t="s">
        <v>118</v>
      </c>
      <c r="I551" s="59">
        <v>38362.0</v>
      </c>
      <c r="J551" s="56">
        <f t="shared" si="39"/>
        <v>21</v>
      </c>
      <c r="K551" s="56">
        <v>3.310848989E9</v>
      </c>
      <c r="L551" s="60" t="s">
        <v>1367</v>
      </c>
      <c r="M551" s="59">
        <v>43495.0</v>
      </c>
      <c r="N551" s="60" t="s">
        <v>202</v>
      </c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8.75" hidden="1" customHeight="1">
      <c r="A552" s="56">
        <f t="shared" si="37"/>
        <v>549</v>
      </c>
      <c r="B552" s="56" t="str">
        <f t="shared" si="38"/>
        <v>HB142</v>
      </c>
      <c r="C552" s="57" t="s">
        <v>1368</v>
      </c>
      <c r="D552" s="56" t="s">
        <v>117</v>
      </c>
      <c r="E552" s="56" t="s">
        <v>40</v>
      </c>
      <c r="F552" s="56" t="s">
        <v>7</v>
      </c>
      <c r="G552" s="56" t="s">
        <v>118</v>
      </c>
      <c r="H552" s="56" t="s">
        <v>118</v>
      </c>
      <c r="I552" s="59">
        <v>34273.0</v>
      </c>
      <c r="J552" s="56">
        <f t="shared" si="39"/>
        <v>32</v>
      </c>
      <c r="K552" s="93">
        <v>3.93512916365E11</v>
      </c>
      <c r="L552" s="60" t="s">
        <v>1369</v>
      </c>
      <c r="M552" s="59">
        <v>44579.0</v>
      </c>
      <c r="N552" s="60" t="s">
        <v>1370</v>
      </c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8.75" hidden="1" customHeight="1">
      <c r="A553" s="56">
        <f t="shared" si="37"/>
        <v>550</v>
      </c>
      <c r="B553" s="56" t="str">
        <f t="shared" si="38"/>
        <v>MB138</v>
      </c>
      <c r="C553" s="57" t="s">
        <v>1371</v>
      </c>
      <c r="D553" s="56" t="s">
        <v>128</v>
      </c>
      <c r="E553" s="56" t="s">
        <v>28</v>
      </c>
      <c r="F553" s="58" t="s">
        <v>7</v>
      </c>
      <c r="G553" s="56" t="s">
        <v>118</v>
      </c>
      <c r="H553" s="56" t="s">
        <v>118</v>
      </c>
      <c r="I553" s="59">
        <v>33776.0</v>
      </c>
      <c r="J553" s="56">
        <f t="shared" si="39"/>
        <v>33</v>
      </c>
      <c r="K553" s="56">
        <v>3.324952425E9</v>
      </c>
      <c r="L553" s="60" t="s">
        <v>1372</v>
      </c>
      <c r="M553" s="59">
        <v>43864.0</v>
      </c>
      <c r="N553" s="60" t="s">
        <v>1373</v>
      </c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8.75" hidden="1" customHeight="1">
      <c r="A554" s="56">
        <f t="shared" si="37"/>
        <v>551</v>
      </c>
      <c r="B554" s="56" t="str">
        <f t="shared" si="38"/>
        <v>HB143</v>
      </c>
      <c r="C554" s="57" t="s">
        <v>1374</v>
      </c>
      <c r="D554" s="56" t="s">
        <v>117</v>
      </c>
      <c r="E554" s="56" t="s">
        <v>34</v>
      </c>
      <c r="F554" s="58" t="s">
        <v>7</v>
      </c>
      <c r="G554" s="56" t="s">
        <v>118</v>
      </c>
      <c r="H554" s="56" t="s">
        <v>118</v>
      </c>
      <c r="I554" s="59">
        <v>35777.0</v>
      </c>
      <c r="J554" s="56">
        <f t="shared" si="39"/>
        <v>28</v>
      </c>
      <c r="K554" s="56">
        <v>3.321208631E9</v>
      </c>
      <c r="L554" s="60" t="s">
        <v>1372</v>
      </c>
      <c r="M554" s="59">
        <v>44023.0</v>
      </c>
      <c r="N554" s="60" t="s">
        <v>467</v>
      </c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8.75" customHeight="1">
      <c r="A555" s="56">
        <f t="shared" si="37"/>
        <v>552</v>
      </c>
      <c r="B555" s="56" t="str">
        <f t="shared" si="38"/>
        <v>HMi4</v>
      </c>
      <c r="C555" s="57" t="s">
        <v>1375</v>
      </c>
      <c r="D555" s="56" t="s">
        <v>117</v>
      </c>
      <c r="E555" s="56" t="s">
        <v>28</v>
      </c>
      <c r="F555" s="56" t="s">
        <v>24</v>
      </c>
      <c r="G555" s="56"/>
      <c r="H555" s="56" t="s">
        <v>118</v>
      </c>
      <c r="I555" s="59">
        <v>35840.0</v>
      </c>
      <c r="J555" s="56">
        <f t="shared" si="39"/>
        <v>28</v>
      </c>
      <c r="K555" s="56">
        <v>3.33355831E9</v>
      </c>
      <c r="L555" s="60" t="s">
        <v>373</v>
      </c>
      <c r="M555" s="59">
        <v>44668.0</v>
      </c>
      <c r="N555" s="60" t="s">
        <v>1376</v>
      </c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8.75" hidden="1" customHeight="1">
      <c r="A556" s="56">
        <f t="shared" si="37"/>
        <v>553</v>
      </c>
      <c r="B556" s="56" t="str">
        <f t="shared" si="38"/>
        <v>HB144</v>
      </c>
      <c r="C556" s="57" t="s">
        <v>1377</v>
      </c>
      <c r="D556" s="56" t="s">
        <v>117</v>
      </c>
      <c r="E556" s="56" t="s">
        <v>40</v>
      </c>
      <c r="F556" s="56" t="s">
        <v>7</v>
      </c>
      <c r="G556" s="56" t="s">
        <v>118</v>
      </c>
      <c r="H556" s="56" t="s">
        <v>118</v>
      </c>
      <c r="I556" s="59">
        <v>37779.0</v>
      </c>
      <c r="J556" s="56">
        <f t="shared" si="39"/>
        <v>22</v>
      </c>
      <c r="K556" s="56">
        <v>3.336523E7</v>
      </c>
      <c r="L556" s="60" t="s">
        <v>1378</v>
      </c>
      <c r="M556" s="59"/>
      <c r="N556" s="60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8.75" customHeight="1">
      <c r="A557" s="56">
        <f t="shared" si="37"/>
        <v>554</v>
      </c>
      <c r="B557" s="56" t="str">
        <f t="shared" si="38"/>
        <v>HD12</v>
      </c>
      <c r="C557" s="72" t="s">
        <v>1377</v>
      </c>
      <c r="D557" s="58" t="s">
        <v>117</v>
      </c>
      <c r="E557" s="58" t="s">
        <v>40</v>
      </c>
      <c r="F557" s="58" t="s">
        <v>49</v>
      </c>
      <c r="G557" s="56" t="s">
        <v>118</v>
      </c>
      <c r="H557" s="56" t="s">
        <v>118</v>
      </c>
      <c r="I557" s="73">
        <v>37779.0</v>
      </c>
      <c r="J557" s="56">
        <f t="shared" si="39"/>
        <v>22</v>
      </c>
      <c r="K557" s="58">
        <v>3.315498398E9</v>
      </c>
      <c r="L557" s="71" t="s">
        <v>1379</v>
      </c>
      <c r="M557" s="73">
        <v>45745.0</v>
      </c>
      <c r="N557" s="71" t="s">
        <v>1380</v>
      </c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8.75" hidden="1" customHeight="1">
      <c r="A558" s="56">
        <f t="shared" si="37"/>
        <v>555</v>
      </c>
      <c r="B558" s="56" t="str">
        <f t="shared" si="38"/>
        <v>MB139</v>
      </c>
      <c r="C558" s="57" t="s">
        <v>1381</v>
      </c>
      <c r="D558" s="56" t="s">
        <v>128</v>
      </c>
      <c r="E558" s="56" t="s">
        <v>40</v>
      </c>
      <c r="F558" s="56" t="s">
        <v>7</v>
      </c>
      <c r="G558" s="56" t="s">
        <v>118</v>
      </c>
      <c r="H558" s="56" t="s">
        <v>118</v>
      </c>
      <c r="I558" s="59">
        <v>37211.0</v>
      </c>
      <c r="J558" s="56">
        <f t="shared" si="39"/>
        <v>24</v>
      </c>
      <c r="K558" s="56">
        <v>8.662382586E9</v>
      </c>
      <c r="L558" s="60" t="s">
        <v>1382</v>
      </c>
      <c r="M558" s="59">
        <v>44065.0</v>
      </c>
      <c r="N558" s="60" t="s">
        <v>1383</v>
      </c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8.75" customHeight="1">
      <c r="A559" s="56">
        <f t="shared" si="37"/>
        <v>556</v>
      </c>
      <c r="B559" s="56" t="str">
        <f t="shared" si="38"/>
        <v>MJ39</v>
      </c>
      <c r="C559" s="57" t="s">
        <v>1384</v>
      </c>
      <c r="D559" s="56" t="s">
        <v>128</v>
      </c>
      <c r="E559" s="56" t="s">
        <v>28</v>
      </c>
      <c r="F559" s="56" t="s">
        <v>30</v>
      </c>
      <c r="G559" s="56"/>
      <c r="H559" s="56" t="s">
        <v>118</v>
      </c>
      <c r="I559" s="59">
        <v>33898.0</v>
      </c>
      <c r="J559" s="56">
        <f t="shared" si="39"/>
        <v>33</v>
      </c>
      <c r="K559" s="56"/>
      <c r="L559" s="60" t="s">
        <v>1385</v>
      </c>
      <c r="M559" s="59">
        <v>43269.0</v>
      </c>
      <c r="N559" s="60" t="s">
        <v>242</v>
      </c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8.75" customHeight="1">
      <c r="A560" s="75">
        <f t="shared" si="37"/>
        <v>557</v>
      </c>
      <c r="B560" s="75" t="str">
        <f t="shared" si="38"/>
        <v>MMa26</v>
      </c>
      <c r="C560" s="76" t="s">
        <v>1386</v>
      </c>
      <c r="D560" s="77" t="s">
        <v>128</v>
      </c>
      <c r="E560" s="77" t="s">
        <v>40</v>
      </c>
      <c r="F560" s="77" t="s">
        <v>18</v>
      </c>
      <c r="G560" s="77" t="s">
        <v>118</v>
      </c>
      <c r="H560" s="75" t="s">
        <v>118</v>
      </c>
      <c r="I560" s="78">
        <v>40682.0</v>
      </c>
      <c r="J560" s="75">
        <f t="shared" si="39"/>
        <v>14</v>
      </c>
      <c r="K560" s="77">
        <v>3.348550425E9</v>
      </c>
      <c r="L560" s="79" t="s">
        <v>1387</v>
      </c>
      <c r="M560" s="80">
        <v>45902.0</v>
      </c>
      <c r="N560" s="71" t="s">
        <v>1388</v>
      </c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8.75" customHeight="1">
      <c r="A561" s="56">
        <f t="shared" si="37"/>
        <v>558</v>
      </c>
      <c r="B561" s="56" t="str">
        <f t="shared" si="38"/>
        <v>HL15</v>
      </c>
      <c r="C561" s="57" t="s">
        <v>1389</v>
      </c>
      <c r="D561" s="56" t="s">
        <v>117</v>
      </c>
      <c r="E561" s="56" t="s">
        <v>16</v>
      </c>
      <c r="F561" s="56" t="s">
        <v>12</v>
      </c>
      <c r="G561" s="58" t="s">
        <v>118</v>
      </c>
      <c r="H561" s="56" t="s">
        <v>118</v>
      </c>
      <c r="I561" s="59">
        <v>26666.0</v>
      </c>
      <c r="J561" s="56">
        <f t="shared" si="39"/>
        <v>53</v>
      </c>
      <c r="K561" s="56">
        <v>3.334090315E9</v>
      </c>
      <c r="L561" s="60" t="s">
        <v>1390</v>
      </c>
      <c r="M561" s="59"/>
      <c r="N561" s="60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8.75" customHeight="1">
      <c r="A562" s="56">
        <f t="shared" si="37"/>
        <v>559</v>
      </c>
      <c r="B562" s="56" t="str">
        <f t="shared" si="38"/>
        <v>HV11</v>
      </c>
      <c r="C562" s="72" t="s">
        <v>1391</v>
      </c>
      <c r="D562" s="58" t="s">
        <v>117</v>
      </c>
      <c r="E562" s="58" t="s">
        <v>22</v>
      </c>
      <c r="F562" s="58" t="s">
        <v>36</v>
      </c>
      <c r="G562" s="58" t="s">
        <v>118</v>
      </c>
      <c r="H562" s="56" t="s">
        <v>118</v>
      </c>
      <c r="I562" s="73">
        <v>21092.0</v>
      </c>
      <c r="J562" s="56">
        <f t="shared" si="39"/>
        <v>68</v>
      </c>
      <c r="K562" s="58">
        <v>3.328077749E9</v>
      </c>
      <c r="L562" s="71" t="s">
        <v>1392</v>
      </c>
      <c r="M562" s="58" t="s">
        <v>1393</v>
      </c>
      <c r="N562" s="71" t="s">
        <v>916</v>
      </c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8.75" hidden="1" customHeight="1">
      <c r="A563" s="56">
        <f t="shared" si="37"/>
        <v>560</v>
      </c>
      <c r="B563" s="56" t="str">
        <f t="shared" si="38"/>
        <v>MB140</v>
      </c>
      <c r="C563" s="57" t="s">
        <v>1394</v>
      </c>
      <c r="D563" s="56" t="s">
        <v>128</v>
      </c>
      <c r="E563" s="56" t="s">
        <v>22</v>
      </c>
      <c r="F563" s="58" t="s">
        <v>7</v>
      </c>
      <c r="G563" s="56" t="s">
        <v>165</v>
      </c>
      <c r="H563" s="56" t="s">
        <v>118</v>
      </c>
      <c r="I563" s="59">
        <v>34735.0</v>
      </c>
      <c r="J563" s="56">
        <f t="shared" si="39"/>
        <v>31</v>
      </c>
      <c r="K563" s="56">
        <v>3.316973382E9</v>
      </c>
      <c r="L563" s="60" t="s">
        <v>1395</v>
      </c>
      <c r="M563" s="59">
        <v>45273.0</v>
      </c>
      <c r="N563" s="60" t="s">
        <v>1396</v>
      </c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8.75" customHeight="1">
      <c r="A564" s="43">
        <f t="shared" si="37"/>
        <v>561</v>
      </c>
      <c r="B564" s="43" t="str">
        <f t="shared" si="38"/>
        <v>HV12</v>
      </c>
      <c r="C564" s="44" t="s">
        <v>1397</v>
      </c>
      <c r="D564" s="45" t="s">
        <v>117</v>
      </c>
      <c r="E564" s="45" t="s">
        <v>40</v>
      </c>
      <c r="F564" s="43" t="s">
        <v>36</v>
      </c>
      <c r="G564" s="43" t="s">
        <v>118</v>
      </c>
      <c r="H564" s="43" t="s">
        <v>118</v>
      </c>
      <c r="I564" s="63">
        <v>40401.0</v>
      </c>
      <c r="J564" s="43">
        <f t="shared" si="39"/>
        <v>15</v>
      </c>
      <c r="K564" s="45">
        <v>3.32169135E9</v>
      </c>
      <c r="L564" s="48" t="s">
        <v>1398</v>
      </c>
      <c r="M564" s="65">
        <v>45680.0</v>
      </c>
      <c r="N564" s="48" t="s">
        <v>574</v>
      </c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8.75" customHeight="1">
      <c r="A565" s="56">
        <f t="shared" si="37"/>
        <v>562</v>
      </c>
      <c r="B565" s="56" t="str">
        <f t="shared" si="38"/>
        <v>HL16</v>
      </c>
      <c r="C565" s="57" t="s">
        <v>1399</v>
      </c>
      <c r="D565" s="56" t="s">
        <v>117</v>
      </c>
      <c r="E565" s="56" t="s">
        <v>140</v>
      </c>
      <c r="F565" s="56" t="s">
        <v>12</v>
      </c>
      <c r="G565" s="56"/>
      <c r="H565" s="56" t="s">
        <v>118</v>
      </c>
      <c r="I565" s="59">
        <v>14868.0</v>
      </c>
      <c r="J565" s="56">
        <f t="shared" si="39"/>
        <v>85</v>
      </c>
      <c r="K565" s="56">
        <v>3.6084569E7</v>
      </c>
      <c r="L565" s="60" t="s">
        <v>1400</v>
      </c>
      <c r="M565" s="59"/>
      <c r="N565" s="60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8.75" hidden="1" customHeight="1">
      <c r="A566" s="56">
        <f t="shared" si="37"/>
        <v>563</v>
      </c>
      <c r="B566" s="56" t="str">
        <f t="shared" si="38"/>
        <v>MB141</v>
      </c>
      <c r="C566" s="57" t="s">
        <v>1401</v>
      </c>
      <c r="D566" s="56" t="s">
        <v>128</v>
      </c>
      <c r="E566" s="56" t="s">
        <v>22</v>
      </c>
      <c r="F566" s="58" t="s">
        <v>7</v>
      </c>
      <c r="G566" s="56" t="s">
        <v>118</v>
      </c>
      <c r="H566" s="56" t="s">
        <v>118</v>
      </c>
      <c r="I566" s="59">
        <v>28309.0</v>
      </c>
      <c r="J566" s="56">
        <f t="shared" si="39"/>
        <v>48</v>
      </c>
      <c r="K566" s="56">
        <v>3.31844186E9</v>
      </c>
      <c r="L566" s="60" t="s">
        <v>1402</v>
      </c>
      <c r="M566" s="59">
        <v>43315.0</v>
      </c>
      <c r="N566" s="60" t="s">
        <v>1403</v>
      </c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8.75" customHeight="1">
      <c r="A567" s="56">
        <f t="shared" si="37"/>
        <v>564</v>
      </c>
      <c r="B567" s="56" t="str">
        <f t="shared" si="38"/>
        <v>MMi17</v>
      </c>
      <c r="C567" s="57" t="s">
        <v>1404</v>
      </c>
      <c r="D567" s="56" t="s">
        <v>128</v>
      </c>
      <c r="E567" s="56" t="s">
        <v>16</v>
      </c>
      <c r="F567" s="56" t="s">
        <v>24</v>
      </c>
      <c r="G567" s="58" t="s">
        <v>118</v>
      </c>
      <c r="H567" s="56" t="s">
        <v>118</v>
      </c>
      <c r="I567" s="59">
        <v>25753.0</v>
      </c>
      <c r="J567" s="56">
        <f t="shared" si="39"/>
        <v>55</v>
      </c>
      <c r="K567" s="56">
        <v>3.324612095E9</v>
      </c>
      <c r="L567" s="60" t="s">
        <v>1405</v>
      </c>
      <c r="M567" s="59">
        <v>44195.0</v>
      </c>
      <c r="N567" s="60" t="s">
        <v>1406</v>
      </c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8.75" customHeight="1">
      <c r="A568" s="56">
        <f t="shared" si="37"/>
        <v>565</v>
      </c>
      <c r="B568" s="56" t="str">
        <f t="shared" si="38"/>
        <v>HD13</v>
      </c>
      <c r="C568" s="57" t="s">
        <v>1407</v>
      </c>
      <c r="D568" s="56" t="s">
        <v>117</v>
      </c>
      <c r="E568" s="56" t="s">
        <v>140</v>
      </c>
      <c r="F568" s="56" t="s">
        <v>49</v>
      </c>
      <c r="G568" s="56"/>
      <c r="H568" s="56" t="s">
        <v>118</v>
      </c>
      <c r="I568" s="59">
        <v>17293.0</v>
      </c>
      <c r="J568" s="56">
        <f t="shared" si="39"/>
        <v>78</v>
      </c>
      <c r="K568" s="56">
        <v>3.313402788E9</v>
      </c>
      <c r="L568" s="60" t="s">
        <v>179</v>
      </c>
      <c r="M568" s="59"/>
      <c r="N568" s="60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8.75" customHeight="1">
      <c r="A569" s="56">
        <f t="shared" si="37"/>
        <v>566</v>
      </c>
      <c r="B569" s="56" t="str">
        <f t="shared" si="38"/>
        <v>MS25</v>
      </c>
      <c r="C569" s="72" t="s">
        <v>1408</v>
      </c>
      <c r="D569" s="58" t="s">
        <v>128</v>
      </c>
      <c r="E569" s="58" t="s">
        <v>22</v>
      </c>
      <c r="F569" s="58" t="s">
        <v>43</v>
      </c>
      <c r="G569" s="58" t="s">
        <v>118</v>
      </c>
      <c r="H569" s="56" t="s">
        <v>118</v>
      </c>
      <c r="I569" s="73">
        <v>33737.0</v>
      </c>
      <c r="J569" s="56">
        <f t="shared" si="39"/>
        <v>33</v>
      </c>
      <c r="K569" s="58">
        <v>3.351226582E9</v>
      </c>
      <c r="L569" s="71" t="s">
        <v>1409</v>
      </c>
      <c r="M569" s="85">
        <v>46035.0</v>
      </c>
      <c r="N569" s="71" t="s">
        <v>1410</v>
      </c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8.75" customHeight="1">
      <c r="A570" s="56">
        <f t="shared" si="37"/>
        <v>567</v>
      </c>
      <c r="B570" s="56" t="str">
        <f t="shared" si="38"/>
        <v>MMa27</v>
      </c>
      <c r="C570" s="72" t="s">
        <v>1411</v>
      </c>
      <c r="D570" s="56" t="s">
        <v>128</v>
      </c>
      <c r="E570" s="58" t="s">
        <v>34</v>
      </c>
      <c r="F570" s="58" t="s">
        <v>18</v>
      </c>
      <c r="G570" s="58" t="s">
        <v>165</v>
      </c>
      <c r="H570" s="56" t="s">
        <v>118</v>
      </c>
      <c r="I570" s="73">
        <v>24525.0</v>
      </c>
      <c r="J570" s="56">
        <f t="shared" si="39"/>
        <v>59</v>
      </c>
      <c r="K570" s="58">
        <v>2.211268032E9</v>
      </c>
      <c r="L570" s="71" t="s">
        <v>1412</v>
      </c>
      <c r="M570" s="58" t="s">
        <v>1413</v>
      </c>
      <c r="N570" s="7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8.75" hidden="1" customHeight="1">
      <c r="A571" s="56">
        <f t="shared" si="37"/>
        <v>568</v>
      </c>
      <c r="B571" s="56" t="str">
        <f t="shared" si="38"/>
        <v>HB145</v>
      </c>
      <c r="C571" s="57" t="s">
        <v>1414</v>
      </c>
      <c r="D571" s="56" t="s">
        <v>117</v>
      </c>
      <c r="E571" s="56" t="s">
        <v>40</v>
      </c>
      <c r="F571" s="56" t="s">
        <v>7</v>
      </c>
      <c r="G571" s="56" t="s">
        <v>118</v>
      </c>
      <c r="H571" s="56" t="s">
        <v>118</v>
      </c>
      <c r="I571" s="59">
        <v>35752.0</v>
      </c>
      <c r="J571" s="56">
        <f t="shared" si="39"/>
        <v>28</v>
      </c>
      <c r="K571" s="56">
        <v>3.323703718E9</v>
      </c>
      <c r="L571" s="60"/>
      <c r="M571" s="59">
        <v>42979.0</v>
      </c>
      <c r="N571" s="60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8.75" customHeight="1">
      <c r="A572" s="56">
        <f t="shared" si="37"/>
        <v>569</v>
      </c>
      <c r="B572" s="56" t="str">
        <f t="shared" si="38"/>
        <v>HJ15</v>
      </c>
      <c r="C572" s="57" t="s">
        <v>1415</v>
      </c>
      <c r="D572" s="56" t="s">
        <v>117</v>
      </c>
      <c r="E572" s="56" t="s">
        <v>28</v>
      </c>
      <c r="F572" s="56" t="s">
        <v>30</v>
      </c>
      <c r="G572" s="58" t="s">
        <v>118</v>
      </c>
      <c r="H572" s="56" t="s">
        <v>118</v>
      </c>
      <c r="I572" s="59">
        <v>29784.0</v>
      </c>
      <c r="J572" s="56">
        <f t="shared" si="39"/>
        <v>44</v>
      </c>
      <c r="K572" s="56">
        <v>3.31499841E9</v>
      </c>
      <c r="L572" s="60" t="s">
        <v>1416</v>
      </c>
      <c r="M572" s="59">
        <v>45141.0</v>
      </c>
      <c r="N572" s="71" t="s">
        <v>1417</v>
      </c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8.75" customHeight="1">
      <c r="A573" s="56">
        <f t="shared" si="37"/>
        <v>570</v>
      </c>
      <c r="B573" s="56" t="str">
        <f>IF(C573="","",D573&amp;$F$761&amp;COUNTIFS($D$4:D573,$D$761,$F$4:F573,$F$761))</f>
        <v>HL25</v>
      </c>
      <c r="C573" s="72" t="s">
        <v>1418</v>
      </c>
      <c r="D573" s="58" t="s">
        <v>117</v>
      </c>
      <c r="E573" s="58" t="s">
        <v>16</v>
      </c>
      <c r="F573" s="58" t="s">
        <v>30</v>
      </c>
      <c r="G573" s="58"/>
      <c r="H573" s="58" t="s">
        <v>118</v>
      </c>
      <c r="I573" s="73">
        <v>32834.0</v>
      </c>
      <c r="J573" s="56">
        <f>IF($C$761="","",DATEDIF(I573,TODAY(),"Y"))</f>
        <v>36</v>
      </c>
      <c r="K573" s="58">
        <v>3.313339387E9</v>
      </c>
      <c r="L573" s="71" t="s">
        <v>1419</v>
      </c>
      <c r="M573" s="73">
        <v>45383.0</v>
      </c>
      <c r="N573" s="71" t="s">
        <v>1420</v>
      </c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8.75" hidden="1" customHeight="1">
      <c r="A574" s="56">
        <f t="shared" si="37"/>
        <v>571</v>
      </c>
      <c r="B574" s="56" t="str">
        <f t="shared" ref="B574:B576" si="40">IF(C574="","",D574&amp;F574&amp;COUNTIFS($D$4:D574,D574,$F$4:F574,F574))</f>
        <v>HB146</v>
      </c>
      <c r="C574" s="57" t="s">
        <v>1421</v>
      </c>
      <c r="D574" s="56" t="s">
        <v>117</v>
      </c>
      <c r="E574" s="56" t="s">
        <v>22</v>
      </c>
      <c r="F574" s="56" t="s">
        <v>7</v>
      </c>
      <c r="G574" s="56" t="s">
        <v>118</v>
      </c>
      <c r="H574" s="56" t="s">
        <v>118</v>
      </c>
      <c r="I574" s="59">
        <v>29547.0</v>
      </c>
      <c r="J574" s="56">
        <f t="shared" ref="J574:J576" si="41">IF(C574="","",DATEDIF(I574,TODAY(),"Y"))</f>
        <v>45</v>
      </c>
      <c r="K574" s="56">
        <v>3.313339387E9</v>
      </c>
      <c r="L574" s="60" t="s">
        <v>1422</v>
      </c>
      <c r="M574" s="59">
        <v>43608.0</v>
      </c>
      <c r="N574" s="60" t="s">
        <v>1423</v>
      </c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8.75" customHeight="1">
      <c r="A575" s="56">
        <f t="shared" si="37"/>
        <v>572</v>
      </c>
      <c r="B575" s="56" t="str">
        <f t="shared" si="40"/>
        <v>MMa28</v>
      </c>
      <c r="C575" s="57" t="s">
        <v>1424</v>
      </c>
      <c r="D575" s="56" t="s">
        <v>128</v>
      </c>
      <c r="E575" s="56" t="s">
        <v>40</v>
      </c>
      <c r="F575" s="56" t="s">
        <v>18</v>
      </c>
      <c r="G575" s="58" t="s">
        <v>118</v>
      </c>
      <c r="H575" s="56" t="s">
        <v>118</v>
      </c>
      <c r="I575" s="59">
        <v>39778.0</v>
      </c>
      <c r="J575" s="56">
        <f t="shared" si="41"/>
        <v>17</v>
      </c>
      <c r="K575" s="56">
        <v>3.329236536E9</v>
      </c>
      <c r="L575" s="60" t="s">
        <v>1425</v>
      </c>
      <c r="M575" s="59">
        <v>37812.0</v>
      </c>
      <c r="N575" s="60" t="s">
        <v>403</v>
      </c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8.75" hidden="1" customHeight="1">
      <c r="A576" s="56">
        <f t="shared" si="37"/>
        <v>573</v>
      </c>
      <c r="B576" s="56" t="str">
        <f t="shared" si="40"/>
        <v>MB142</v>
      </c>
      <c r="C576" s="57" t="s">
        <v>1426</v>
      </c>
      <c r="D576" s="56" t="s">
        <v>128</v>
      </c>
      <c r="E576" s="56" t="s">
        <v>40</v>
      </c>
      <c r="F576" s="56" t="s">
        <v>7</v>
      </c>
      <c r="G576" s="56" t="s">
        <v>165</v>
      </c>
      <c r="H576" s="56" t="s">
        <v>118</v>
      </c>
      <c r="I576" s="59">
        <v>35534.0</v>
      </c>
      <c r="J576" s="56">
        <f t="shared" si="41"/>
        <v>29</v>
      </c>
      <c r="K576" s="56">
        <v>3.31300103E9</v>
      </c>
      <c r="L576" s="60" t="s">
        <v>1427</v>
      </c>
      <c r="M576" s="59"/>
      <c r="N576" s="60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8.75" hidden="1" customHeight="1">
      <c r="A577" s="56">
        <f t="shared" si="37"/>
        <v>574</v>
      </c>
      <c r="B577" s="56" t="str">
        <f>IF(C577="","",D577&amp;$F$761&amp;COUNTIFS($D$4:D577,$D$761,$F$4:F577,$F$761))</f>
        <v>ML25</v>
      </c>
      <c r="C577" s="72" t="s">
        <v>1426</v>
      </c>
      <c r="D577" s="58" t="s">
        <v>128</v>
      </c>
      <c r="E577" s="58" t="s">
        <v>40</v>
      </c>
      <c r="F577" s="58" t="s">
        <v>7</v>
      </c>
      <c r="G577" s="58" t="s">
        <v>165</v>
      </c>
      <c r="H577" s="58" t="s">
        <v>118</v>
      </c>
      <c r="I577" s="73">
        <v>35534.0</v>
      </c>
      <c r="J577" s="56">
        <f>IF($C$761="","",DATEDIF(I577,TODAY(),"Y"))</f>
        <v>29</v>
      </c>
      <c r="K577" s="56"/>
      <c r="L577" s="71" t="s">
        <v>1428</v>
      </c>
      <c r="M577" s="73">
        <v>45119.0</v>
      </c>
      <c r="N577" s="60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8.75" hidden="1" customHeight="1">
      <c r="A578" s="56">
        <f t="shared" si="37"/>
        <v>575</v>
      </c>
      <c r="B578" s="56" t="str">
        <f t="shared" ref="B578:B619" si="42">IF(C578="","",D578&amp;F578&amp;COUNTIFS($D$4:D578,D578,$F$4:F578,F578))</f>
        <v>HB147</v>
      </c>
      <c r="C578" s="57" t="s">
        <v>1429</v>
      </c>
      <c r="D578" s="56" t="s">
        <v>117</v>
      </c>
      <c r="E578" s="56" t="s">
        <v>140</v>
      </c>
      <c r="F578" s="56" t="s">
        <v>7</v>
      </c>
      <c r="G578" s="56" t="s">
        <v>118</v>
      </c>
      <c r="H578" s="56" t="s">
        <v>118</v>
      </c>
      <c r="I578" s="59">
        <v>15703.0</v>
      </c>
      <c r="J578" s="56">
        <f t="shared" ref="J578:J587" si="43">IF(C578="","",DATEDIF(I578,TODAY(),"Y"))</f>
        <v>83</v>
      </c>
      <c r="K578" s="56">
        <v>1.5086672E7</v>
      </c>
      <c r="L578" s="60" t="s">
        <v>1430</v>
      </c>
      <c r="M578" s="59">
        <v>42979.0</v>
      </c>
      <c r="N578" s="60" t="s">
        <v>1431</v>
      </c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8.75" customHeight="1">
      <c r="A579" s="56">
        <f t="shared" si="37"/>
        <v>576</v>
      </c>
      <c r="B579" s="56" t="str">
        <f t="shared" si="42"/>
        <v>MMa29</v>
      </c>
      <c r="C579" s="57" t="s">
        <v>1432</v>
      </c>
      <c r="D579" s="56" t="s">
        <v>128</v>
      </c>
      <c r="E579" s="56" t="s">
        <v>22</v>
      </c>
      <c r="F579" s="56" t="s">
        <v>18</v>
      </c>
      <c r="G579" s="58" t="s">
        <v>118</v>
      </c>
      <c r="H579" s="56" t="s">
        <v>118</v>
      </c>
      <c r="I579" s="59">
        <v>30352.0</v>
      </c>
      <c r="J579" s="56">
        <f t="shared" si="43"/>
        <v>43</v>
      </c>
      <c r="K579" s="56">
        <v>3.310644157E9</v>
      </c>
      <c r="L579" s="60" t="s">
        <v>1433</v>
      </c>
      <c r="M579" s="59"/>
      <c r="N579" s="60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8.75" customHeight="1">
      <c r="A580" s="56">
        <f t="shared" si="37"/>
        <v>577</v>
      </c>
      <c r="B580" s="56" t="str">
        <f t="shared" si="42"/>
        <v>HS29</v>
      </c>
      <c r="C580" s="57" t="s">
        <v>1434</v>
      </c>
      <c r="D580" s="56" t="s">
        <v>117</v>
      </c>
      <c r="E580" s="56" t="s">
        <v>34</v>
      </c>
      <c r="F580" s="58" t="s">
        <v>43</v>
      </c>
      <c r="G580" s="56"/>
      <c r="H580" s="56" t="s">
        <v>118</v>
      </c>
      <c r="I580" s="59">
        <v>30227.0</v>
      </c>
      <c r="J580" s="56">
        <f t="shared" si="43"/>
        <v>43</v>
      </c>
      <c r="K580" s="56">
        <v>3.320703133E9</v>
      </c>
      <c r="L580" s="60" t="s">
        <v>1435</v>
      </c>
      <c r="M580" s="59"/>
      <c r="N580" s="60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8.75" customHeight="1">
      <c r="A581" s="56">
        <f t="shared" si="37"/>
        <v>578</v>
      </c>
      <c r="B581" s="56" t="str">
        <f t="shared" si="42"/>
        <v>MV31</v>
      </c>
      <c r="C581" s="72" t="s">
        <v>1436</v>
      </c>
      <c r="D581" s="56" t="s">
        <v>128</v>
      </c>
      <c r="E581" s="58" t="s">
        <v>40</v>
      </c>
      <c r="F581" s="56" t="s">
        <v>36</v>
      </c>
      <c r="G581" s="58" t="s">
        <v>118</v>
      </c>
      <c r="H581" s="56" t="s">
        <v>118</v>
      </c>
      <c r="I581" s="73">
        <v>40177.0</v>
      </c>
      <c r="J581" s="56">
        <f t="shared" si="43"/>
        <v>16</v>
      </c>
      <c r="K581" s="58">
        <v>3.346676991E9</v>
      </c>
      <c r="L581" s="71" t="s">
        <v>1437</v>
      </c>
      <c r="M581" s="73">
        <v>45805.0</v>
      </c>
      <c r="N581" s="71" t="s">
        <v>439</v>
      </c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8.75" customHeight="1">
      <c r="A582" s="56">
        <f t="shared" si="37"/>
        <v>579</v>
      </c>
      <c r="B582" s="56" t="str">
        <f t="shared" si="42"/>
        <v>MJ40</v>
      </c>
      <c r="C582" s="57" t="s">
        <v>1438</v>
      </c>
      <c r="D582" s="56" t="s">
        <v>128</v>
      </c>
      <c r="E582" s="56" t="s">
        <v>22</v>
      </c>
      <c r="F582" s="56" t="s">
        <v>30</v>
      </c>
      <c r="G582" s="56"/>
      <c r="H582" s="56"/>
      <c r="I582" s="59">
        <v>31778.0</v>
      </c>
      <c r="J582" s="56">
        <f t="shared" si="43"/>
        <v>39</v>
      </c>
      <c r="K582" s="56">
        <v>3.317832346E9</v>
      </c>
      <c r="L582" s="60" t="s">
        <v>1439</v>
      </c>
      <c r="M582" s="59">
        <v>41426.0</v>
      </c>
      <c r="N582" s="60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8.75" hidden="1" customHeight="1">
      <c r="A583" s="56">
        <f t="shared" si="37"/>
        <v>580</v>
      </c>
      <c r="B583" s="56" t="str">
        <f t="shared" si="42"/>
        <v>MB144</v>
      </c>
      <c r="C583" s="57" t="s">
        <v>1440</v>
      </c>
      <c r="D583" s="56" t="s">
        <v>128</v>
      </c>
      <c r="E583" s="56" t="s">
        <v>40</v>
      </c>
      <c r="F583" s="56" t="s">
        <v>7</v>
      </c>
      <c r="G583" s="56" t="s">
        <v>118</v>
      </c>
      <c r="H583" s="56" t="s">
        <v>118</v>
      </c>
      <c r="I583" s="59">
        <v>35631.0</v>
      </c>
      <c r="J583" s="56">
        <f t="shared" si="43"/>
        <v>28</v>
      </c>
      <c r="K583" s="56">
        <v>3.324612095E9</v>
      </c>
      <c r="L583" s="60" t="s">
        <v>1441</v>
      </c>
      <c r="M583" s="59">
        <v>43538.0</v>
      </c>
      <c r="N583" s="60" t="s">
        <v>486</v>
      </c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8.75" hidden="1" customHeight="1">
      <c r="A584" s="56">
        <f t="shared" si="37"/>
        <v>581</v>
      </c>
      <c r="B584" s="56" t="str">
        <f t="shared" si="42"/>
        <v>HB148</v>
      </c>
      <c r="C584" s="57" t="s">
        <v>1442</v>
      </c>
      <c r="D584" s="56" t="s">
        <v>117</v>
      </c>
      <c r="E584" s="56" t="s">
        <v>40</v>
      </c>
      <c r="F584" s="58" t="s">
        <v>7</v>
      </c>
      <c r="G584" s="56" t="s">
        <v>118</v>
      </c>
      <c r="H584" s="56" t="s">
        <v>118</v>
      </c>
      <c r="I584" s="59">
        <v>37843.0</v>
      </c>
      <c r="J584" s="56">
        <f t="shared" si="43"/>
        <v>22</v>
      </c>
      <c r="K584" s="56">
        <v>3.323219118E9</v>
      </c>
      <c r="L584" s="60" t="s">
        <v>1443</v>
      </c>
      <c r="M584" s="59">
        <v>42979.0</v>
      </c>
      <c r="N584" s="60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8.75" customHeight="1">
      <c r="A585" s="56">
        <f t="shared" si="37"/>
        <v>582</v>
      </c>
      <c r="B585" s="56" t="str">
        <f t="shared" si="42"/>
        <v>MJ41</v>
      </c>
      <c r="C585" s="57" t="s">
        <v>1444</v>
      </c>
      <c r="D585" s="56" t="s">
        <v>128</v>
      </c>
      <c r="E585" s="56" t="s">
        <v>16</v>
      </c>
      <c r="F585" s="56" t="s">
        <v>30</v>
      </c>
      <c r="G585" s="58" t="s">
        <v>118</v>
      </c>
      <c r="H585" s="56" t="s">
        <v>118</v>
      </c>
      <c r="I585" s="59">
        <v>22343.0</v>
      </c>
      <c r="J585" s="56">
        <f t="shared" si="43"/>
        <v>65</v>
      </c>
      <c r="K585" s="56">
        <v>3.329529748E9</v>
      </c>
      <c r="L585" s="60" t="s">
        <v>1445</v>
      </c>
      <c r="M585" s="59">
        <v>45034.0</v>
      </c>
      <c r="N585" s="60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8.75" customHeight="1">
      <c r="A586" s="43">
        <f t="shared" si="37"/>
        <v>583</v>
      </c>
      <c r="B586" s="43" t="str">
        <f t="shared" si="42"/>
        <v>HV13</v>
      </c>
      <c r="C586" s="55" t="s">
        <v>1446</v>
      </c>
      <c r="D586" s="43" t="s">
        <v>117</v>
      </c>
      <c r="E586" s="43" t="s">
        <v>34</v>
      </c>
      <c r="F586" s="43" t="s">
        <v>36</v>
      </c>
      <c r="G586" s="43"/>
      <c r="H586" s="43" t="s">
        <v>118</v>
      </c>
      <c r="I586" s="46">
        <v>15506.0</v>
      </c>
      <c r="J586" s="43">
        <f t="shared" si="43"/>
        <v>83</v>
      </c>
      <c r="K586" s="43">
        <v>3.314072768E9</v>
      </c>
      <c r="L586" s="47" t="s">
        <v>1447</v>
      </c>
      <c r="M586" s="46"/>
      <c r="N586" s="47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8.75" hidden="1" customHeight="1">
      <c r="A587" s="56">
        <f t="shared" si="37"/>
        <v>584</v>
      </c>
      <c r="B587" s="56" t="str">
        <f t="shared" si="42"/>
        <v>MB145</v>
      </c>
      <c r="C587" s="57" t="s">
        <v>1448</v>
      </c>
      <c r="D587" s="56" t="s">
        <v>128</v>
      </c>
      <c r="E587" s="56" t="s">
        <v>22</v>
      </c>
      <c r="F587" s="56" t="s">
        <v>7</v>
      </c>
      <c r="G587" s="56" t="s">
        <v>118</v>
      </c>
      <c r="H587" s="56" t="s">
        <v>118</v>
      </c>
      <c r="I587" s="59">
        <v>31332.0</v>
      </c>
      <c r="J587" s="56">
        <f t="shared" si="43"/>
        <v>40</v>
      </c>
      <c r="K587" s="56">
        <v>3.316371112E9</v>
      </c>
      <c r="L587" s="60" t="s">
        <v>1449</v>
      </c>
      <c r="M587" s="59">
        <v>42979.0</v>
      </c>
      <c r="N587" s="60" t="s">
        <v>1450</v>
      </c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8.75" customHeight="1">
      <c r="A588" s="56">
        <f t="shared" si="37"/>
        <v>585</v>
      </c>
      <c r="B588" s="56" t="str">
        <f t="shared" si="42"/>
        <v>HL17</v>
      </c>
      <c r="C588" s="72" t="s">
        <v>1451</v>
      </c>
      <c r="D588" s="58" t="s">
        <v>117</v>
      </c>
      <c r="E588" s="58" t="s">
        <v>40</v>
      </c>
      <c r="F588" s="58" t="s">
        <v>12</v>
      </c>
      <c r="G588" s="58"/>
      <c r="H588" s="58" t="s">
        <v>118</v>
      </c>
      <c r="I588" s="73">
        <v>40260.0</v>
      </c>
      <c r="J588" s="56">
        <f>IF($C$761="","",DATEDIF(I588,TODAY(),"Y"))</f>
        <v>16</v>
      </c>
      <c r="K588" s="58">
        <v>3.333736472E9</v>
      </c>
      <c r="L588" s="71" t="s">
        <v>1452</v>
      </c>
      <c r="M588" s="73">
        <v>45482.0</v>
      </c>
      <c r="N588" s="71" t="s">
        <v>1176</v>
      </c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8.75" customHeight="1">
      <c r="A589" s="56">
        <f t="shared" si="37"/>
        <v>586</v>
      </c>
      <c r="B589" s="56" t="str">
        <f t="shared" si="42"/>
        <v>MMa30</v>
      </c>
      <c r="C589" s="57" t="s">
        <v>1453</v>
      </c>
      <c r="D589" s="56" t="s">
        <v>128</v>
      </c>
      <c r="E589" s="56" t="s">
        <v>34</v>
      </c>
      <c r="F589" s="56" t="s">
        <v>18</v>
      </c>
      <c r="G589" s="58" t="s">
        <v>118</v>
      </c>
      <c r="H589" s="56" t="s">
        <v>118</v>
      </c>
      <c r="I589" s="59">
        <v>24706.0</v>
      </c>
      <c r="J589" s="56">
        <f t="shared" ref="J589:J619" si="44">IF(C589="","",DATEDIF(I589,TODAY(),"Y"))</f>
        <v>58</v>
      </c>
      <c r="K589" s="56">
        <v>3.313443677E9</v>
      </c>
      <c r="L589" s="60" t="s">
        <v>1454</v>
      </c>
      <c r="M589" s="59"/>
      <c r="N589" s="60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8.75" customHeight="1">
      <c r="A590" s="56">
        <f t="shared" si="37"/>
        <v>587</v>
      </c>
      <c r="B590" s="56" t="str">
        <f t="shared" si="42"/>
        <v>HL18</v>
      </c>
      <c r="C590" s="57" t="s">
        <v>1455</v>
      </c>
      <c r="D590" s="56" t="s">
        <v>117</v>
      </c>
      <c r="E590" s="56" t="s">
        <v>16</v>
      </c>
      <c r="F590" s="56" t="s">
        <v>12</v>
      </c>
      <c r="G590" s="58" t="s">
        <v>118</v>
      </c>
      <c r="H590" s="56" t="s">
        <v>118</v>
      </c>
      <c r="I590" s="59">
        <v>20027.0</v>
      </c>
      <c r="J590" s="56">
        <f t="shared" si="44"/>
        <v>71</v>
      </c>
      <c r="K590" s="56">
        <v>9.711145082E9</v>
      </c>
      <c r="L590" s="60" t="s">
        <v>1456</v>
      </c>
      <c r="M590" s="59"/>
      <c r="N590" s="60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8.75" hidden="1" customHeight="1">
      <c r="A591" s="56">
        <f t="shared" si="37"/>
        <v>588</v>
      </c>
      <c r="B591" s="56" t="str">
        <f t="shared" si="42"/>
        <v>HB149</v>
      </c>
      <c r="C591" s="57" t="s">
        <v>1457</v>
      </c>
      <c r="D591" s="56" t="s">
        <v>117</v>
      </c>
      <c r="E591" s="56" t="s">
        <v>34</v>
      </c>
      <c r="F591" s="58" t="s">
        <v>7</v>
      </c>
      <c r="G591" s="56" t="s">
        <v>118</v>
      </c>
      <c r="H591" s="56" t="s">
        <v>118</v>
      </c>
      <c r="I591" s="59">
        <v>25685.0</v>
      </c>
      <c r="J591" s="56">
        <f t="shared" si="44"/>
        <v>55</v>
      </c>
      <c r="K591" s="56">
        <v>3.338462524E9</v>
      </c>
      <c r="L591" s="60" t="s">
        <v>1458</v>
      </c>
      <c r="M591" s="59"/>
      <c r="N591" s="60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8.75" customHeight="1">
      <c r="A592" s="56">
        <f t="shared" si="37"/>
        <v>589</v>
      </c>
      <c r="B592" s="56" t="str">
        <f t="shared" si="42"/>
        <v>MS26</v>
      </c>
      <c r="C592" s="57" t="s">
        <v>1459</v>
      </c>
      <c r="D592" s="56" t="s">
        <v>128</v>
      </c>
      <c r="E592" s="56" t="s">
        <v>34</v>
      </c>
      <c r="F592" s="56" t="s">
        <v>43</v>
      </c>
      <c r="G592" s="58" t="s">
        <v>118</v>
      </c>
      <c r="H592" s="56" t="s">
        <v>118</v>
      </c>
      <c r="I592" s="59">
        <v>23665.0</v>
      </c>
      <c r="J592" s="56">
        <f t="shared" si="44"/>
        <v>61</v>
      </c>
      <c r="K592" s="56">
        <v>3.317975932E9</v>
      </c>
      <c r="L592" s="60" t="s">
        <v>1460</v>
      </c>
      <c r="M592" s="59"/>
      <c r="N592" s="71" t="s">
        <v>1306</v>
      </c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8.75" hidden="1" customHeight="1">
      <c r="A593" s="56">
        <f t="shared" si="37"/>
        <v>590</v>
      </c>
      <c r="B593" s="56" t="str">
        <f t="shared" si="42"/>
        <v>MB146</v>
      </c>
      <c r="C593" s="57" t="s">
        <v>1461</v>
      </c>
      <c r="D593" s="56" t="s">
        <v>128</v>
      </c>
      <c r="E593" s="56" t="s">
        <v>40</v>
      </c>
      <c r="F593" s="56" t="s">
        <v>7</v>
      </c>
      <c r="G593" s="56" t="s">
        <v>118</v>
      </c>
      <c r="H593" s="56" t="s">
        <v>118</v>
      </c>
      <c r="I593" s="59">
        <v>36387.0</v>
      </c>
      <c r="J593" s="56">
        <f t="shared" si="44"/>
        <v>26</v>
      </c>
      <c r="K593" s="56">
        <v>5.551026227E9</v>
      </c>
      <c r="L593" s="60" t="s">
        <v>1462</v>
      </c>
      <c r="M593" s="59">
        <v>43016.0</v>
      </c>
      <c r="N593" s="60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8.75" hidden="1" customHeight="1">
      <c r="A594" s="56">
        <f t="shared" si="37"/>
        <v>591</v>
      </c>
      <c r="B594" s="56" t="str">
        <f t="shared" si="42"/>
        <v>MB147</v>
      </c>
      <c r="C594" s="57" t="s">
        <v>1463</v>
      </c>
      <c r="D594" s="56" t="s">
        <v>128</v>
      </c>
      <c r="E594" s="56" t="s">
        <v>40</v>
      </c>
      <c r="F594" s="56" t="s">
        <v>7</v>
      </c>
      <c r="G594" s="56" t="s">
        <v>118</v>
      </c>
      <c r="H594" s="56"/>
      <c r="I594" s="59"/>
      <c r="J594" s="56">
        <f t="shared" si="44"/>
        <v>126</v>
      </c>
      <c r="K594" s="56"/>
      <c r="L594" s="60" t="s">
        <v>602</v>
      </c>
      <c r="M594" s="59"/>
      <c r="N594" s="60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8.75" customHeight="1">
      <c r="A595" s="43">
        <f t="shared" si="37"/>
        <v>592</v>
      </c>
      <c r="B595" s="43" t="str">
        <f t="shared" si="42"/>
        <v>HV14</v>
      </c>
      <c r="C595" s="55" t="s">
        <v>1464</v>
      </c>
      <c r="D595" s="43" t="s">
        <v>117</v>
      </c>
      <c r="E595" s="43" t="s">
        <v>40</v>
      </c>
      <c r="F595" s="43" t="s">
        <v>36</v>
      </c>
      <c r="G595" s="43"/>
      <c r="H595" s="43" t="s">
        <v>118</v>
      </c>
      <c r="I595" s="46">
        <v>39296.0</v>
      </c>
      <c r="J595" s="43">
        <f t="shared" si="44"/>
        <v>18</v>
      </c>
      <c r="K595" s="43">
        <v>3.318412959E9</v>
      </c>
      <c r="L595" s="47" t="s">
        <v>1465</v>
      </c>
      <c r="M595" s="46">
        <v>44652.0</v>
      </c>
      <c r="N595" s="47" t="s">
        <v>218</v>
      </c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8.75" customHeight="1">
      <c r="A596" s="56">
        <f t="shared" si="37"/>
        <v>593</v>
      </c>
      <c r="B596" s="56" t="str">
        <f t="shared" si="42"/>
        <v>HJ17</v>
      </c>
      <c r="C596" s="57" t="s">
        <v>1466</v>
      </c>
      <c r="D596" s="56" t="s">
        <v>117</v>
      </c>
      <c r="E596" s="56" t="s">
        <v>40</v>
      </c>
      <c r="F596" s="56" t="s">
        <v>30</v>
      </c>
      <c r="G596" s="56"/>
      <c r="H596" s="56" t="s">
        <v>118</v>
      </c>
      <c r="I596" s="59">
        <v>39004.0</v>
      </c>
      <c r="J596" s="56">
        <f t="shared" si="44"/>
        <v>19</v>
      </c>
      <c r="K596" s="56">
        <v>3.333367427E9</v>
      </c>
      <c r="L596" s="60" t="s">
        <v>1467</v>
      </c>
      <c r="M596" s="59">
        <v>44602.0</v>
      </c>
      <c r="N596" s="60" t="s">
        <v>493</v>
      </c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8.75" hidden="1" customHeight="1">
      <c r="A597" s="56">
        <f t="shared" si="37"/>
        <v>594</v>
      </c>
      <c r="B597" s="56" t="str">
        <f t="shared" si="42"/>
        <v>MB148</v>
      </c>
      <c r="C597" s="57" t="s">
        <v>1468</v>
      </c>
      <c r="D597" s="56" t="s">
        <v>128</v>
      </c>
      <c r="E597" s="56" t="s">
        <v>40</v>
      </c>
      <c r="F597" s="56" t="s">
        <v>7</v>
      </c>
      <c r="G597" s="56" t="s">
        <v>118</v>
      </c>
      <c r="H597" s="56" t="s">
        <v>118</v>
      </c>
      <c r="I597" s="59">
        <v>37607.0</v>
      </c>
      <c r="J597" s="56">
        <f t="shared" si="44"/>
        <v>23</v>
      </c>
      <c r="K597" s="56">
        <v>3.329898333E9</v>
      </c>
      <c r="L597" s="60" t="s">
        <v>1469</v>
      </c>
      <c r="M597" s="59">
        <v>43791.0</v>
      </c>
      <c r="N597" s="60" t="s">
        <v>249</v>
      </c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8.75" customHeight="1">
      <c r="A598" s="56">
        <f t="shared" si="37"/>
        <v>595</v>
      </c>
      <c r="B598" s="56" t="str">
        <f t="shared" si="42"/>
        <v>HS30</v>
      </c>
      <c r="C598" s="57" t="s">
        <v>1470</v>
      </c>
      <c r="D598" s="56" t="s">
        <v>117</v>
      </c>
      <c r="E598" s="56" t="s">
        <v>40</v>
      </c>
      <c r="F598" s="56" t="s">
        <v>43</v>
      </c>
      <c r="G598" s="56"/>
      <c r="H598" s="56" t="s">
        <v>118</v>
      </c>
      <c r="I598" s="59">
        <v>38241.0</v>
      </c>
      <c r="J598" s="56">
        <f t="shared" si="44"/>
        <v>21</v>
      </c>
      <c r="K598" s="56">
        <v>3.323181768E9</v>
      </c>
      <c r="L598" s="60" t="s">
        <v>1471</v>
      </c>
      <c r="M598" s="59">
        <v>43553.0</v>
      </c>
      <c r="N598" s="60" t="s">
        <v>218</v>
      </c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8.75" hidden="1" customHeight="1">
      <c r="A599" s="56">
        <f t="shared" si="37"/>
        <v>596</v>
      </c>
      <c r="B599" s="56" t="str">
        <f t="shared" si="42"/>
        <v>MB149</v>
      </c>
      <c r="C599" s="72" t="s">
        <v>1472</v>
      </c>
      <c r="D599" s="56" t="s">
        <v>128</v>
      </c>
      <c r="E599" s="56" t="s">
        <v>40</v>
      </c>
      <c r="F599" s="58" t="s">
        <v>7</v>
      </c>
      <c r="G599" s="56" t="s">
        <v>118</v>
      </c>
      <c r="H599" s="56" t="s">
        <v>118</v>
      </c>
      <c r="I599" s="73">
        <v>40136.0</v>
      </c>
      <c r="J599" s="56">
        <f t="shared" si="44"/>
        <v>16</v>
      </c>
      <c r="K599" s="58">
        <v>3.333200657E9</v>
      </c>
      <c r="L599" s="71" t="s">
        <v>1473</v>
      </c>
      <c r="M599" s="73">
        <v>45485.0</v>
      </c>
      <c r="N599" s="71" t="s">
        <v>1474</v>
      </c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8.75" customHeight="1">
      <c r="A600" s="56">
        <f t="shared" si="37"/>
        <v>597</v>
      </c>
      <c r="B600" s="56" t="str">
        <f t="shared" si="42"/>
        <v>ML26</v>
      </c>
      <c r="C600" s="57" t="s">
        <v>1475</v>
      </c>
      <c r="D600" s="56" t="s">
        <v>128</v>
      </c>
      <c r="E600" s="56" t="s">
        <v>34</v>
      </c>
      <c r="F600" s="56" t="s">
        <v>12</v>
      </c>
      <c r="G600" s="58" t="s">
        <v>118</v>
      </c>
      <c r="H600" s="56" t="s">
        <v>118</v>
      </c>
      <c r="I600" s="59">
        <v>19828.0</v>
      </c>
      <c r="J600" s="56">
        <f t="shared" si="44"/>
        <v>72</v>
      </c>
      <c r="K600" s="56">
        <v>5.515840466E9</v>
      </c>
      <c r="L600" s="60" t="s">
        <v>1476</v>
      </c>
      <c r="M600" s="59"/>
      <c r="N600" s="71" t="s">
        <v>1477</v>
      </c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8.75" customHeight="1">
      <c r="A601" s="56">
        <f t="shared" si="37"/>
        <v>598</v>
      </c>
      <c r="B601" s="56" t="str">
        <f t="shared" si="42"/>
        <v>MV32</v>
      </c>
      <c r="C601" s="57" t="s">
        <v>1478</v>
      </c>
      <c r="D601" s="56" t="s">
        <v>128</v>
      </c>
      <c r="E601" s="56" t="s">
        <v>140</v>
      </c>
      <c r="F601" s="56" t="s">
        <v>36</v>
      </c>
      <c r="G601" s="58" t="s">
        <v>118</v>
      </c>
      <c r="H601" s="56" t="s">
        <v>118</v>
      </c>
      <c r="I601" s="59">
        <v>21155.0</v>
      </c>
      <c r="J601" s="56">
        <f t="shared" si="44"/>
        <v>68</v>
      </c>
      <c r="K601" s="56">
        <v>3.31731616E9</v>
      </c>
      <c r="L601" s="60" t="s">
        <v>1479</v>
      </c>
      <c r="M601" s="59"/>
      <c r="N601" s="71" t="s">
        <v>537</v>
      </c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8.75" hidden="1" customHeight="1">
      <c r="A602" s="56">
        <f t="shared" si="37"/>
        <v>599</v>
      </c>
      <c r="B602" s="56" t="str">
        <f t="shared" si="42"/>
        <v>HB150</v>
      </c>
      <c r="C602" s="57" t="s">
        <v>1480</v>
      </c>
      <c r="D602" s="56" t="s">
        <v>117</v>
      </c>
      <c r="E602" s="56" t="s">
        <v>16</v>
      </c>
      <c r="F602" s="56" t="s">
        <v>7</v>
      </c>
      <c r="G602" s="56" t="s">
        <v>118</v>
      </c>
      <c r="H602" s="56" t="s">
        <v>118</v>
      </c>
      <c r="I602" s="59">
        <v>23885.0</v>
      </c>
      <c r="J602" s="56">
        <f t="shared" si="44"/>
        <v>60</v>
      </c>
      <c r="K602" s="56">
        <v>3.321903648E9</v>
      </c>
      <c r="L602" s="60" t="s">
        <v>1481</v>
      </c>
      <c r="M602" s="59">
        <v>43496.0</v>
      </c>
      <c r="N602" s="60" t="s">
        <v>1482</v>
      </c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8.75" hidden="1" customHeight="1">
      <c r="A603" s="56">
        <f t="shared" si="37"/>
        <v>600</v>
      </c>
      <c r="B603" s="56" t="str">
        <f t="shared" si="42"/>
        <v>HB151</v>
      </c>
      <c r="C603" s="57" t="s">
        <v>1483</v>
      </c>
      <c r="D603" s="56" t="s">
        <v>117</v>
      </c>
      <c r="E603" s="56" t="s">
        <v>40</v>
      </c>
      <c r="F603" s="58" t="s">
        <v>7</v>
      </c>
      <c r="G603" s="56"/>
      <c r="H603" s="56" t="s">
        <v>118</v>
      </c>
      <c r="I603" s="59">
        <v>34537.0</v>
      </c>
      <c r="J603" s="56">
        <f t="shared" si="44"/>
        <v>31</v>
      </c>
      <c r="K603" s="56">
        <v>3.311099315E9</v>
      </c>
      <c r="L603" s="60" t="s">
        <v>1484</v>
      </c>
      <c r="M603" s="59"/>
      <c r="N603" s="60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8.75" customHeight="1">
      <c r="A604" s="56">
        <f t="shared" si="37"/>
        <v>601</v>
      </c>
      <c r="B604" s="56" t="str">
        <f t="shared" si="42"/>
        <v>MS27</v>
      </c>
      <c r="C604" s="57" t="s">
        <v>1485</v>
      </c>
      <c r="D604" s="56" t="s">
        <v>128</v>
      </c>
      <c r="E604" s="56" t="s">
        <v>40</v>
      </c>
      <c r="F604" s="56" t="s">
        <v>43</v>
      </c>
      <c r="G604" s="58" t="s">
        <v>118</v>
      </c>
      <c r="H604" s="56" t="s">
        <v>118</v>
      </c>
      <c r="I604" s="59">
        <v>37376.0</v>
      </c>
      <c r="J604" s="56">
        <f t="shared" si="44"/>
        <v>23</v>
      </c>
      <c r="K604" s="56">
        <v>3.315245809E9</v>
      </c>
      <c r="L604" s="60" t="s">
        <v>1486</v>
      </c>
      <c r="M604" s="59">
        <v>44847.0</v>
      </c>
      <c r="N604" s="71" t="s">
        <v>1487</v>
      </c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8.75" customHeight="1">
      <c r="A605" s="56">
        <f t="shared" si="37"/>
        <v>602</v>
      </c>
      <c r="B605" s="56" t="str">
        <f t="shared" si="42"/>
        <v>MS28</v>
      </c>
      <c r="C605" s="57" t="s">
        <v>1488</v>
      </c>
      <c r="D605" s="56" t="s">
        <v>128</v>
      </c>
      <c r="E605" s="56" t="s">
        <v>40</v>
      </c>
      <c r="F605" s="56" t="s">
        <v>43</v>
      </c>
      <c r="G605" s="58" t="s">
        <v>118</v>
      </c>
      <c r="H605" s="56" t="s">
        <v>118</v>
      </c>
      <c r="I605" s="59">
        <v>38669.0</v>
      </c>
      <c r="J605" s="56">
        <f t="shared" si="44"/>
        <v>20</v>
      </c>
      <c r="K605" s="56">
        <v>3.313122738E9</v>
      </c>
      <c r="L605" s="60" t="s">
        <v>1489</v>
      </c>
      <c r="M605" s="59">
        <v>43858.0</v>
      </c>
      <c r="N605" s="71" t="s">
        <v>590</v>
      </c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8.75" hidden="1" customHeight="1">
      <c r="A606" s="56">
        <f t="shared" si="37"/>
        <v>603</v>
      </c>
      <c r="B606" s="56" t="str">
        <f t="shared" si="42"/>
        <v>HB152</v>
      </c>
      <c r="C606" s="57" t="s">
        <v>1490</v>
      </c>
      <c r="D606" s="56" t="s">
        <v>117</v>
      </c>
      <c r="E606" s="56" t="s">
        <v>140</v>
      </c>
      <c r="F606" s="56" t="s">
        <v>7</v>
      </c>
      <c r="G606" s="56" t="s">
        <v>118</v>
      </c>
      <c r="H606" s="56" t="s">
        <v>118</v>
      </c>
      <c r="I606" s="59">
        <v>12256.0</v>
      </c>
      <c r="J606" s="56">
        <f t="shared" si="44"/>
        <v>92</v>
      </c>
      <c r="K606" s="56">
        <v>3.333074E7</v>
      </c>
      <c r="L606" s="60" t="s">
        <v>1491</v>
      </c>
      <c r="M606" s="59"/>
      <c r="N606" s="60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8.75" customHeight="1">
      <c r="A607" s="56">
        <f t="shared" si="37"/>
        <v>604</v>
      </c>
      <c r="B607" s="56" t="str">
        <f t="shared" si="42"/>
        <v>MV33</v>
      </c>
      <c r="C607" s="72" t="s">
        <v>1492</v>
      </c>
      <c r="D607" s="58" t="s">
        <v>128</v>
      </c>
      <c r="E607" s="58" t="s">
        <v>40</v>
      </c>
      <c r="F607" s="58" t="s">
        <v>36</v>
      </c>
      <c r="G607" s="58" t="s">
        <v>118</v>
      </c>
      <c r="H607" s="56" t="s">
        <v>118</v>
      </c>
      <c r="I607" s="73">
        <v>40528.0</v>
      </c>
      <c r="J607" s="56">
        <f t="shared" si="44"/>
        <v>15</v>
      </c>
      <c r="K607" s="58">
        <v>3.318254562E9</v>
      </c>
      <c r="L607" s="71" t="s">
        <v>1493</v>
      </c>
      <c r="M607" s="82">
        <v>45579.0</v>
      </c>
      <c r="N607" s="71" t="s">
        <v>1494</v>
      </c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8.75" customHeight="1">
      <c r="A608" s="56">
        <f t="shared" si="37"/>
        <v>605</v>
      </c>
      <c r="B608" s="56" t="str">
        <f t="shared" si="42"/>
        <v>HJ18</v>
      </c>
      <c r="C608" s="57" t="s">
        <v>1495</v>
      </c>
      <c r="D608" s="56" t="s">
        <v>117</v>
      </c>
      <c r="E608" s="56" t="s">
        <v>140</v>
      </c>
      <c r="F608" s="56" t="s">
        <v>30</v>
      </c>
      <c r="G608" s="56"/>
      <c r="H608" s="56" t="s">
        <v>118</v>
      </c>
      <c r="I608" s="59">
        <v>18264.0</v>
      </c>
      <c r="J608" s="56">
        <f t="shared" si="44"/>
        <v>76</v>
      </c>
      <c r="K608" s="56">
        <v>3.314737337E9</v>
      </c>
      <c r="L608" s="60" t="s">
        <v>1496</v>
      </c>
      <c r="M608" s="59"/>
      <c r="N608" s="60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8.75" customHeight="1">
      <c r="A609" s="56">
        <f t="shared" si="37"/>
        <v>606</v>
      </c>
      <c r="B609" s="56" t="str">
        <f t="shared" si="42"/>
        <v>MD22</v>
      </c>
      <c r="C609" s="57" t="s">
        <v>1497</v>
      </c>
      <c r="D609" s="56" t="s">
        <v>128</v>
      </c>
      <c r="E609" s="56" t="s">
        <v>40</v>
      </c>
      <c r="F609" s="56" t="s">
        <v>49</v>
      </c>
      <c r="G609" s="58" t="s">
        <v>118</v>
      </c>
      <c r="H609" s="56" t="s">
        <v>118</v>
      </c>
      <c r="I609" s="59">
        <v>34370.0</v>
      </c>
      <c r="J609" s="56">
        <f t="shared" si="44"/>
        <v>32</v>
      </c>
      <c r="K609" s="56" t="s">
        <v>1498</v>
      </c>
      <c r="L609" s="60" t="s">
        <v>1499</v>
      </c>
      <c r="M609" s="59">
        <v>43749.0</v>
      </c>
      <c r="N609" s="71" t="s">
        <v>1500</v>
      </c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8.75" customHeight="1">
      <c r="A610" s="56">
        <f t="shared" si="37"/>
        <v>607</v>
      </c>
      <c r="B610" s="56" t="str">
        <f t="shared" si="42"/>
        <v>ML27</v>
      </c>
      <c r="C610" s="57" t="s">
        <v>1501</v>
      </c>
      <c r="D610" s="56" t="s">
        <v>128</v>
      </c>
      <c r="E610" s="56" t="s">
        <v>16</v>
      </c>
      <c r="F610" s="56" t="s">
        <v>12</v>
      </c>
      <c r="G610" s="56"/>
      <c r="H610" s="56" t="s">
        <v>118</v>
      </c>
      <c r="I610" s="59">
        <v>27804.0</v>
      </c>
      <c r="J610" s="56">
        <f t="shared" si="44"/>
        <v>50</v>
      </c>
      <c r="K610" s="56">
        <v>3.6056103E7</v>
      </c>
      <c r="L610" s="60" t="s">
        <v>1499</v>
      </c>
      <c r="M610" s="59"/>
      <c r="N610" s="60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8.75" customHeight="1">
      <c r="A611" s="56">
        <f t="shared" si="37"/>
        <v>608</v>
      </c>
      <c r="B611" s="56" t="str">
        <f t="shared" si="42"/>
        <v>HS31</v>
      </c>
      <c r="C611" s="72" t="s">
        <v>1502</v>
      </c>
      <c r="D611" s="58" t="s">
        <v>117</v>
      </c>
      <c r="E611" s="58" t="s">
        <v>40</v>
      </c>
      <c r="F611" s="58" t="s">
        <v>43</v>
      </c>
      <c r="G611" s="58" t="s">
        <v>165</v>
      </c>
      <c r="H611" s="56" t="s">
        <v>118</v>
      </c>
      <c r="I611" s="73">
        <v>40644.0</v>
      </c>
      <c r="J611" s="56">
        <f t="shared" si="44"/>
        <v>15</v>
      </c>
      <c r="K611" s="58">
        <v>3.322972035E9</v>
      </c>
      <c r="L611" s="71" t="s">
        <v>1503</v>
      </c>
      <c r="M611" s="83">
        <v>45894.0</v>
      </c>
      <c r="N611" s="71" t="s">
        <v>1504</v>
      </c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8.75" hidden="1" customHeight="1">
      <c r="A612" s="56">
        <f t="shared" si="37"/>
        <v>609</v>
      </c>
      <c r="B612" s="56" t="str">
        <f t="shared" si="42"/>
        <v>HB153</v>
      </c>
      <c r="C612" s="57" t="s">
        <v>1505</v>
      </c>
      <c r="D612" s="56" t="s">
        <v>117</v>
      </c>
      <c r="E612" s="56" t="s">
        <v>40</v>
      </c>
      <c r="F612" s="56" t="s">
        <v>7</v>
      </c>
      <c r="G612" s="56" t="s">
        <v>118</v>
      </c>
      <c r="H612" s="56" t="s">
        <v>118</v>
      </c>
      <c r="I612" s="59">
        <v>37731.0</v>
      </c>
      <c r="J612" s="56">
        <f t="shared" si="44"/>
        <v>23</v>
      </c>
      <c r="K612" s="56">
        <v>3.323355704E9</v>
      </c>
      <c r="L612" s="60" t="s">
        <v>1506</v>
      </c>
      <c r="M612" s="59">
        <v>43015.0</v>
      </c>
      <c r="N612" s="60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8.75" customHeight="1">
      <c r="A613" s="56">
        <f t="shared" si="37"/>
        <v>610</v>
      </c>
      <c r="B613" s="56" t="str">
        <f t="shared" si="42"/>
        <v>HMi5</v>
      </c>
      <c r="C613" s="81" t="s">
        <v>26</v>
      </c>
      <c r="D613" s="56" t="s">
        <v>117</v>
      </c>
      <c r="E613" s="56" t="s">
        <v>140</v>
      </c>
      <c r="F613" s="56" t="s">
        <v>24</v>
      </c>
      <c r="G613" s="56"/>
      <c r="H613" s="56" t="s">
        <v>118</v>
      </c>
      <c r="I613" s="59">
        <v>24206.0</v>
      </c>
      <c r="J613" s="56">
        <f t="shared" si="44"/>
        <v>60</v>
      </c>
      <c r="K613" s="56">
        <v>3.324548084E9</v>
      </c>
      <c r="L613" s="60" t="s">
        <v>1507</v>
      </c>
      <c r="M613" s="59"/>
      <c r="N613" s="60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8.75" customHeight="1">
      <c r="A614" s="56">
        <f t="shared" si="37"/>
        <v>611</v>
      </c>
      <c r="B614" s="56" t="str">
        <f t="shared" si="42"/>
        <v>MS29</v>
      </c>
      <c r="C614" s="72" t="s">
        <v>1508</v>
      </c>
      <c r="D614" s="56" t="s">
        <v>128</v>
      </c>
      <c r="E614" s="58" t="s">
        <v>40</v>
      </c>
      <c r="F614" s="58" t="s">
        <v>43</v>
      </c>
      <c r="G614" s="56" t="s">
        <v>118</v>
      </c>
      <c r="H614" s="56" t="s">
        <v>118</v>
      </c>
      <c r="I614" s="73">
        <v>40049.0</v>
      </c>
      <c r="J614" s="56">
        <f t="shared" si="44"/>
        <v>16</v>
      </c>
      <c r="K614" s="58">
        <v>3.343764856E9</v>
      </c>
      <c r="L614" s="71" t="s">
        <v>1509</v>
      </c>
      <c r="M614" s="73">
        <v>45866.0</v>
      </c>
      <c r="N614" s="71" t="s">
        <v>455</v>
      </c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8.75" hidden="1" customHeight="1">
      <c r="A615" s="56">
        <f t="shared" si="37"/>
        <v>612</v>
      </c>
      <c r="B615" s="56" t="str">
        <f t="shared" si="42"/>
        <v>HB154</v>
      </c>
      <c r="C615" s="57" t="s">
        <v>1510</v>
      </c>
      <c r="D615" s="56" t="s">
        <v>117</v>
      </c>
      <c r="E615" s="56" t="s">
        <v>40</v>
      </c>
      <c r="F615" s="56" t="s">
        <v>7</v>
      </c>
      <c r="G615" s="56" t="s">
        <v>118</v>
      </c>
      <c r="H615" s="56" t="s">
        <v>118</v>
      </c>
      <c r="I615" s="59">
        <v>36789.0</v>
      </c>
      <c r="J615" s="56">
        <f t="shared" si="44"/>
        <v>25</v>
      </c>
      <c r="K615" s="56">
        <v>3.338204301E9</v>
      </c>
      <c r="L615" s="60" t="s">
        <v>1507</v>
      </c>
      <c r="M615" s="59"/>
      <c r="N615" s="60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8.75" hidden="1" customHeight="1">
      <c r="A616" s="56">
        <f t="shared" si="37"/>
        <v>613</v>
      </c>
      <c r="B616" s="56" t="str">
        <f t="shared" si="42"/>
        <v>HB155</v>
      </c>
      <c r="C616" s="57" t="s">
        <v>1511</v>
      </c>
      <c r="D616" s="56" t="s">
        <v>117</v>
      </c>
      <c r="E616" s="56" t="s">
        <v>40</v>
      </c>
      <c r="F616" s="56" t="s">
        <v>7</v>
      </c>
      <c r="G616" s="56" t="s">
        <v>118</v>
      </c>
      <c r="H616" s="56" t="s">
        <v>118</v>
      </c>
      <c r="I616" s="59">
        <v>38066.0</v>
      </c>
      <c r="J616" s="56">
        <f t="shared" si="44"/>
        <v>22</v>
      </c>
      <c r="K616" s="56">
        <v>3.318729482E9</v>
      </c>
      <c r="L616" s="60" t="s">
        <v>1507</v>
      </c>
      <c r="M616" s="59">
        <v>43215.0</v>
      </c>
      <c r="N616" s="60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8.75" hidden="1" customHeight="1">
      <c r="A617" s="56">
        <f t="shared" si="37"/>
        <v>614</v>
      </c>
      <c r="B617" s="56" t="str">
        <f t="shared" si="42"/>
        <v>MB150</v>
      </c>
      <c r="C617" s="57" t="s">
        <v>1512</v>
      </c>
      <c r="D617" s="56" t="s">
        <v>128</v>
      </c>
      <c r="E617" s="56" t="s">
        <v>40</v>
      </c>
      <c r="F617" s="56" t="s">
        <v>7</v>
      </c>
      <c r="G617" s="56" t="s">
        <v>118</v>
      </c>
      <c r="H617" s="56" t="s">
        <v>118</v>
      </c>
      <c r="I617" s="59">
        <v>33789.0</v>
      </c>
      <c r="J617" s="56">
        <f t="shared" si="44"/>
        <v>33</v>
      </c>
      <c r="K617" s="56">
        <v>3.312891431E9</v>
      </c>
      <c r="L617" s="60" t="s">
        <v>1513</v>
      </c>
      <c r="M617" s="59"/>
      <c r="N617" s="60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8.75" hidden="1" customHeight="1">
      <c r="A618" s="56">
        <f t="shared" si="37"/>
        <v>615</v>
      </c>
      <c r="B618" s="56" t="str">
        <f t="shared" si="42"/>
        <v>HB156</v>
      </c>
      <c r="C618" s="57" t="s">
        <v>1514</v>
      </c>
      <c r="D618" s="56" t="s">
        <v>117</v>
      </c>
      <c r="E618" s="56" t="s">
        <v>40</v>
      </c>
      <c r="F618" s="58" t="s">
        <v>7</v>
      </c>
      <c r="G618" s="56"/>
      <c r="H618" s="56" t="s">
        <v>118</v>
      </c>
      <c r="I618" s="59">
        <v>38529.0</v>
      </c>
      <c r="J618" s="56">
        <f t="shared" si="44"/>
        <v>20</v>
      </c>
      <c r="K618" s="56">
        <v>3.313414645E9</v>
      </c>
      <c r="L618" s="60" t="s">
        <v>845</v>
      </c>
      <c r="M618" s="59">
        <v>43831.0</v>
      </c>
      <c r="N618" s="60" t="s">
        <v>218</v>
      </c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8.75" customHeight="1">
      <c r="A619" s="56">
        <f t="shared" si="37"/>
        <v>616</v>
      </c>
      <c r="B619" s="56" t="str">
        <f t="shared" si="42"/>
        <v>ML28</v>
      </c>
      <c r="C619" s="57" t="s">
        <v>1515</v>
      </c>
      <c r="D619" s="56" t="s">
        <v>128</v>
      </c>
      <c r="E619" s="56" t="s">
        <v>40</v>
      </c>
      <c r="F619" s="56" t="s">
        <v>12</v>
      </c>
      <c r="G619" s="56"/>
      <c r="H619" s="56" t="s">
        <v>118</v>
      </c>
      <c r="I619" s="59">
        <v>38971.0</v>
      </c>
      <c r="J619" s="56">
        <f t="shared" si="44"/>
        <v>19</v>
      </c>
      <c r="K619" s="56">
        <v>3.318108523E9</v>
      </c>
      <c r="L619" s="60" t="s">
        <v>1516</v>
      </c>
      <c r="M619" s="59">
        <v>45250.0</v>
      </c>
      <c r="N619" s="60" t="s">
        <v>740</v>
      </c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8.75" customHeight="1">
      <c r="A620" s="56">
        <f t="shared" si="37"/>
        <v>617</v>
      </c>
      <c r="B620" s="56" t="str">
        <f>IF(C620="","",D620&amp;$F$761&amp;COUNTIFS($D$4:D620,$D$761,$F$4:F620,$F$761))</f>
        <v>ML28</v>
      </c>
      <c r="C620" s="57" t="s">
        <v>1517</v>
      </c>
      <c r="D620" s="56" t="s">
        <v>128</v>
      </c>
      <c r="E620" s="56" t="s">
        <v>34</v>
      </c>
      <c r="F620" s="56" t="s">
        <v>49</v>
      </c>
      <c r="G620" s="58" t="s">
        <v>118</v>
      </c>
      <c r="H620" s="56" t="s">
        <v>118</v>
      </c>
      <c r="I620" s="59">
        <v>14581.0</v>
      </c>
      <c r="J620" s="56">
        <f>IF($C$761="","",DATEDIF(I620,TODAY(),"Y"))</f>
        <v>86</v>
      </c>
      <c r="K620" s="56">
        <v>6.699946119E9</v>
      </c>
      <c r="L620" s="60" t="s">
        <v>1518</v>
      </c>
      <c r="M620" s="59">
        <v>45375.0</v>
      </c>
      <c r="N620" s="60" t="s">
        <v>1519</v>
      </c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8.75" hidden="1" customHeight="1">
      <c r="A621" s="56">
        <f t="shared" si="37"/>
        <v>618</v>
      </c>
      <c r="B621" s="56" t="str">
        <f t="shared" ref="B621:B764" si="45">IF(C621="","",D621&amp;F621&amp;COUNTIFS($D$4:D621,D621,$F$4:F621,F621))</f>
        <v>HB157</v>
      </c>
      <c r="C621" s="57" t="s">
        <v>1520</v>
      </c>
      <c r="D621" s="56" t="s">
        <v>117</v>
      </c>
      <c r="E621" s="56" t="s">
        <v>40</v>
      </c>
      <c r="F621" s="56" t="s">
        <v>7</v>
      </c>
      <c r="G621" s="56" t="s">
        <v>118</v>
      </c>
      <c r="H621" s="56" t="s">
        <v>118</v>
      </c>
      <c r="I621" s="59">
        <v>37251.0</v>
      </c>
      <c r="J621" s="56">
        <f t="shared" ref="J621:J627" si="46">IF(C621="","",DATEDIF(I621,TODAY(),"Y"))</f>
        <v>24</v>
      </c>
      <c r="K621" s="56">
        <v>3.314824655E9</v>
      </c>
      <c r="L621" s="60" t="s">
        <v>1521</v>
      </c>
      <c r="M621" s="59">
        <v>42948.0</v>
      </c>
      <c r="N621" s="60" t="s">
        <v>284</v>
      </c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8.75" hidden="1" customHeight="1">
      <c r="A622" s="56">
        <f t="shared" si="37"/>
        <v>619</v>
      </c>
      <c r="B622" s="56" t="str">
        <f t="shared" si="45"/>
        <v>HB158</v>
      </c>
      <c r="C622" s="57" t="s">
        <v>1522</v>
      </c>
      <c r="D622" s="56" t="s">
        <v>117</v>
      </c>
      <c r="E622" s="56" t="s">
        <v>40</v>
      </c>
      <c r="F622" s="58" t="s">
        <v>7</v>
      </c>
      <c r="G622" s="56"/>
      <c r="H622" s="56" t="s">
        <v>118</v>
      </c>
      <c r="I622" s="59">
        <v>35464.0</v>
      </c>
      <c r="J622" s="56">
        <f t="shared" si="46"/>
        <v>29</v>
      </c>
      <c r="K622" s="56">
        <v>3.328642963E9</v>
      </c>
      <c r="L622" s="60"/>
      <c r="M622" s="59">
        <v>43487.0</v>
      </c>
      <c r="N622" s="60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8.75" hidden="1" customHeight="1">
      <c r="A623" s="56">
        <f t="shared" si="37"/>
        <v>620</v>
      </c>
      <c r="B623" s="56" t="str">
        <f t="shared" si="45"/>
        <v>HB159</v>
      </c>
      <c r="C623" s="57" t="s">
        <v>1523</v>
      </c>
      <c r="D623" s="56" t="s">
        <v>117</v>
      </c>
      <c r="E623" s="56" t="s">
        <v>40</v>
      </c>
      <c r="F623" s="56" t="s">
        <v>7</v>
      </c>
      <c r="G623" s="56" t="s">
        <v>118</v>
      </c>
      <c r="H623" s="56" t="s">
        <v>118</v>
      </c>
      <c r="I623" s="59">
        <v>35535.0</v>
      </c>
      <c r="J623" s="56">
        <f t="shared" si="46"/>
        <v>29</v>
      </c>
      <c r="K623" s="56">
        <v>3.317927906E9</v>
      </c>
      <c r="L623" s="60" t="s">
        <v>1524</v>
      </c>
      <c r="M623" s="59"/>
      <c r="N623" s="60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8.75" hidden="1" customHeight="1">
      <c r="A624" s="56">
        <f t="shared" si="37"/>
        <v>621</v>
      </c>
      <c r="B624" s="56" t="str">
        <f t="shared" si="45"/>
        <v>MB151</v>
      </c>
      <c r="C624" s="57" t="s">
        <v>1525</v>
      </c>
      <c r="D624" s="56" t="s">
        <v>128</v>
      </c>
      <c r="E624" s="56" t="s">
        <v>40</v>
      </c>
      <c r="F624" s="56" t="s">
        <v>7</v>
      </c>
      <c r="G624" s="56" t="s">
        <v>118</v>
      </c>
      <c r="H624" s="56" t="s">
        <v>118</v>
      </c>
      <c r="I624" s="59">
        <v>35030.0</v>
      </c>
      <c r="J624" s="56">
        <f t="shared" si="46"/>
        <v>30</v>
      </c>
      <c r="K624" s="56">
        <v>3.312614134E9</v>
      </c>
      <c r="L624" s="60" t="s">
        <v>1526</v>
      </c>
      <c r="M624" s="59"/>
      <c r="N624" s="60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8.75" customHeight="1">
      <c r="A625" s="56">
        <f t="shared" si="37"/>
        <v>622</v>
      </c>
      <c r="B625" s="56" t="str">
        <f t="shared" si="45"/>
        <v>MS30</v>
      </c>
      <c r="C625" s="57" t="s">
        <v>1527</v>
      </c>
      <c r="D625" s="56" t="s">
        <v>128</v>
      </c>
      <c r="E625" s="56" t="s">
        <v>34</v>
      </c>
      <c r="F625" s="56" t="s">
        <v>43</v>
      </c>
      <c r="G625" s="58" t="s">
        <v>118</v>
      </c>
      <c r="H625" s="56" t="s">
        <v>118</v>
      </c>
      <c r="I625" s="59">
        <v>19677.0</v>
      </c>
      <c r="J625" s="56">
        <f t="shared" si="46"/>
        <v>72</v>
      </c>
      <c r="K625" s="56">
        <v>3.313421317E9</v>
      </c>
      <c r="L625" s="60" t="s">
        <v>1528</v>
      </c>
      <c r="M625" s="59"/>
      <c r="N625" s="71" t="s">
        <v>988</v>
      </c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8.75" customHeight="1">
      <c r="A626" s="56">
        <f t="shared" si="37"/>
        <v>623</v>
      </c>
      <c r="B626" s="56" t="str">
        <f t="shared" si="45"/>
        <v>HV15</v>
      </c>
      <c r="C626" s="57" t="s">
        <v>1529</v>
      </c>
      <c r="D626" s="56" t="s">
        <v>117</v>
      </c>
      <c r="E626" s="56" t="s">
        <v>40</v>
      </c>
      <c r="F626" s="56" t="s">
        <v>36</v>
      </c>
      <c r="G626" s="56"/>
      <c r="H626" s="56" t="s">
        <v>118</v>
      </c>
      <c r="I626" s="59">
        <v>37579.0</v>
      </c>
      <c r="J626" s="56">
        <f t="shared" si="46"/>
        <v>23</v>
      </c>
      <c r="K626" s="56">
        <v>3.6085766E7</v>
      </c>
      <c r="L626" s="60" t="s">
        <v>1530</v>
      </c>
      <c r="M626" s="59"/>
      <c r="N626" s="60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8.75" hidden="1" customHeight="1">
      <c r="A627" s="56">
        <f t="shared" si="37"/>
        <v>624</v>
      </c>
      <c r="B627" s="56" t="str">
        <f t="shared" si="45"/>
        <v>MB152</v>
      </c>
      <c r="C627" s="57" t="s">
        <v>1531</v>
      </c>
      <c r="D627" s="56" t="s">
        <v>128</v>
      </c>
      <c r="E627" s="56" t="s">
        <v>40</v>
      </c>
      <c r="F627" s="58" t="s">
        <v>7</v>
      </c>
      <c r="G627" s="56" t="s">
        <v>118</v>
      </c>
      <c r="H627" s="56" t="s">
        <v>118</v>
      </c>
      <c r="I627" s="59">
        <v>38536.0</v>
      </c>
      <c r="J627" s="56">
        <f t="shared" si="46"/>
        <v>20</v>
      </c>
      <c r="K627" s="56">
        <v>3.6085766E7</v>
      </c>
      <c r="L627" s="60" t="s">
        <v>1532</v>
      </c>
      <c r="M627" s="59">
        <v>43674.0</v>
      </c>
      <c r="N627" s="60" t="s">
        <v>230</v>
      </c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8.75" hidden="1" customHeight="1">
      <c r="A628" s="56">
        <f t="shared" si="37"/>
        <v>625</v>
      </c>
      <c r="B628" s="56" t="str">
        <f t="shared" si="45"/>
        <v>MB153</v>
      </c>
      <c r="C628" s="57" t="s">
        <v>1533</v>
      </c>
      <c r="D628" s="56" t="s">
        <v>128</v>
      </c>
      <c r="E628" s="56" t="s">
        <v>40</v>
      </c>
      <c r="F628" s="58" t="s">
        <v>7</v>
      </c>
      <c r="G628" s="56" t="s">
        <v>118</v>
      </c>
      <c r="H628" s="56" t="s">
        <v>118</v>
      </c>
      <c r="I628" s="59"/>
      <c r="J628" s="56"/>
      <c r="K628" s="56">
        <v>3.316918942E9</v>
      </c>
      <c r="L628" s="60" t="s">
        <v>1534</v>
      </c>
      <c r="M628" s="59">
        <v>45114.0</v>
      </c>
      <c r="N628" s="60" t="s">
        <v>251</v>
      </c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8.75" hidden="1" customHeight="1">
      <c r="A629" s="56">
        <f t="shared" si="37"/>
        <v>626</v>
      </c>
      <c r="B629" s="56" t="str">
        <f t="shared" si="45"/>
        <v>HB160</v>
      </c>
      <c r="C629" s="57" t="s">
        <v>1535</v>
      </c>
      <c r="D629" s="56" t="s">
        <v>117</v>
      </c>
      <c r="E629" s="56" t="s">
        <v>40</v>
      </c>
      <c r="F629" s="56" t="s">
        <v>7</v>
      </c>
      <c r="G629" s="56" t="s">
        <v>118</v>
      </c>
      <c r="H629" s="56" t="s">
        <v>118</v>
      </c>
      <c r="I629" s="59">
        <v>34213.0</v>
      </c>
      <c r="J629" s="56">
        <f t="shared" ref="J629:J633" si="47">IF(C629="","",DATEDIF(I629,TODAY(),"Y"))</f>
        <v>32</v>
      </c>
      <c r="K629" s="56">
        <v>3.311316545E9</v>
      </c>
      <c r="L629" s="60"/>
      <c r="M629" s="59">
        <v>43123.0</v>
      </c>
      <c r="N629" s="60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8.75" hidden="1" customHeight="1">
      <c r="A630" s="56">
        <f t="shared" si="37"/>
        <v>627</v>
      </c>
      <c r="B630" s="56" t="str">
        <f t="shared" si="45"/>
        <v>HB161</v>
      </c>
      <c r="C630" s="57" t="s">
        <v>1536</v>
      </c>
      <c r="D630" s="56" t="s">
        <v>117</v>
      </c>
      <c r="E630" s="56" t="s">
        <v>40</v>
      </c>
      <c r="F630" s="58" t="s">
        <v>7</v>
      </c>
      <c r="G630" s="56" t="s">
        <v>118</v>
      </c>
      <c r="H630" s="56" t="s">
        <v>118</v>
      </c>
      <c r="I630" s="59">
        <v>39404.0</v>
      </c>
      <c r="J630" s="56">
        <f t="shared" si="47"/>
        <v>18</v>
      </c>
      <c r="K630" s="56">
        <v>3.336438343E9</v>
      </c>
      <c r="L630" s="60" t="s">
        <v>1537</v>
      </c>
      <c r="M630" s="59">
        <v>44531.0</v>
      </c>
      <c r="N630" s="60" t="s">
        <v>202</v>
      </c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8.75" customHeight="1">
      <c r="A631" s="56">
        <f t="shared" si="37"/>
        <v>628</v>
      </c>
      <c r="B631" s="56" t="str">
        <f t="shared" si="45"/>
        <v>MS31</v>
      </c>
      <c r="C631" s="72" t="s">
        <v>1538</v>
      </c>
      <c r="D631" s="56" t="s">
        <v>128</v>
      </c>
      <c r="E631" s="58" t="s">
        <v>40</v>
      </c>
      <c r="F631" s="58" t="s">
        <v>43</v>
      </c>
      <c r="G631" s="58" t="s">
        <v>118</v>
      </c>
      <c r="H631" s="58" t="s">
        <v>165</v>
      </c>
      <c r="I631" s="59"/>
      <c r="J631" s="56">
        <f t="shared" si="47"/>
        <v>126</v>
      </c>
      <c r="K631" s="56">
        <v>3.331016036E9</v>
      </c>
      <c r="L631" s="60"/>
      <c r="M631" s="85">
        <v>45851.0</v>
      </c>
      <c r="N631" s="71" t="s">
        <v>1539</v>
      </c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8.75" customHeight="1">
      <c r="A632" s="56">
        <f t="shared" si="37"/>
        <v>629</v>
      </c>
      <c r="B632" s="56" t="str">
        <f t="shared" si="45"/>
        <v>HL19</v>
      </c>
      <c r="C632" s="57" t="s">
        <v>1540</v>
      </c>
      <c r="D632" s="56" t="s">
        <v>117</v>
      </c>
      <c r="E632" s="56" t="s">
        <v>40</v>
      </c>
      <c r="F632" s="56" t="s">
        <v>12</v>
      </c>
      <c r="G632" s="56"/>
      <c r="H632" s="56" t="s">
        <v>118</v>
      </c>
      <c r="I632" s="59">
        <v>39652.0</v>
      </c>
      <c r="J632" s="56">
        <f t="shared" si="47"/>
        <v>17</v>
      </c>
      <c r="K632" s="56"/>
      <c r="L632" s="60" t="s">
        <v>1541</v>
      </c>
      <c r="M632" s="59">
        <v>45335.0</v>
      </c>
      <c r="N632" s="60" t="s">
        <v>233</v>
      </c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8.75" hidden="1" customHeight="1">
      <c r="A633" s="56">
        <f t="shared" si="37"/>
        <v>630</v>
      </c>
      <c r="B633" s="56" t="str">
        <f t="shared" si="45"/>
        <v>HB162</v>
      </c>
      <c r="C633" s="57" t="s">
        <v>1542</v>
      </c>
      <c r="D633" s="56" t="s">
        <v>117</v>
      </c>
      <c r="E633" s="56" t="s">
        <v>40</v>
      </c>
      <c r="F633" s="58" t="s">
        <v>7</v>
      </c>
      <c r="G633" s="56" t="s">
        <v>118</v>
      </c>
      <c r="H633" s="56" t="s">
        <v>118</v>
      </c>
      <c r="I633" s="59">
        <v>36502.0</v>
      </c>
      <c r="J633" s="56">
        <f t="shared" si="47"/>
        <v>26</v>
      </c>
      <c r="K633" s="56">
        <v>3.339705399E9</v>
      </c>
      <c r="L633" s="60" t="s">
        <v>1543</v>
      </c>
      <c r="M633" s="59"/>
      <c r="N633" s="60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8.75" customHeight="1">
      <c r="A634" s="56">
        <f t="shared" si="37"/>
        <v>631</v>
      </c>
      <c r="B634" s="56" t="str">
        <f t="shared" si="45"/>
        <v>ML29</v>
      </c>
      <c r="C634" s="72" t="s">
        <v>1544</v>
      </c>
      <c r="D634" s="58" t="s">
        <v>128</v>
      </c>
      <c r="E634" s="58" t="s">
        <v>40</v>
      </c>
      <c r="F634" s="58" t="s">
        <v>12</v>
      </c>
      <c r="G634" s="58"/>
      <c r="H634" s="58" t="s">
        <v>118</v>
      </c>
      <c r="I634" s="73">
        <v>39401.0</v>
      </c>
      <c r="J634" s="56">
        <f>IF($C$761="","",DATEDIF(I634,TODAY(),"Y"))</f>
        <v>18</v>
      </c>
      <c r="K634" s="56"/>
      <c r="L634" s="71" t="s">
        <v>1545</v>
      </c>
      <c r="M634" s="73">
        <v>45397.0</v>
      </c>
      <c r="N634" s="71" t="s">
        <v>740</v>
      </c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8.75" customHeight="1">
      <c r="A635" s="56">
        <f t="shared" si="37"/>
        <v>632</v>
      </c>
      <c r="B635" s="56" t="str">
        <f t="shared" si="45"/>
        <v>ML30</v>
      </c>
      <c r="C635" s="72" t="s">
        <v>1546</v>
      </c>
      <c r="D635" s="58" t="s">
        <v>128</v>
      </c>
      <c r="E635" s="58" t="s">
        <v>40</v>
      </c>
      <c r="F635" s="58" t="s">
        <v>12</v>
      </c>
      <c r="G635" s="56" t="s">
        <v>118</v>
      </c>
      <c r="H635" s="56" t="s">
        <v>118</v>
      </c>
      <c r="I635" s="73">
        <v>36382.0</v>
      </c>
      <c r="J635" s="56">
        <f t="shared" ref="J635:J645" si="48">IF(C635="","",DATEDIF(I635,TODAY(),"Y"))</f>
        <v>26</v>
      </c>
      <c r="K635" s="58">
        <v>3.310201751E9</v>
      </c>
      <c r="L635" s="71" t="s">
        <v>1547</v>
      </c>
      <c r="M635" s="73">
        <v>45674.0</v>
      </c>
      <c r="N635" s="71" t="s">
        <v>954</v>
      </c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8.75" hidden="1" customHeight="1">
      <c r="A636" s="56">
        <f t="shared" si="37"/>
        <v>633</v>
      </c>
      <c r="B636" s="56" t="str">
        <f t="shared" si="45"/>
        <v>MB154</v>
      </c>
      <c r="C636" s="57" t="s">
        <v>1548</v>
      </c>
      <c r="D636" s="56" t="s">
        <v>128</v>
      </c>
      <c r="E636" s="56" t="s">
        <v>34</v>
      </c>
      <c r="F636" s="56" t="s">
        <v>7</v>
      </c>
      <c r="G636" s="56" t="s">
        <v>118</v>
      </c>
      <c r="H636" s="56" t="s">
        <v>118</v>
      </c>
      <c r="I636" s="59">
        <v>20889.0</v>
      </c>
      <c r="J636" s="56">
        <f t="shared" si="48"/>
        <v>69</v>
      </c>
      <c r="K636" s="56" t="s">
        <v>223</v>
      </c>
      <c r="L636" s="60" t="s">
        <v>1549</v>
      </c>
      <c r="M636" s="59"/>
      <c r="N636" s="60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8.75" hidden="1" customHeight="1">
      <c r="A637" s="56">
        <f t="shared" si="37"/>
        <v>634</v>
      </c>
      <c r="B637" s="56" t="str">
        <f t="shared" si="45"/>
        <v>MB155</v>
      </c>
      <c r="C637" s="57" t="s">
        <v>1550</v>
      </c>
      <c r="D637" s="56" t="s">
        <v>128</v>
      </c>
      <c r="E637" s="56" t="s">
        <v>22</v>
      </c>
      <c r="F637" s="56" t="s">
        <v>7</v>
      </c>
      <c r="G637" s="56" t="s">
        <v>118</v>
      </c>
      <c r="H637" s="56" t="s">
        <v>118</v>
      </c>
      <c r="I637" s="59">
        <v>32162.0</v>
      </c>
      <c r="J637" s="56">
        <f t="shared" si="48"/>
        <v>38</v>
      </c>
      <c r="K637" s="56">
        <v>6.367002458E9</v>
      </c>
      <c r="L637" s="60" t="s">
        <v>1551</v>
      </c>
      <c r="M637" s="59"/>
      <c r="N637" s="60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8.75" hidden="1" customHeight="1">
      <c r="A638" s="56">
        <f t="shared" si="37"/>
        <v>635</v>
      </c>
      <c r="B638" s="56" t="str">
        <f t="shared" si="45"/>
        <v>MB156</v>
      </c>
      <c r="C638" s="57" t="s">
        <v>1552</v>
      </c>
      <c r="D638" s="56" t="s">
        <v>128</v>
      </c>
      <c r="E638" s="56" t="s">
        <v>40</v>
      </c>
      <c r="F638" s="58" t="s">
        <v>7</v>
      </c>
      <c r="G638" s="58" t="s">
        <v>118</v>
      </c>
      <c r="H638" s="56" t="s">
        <v>118</v>
      </c>
      <c r="I638" s="59">
        <v>28731.0</v>
      </c>
      <c r="J638" s="56">
        <f t="shared" si="48"/>
        <v>47</v>
      </c>
      <c r="K638" s="56">
        <v>3.310748512E9</v>
      </c>
      <c r="L638" s="60" t="s">
        <v>1553</v>
      </c>
      <c r="M638" s="59">
        <v>43851.0</v>
      </c>
      <c r="N638" s="71" t="s">
        <v>260</v>
      </c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8.75" hidden="1" customHeight="1">
      <c r="A639" s="56">
        <f t="shared" si="37"/>
        <v>636</v>
      </c>
      <c r="B639" s="56" t="str">
        <f t="shared" si="45"/>
        <v>MB157</v>
      </c>
      <c r="C639" s="57" t="s">
        <v>1554</v>
      </c>
      <c r="D639" s="56" t="s">
        <v>128</v>
      </c>
      <c r="E639" s="56" t="s">
        <v>40</v>
      </c>
      <c r="F639" s="58" t="s">
        <v>7</v>
      </c>
      <c r="G639" s="56" t="s">
        <v>118</v>
      </c>
      <c r="H639" s="56" t="s">
        <v>118</v>
      </c>
      <c r="I639" s="59">
        <v>39655.0</v>
      </c>
      <c r="J639" s="56">
        <f t="shared" si="48"/>
        <v>17</v>
      </c>
      <c r="K639" s="56">
        <v>3.321631189E9</v>
      </c>
      <c r="L639" s="60" t="s">
        <v>902</v>
      </c>
      <c r="M639" s="59">
        <v>44941.0</v>
      </c>
      <c r="N639" s="60" t="s">
        <v>235</v>
      </c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8.75" hidden="1" customHeight="1">
      <c r="A640" s="56">
        <f t="shared" si="37"/>
        <v>637</v>
      </c>
      <c r="B640" s="56" t="str">
        <f t="shared" si="45"/>
        <v>HB163</v>
      </c>
      <c r="C640" s="57" t="s">
        <v>1555</v>
      </c>
      <c r="D640" s="56" t="s">
        <v>117</v>
      </c>
      <c r="E640" s="56" t="s">
        <v>40</v>
      </c>
      <c r="F640" s="56" t="s">
        <v>7</v>
      </c>
      <c r="G640" s="56" t="s">
        <v>118</v>
      </c>
      <c r="H640" s="56" t="s">
        <v>118</v>
      </c>
      <c r="I640" s="59">
        <v>38539.0</v>
      </c>
      <c r="J640" s="56">
        <f t="shared" si="48"/>
        <v>20</v>
      </c>
      <c r="K640" s="56"/>
      <c r="L640" s="60" t="s">
        <v>1556</v>
      </c>
      <c r="M640" s="59">
        <v>43662.0</v>
      </c>
      <c r="N640" s="60" t="s">
        <v>233</v>
      </c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8.75" hidden="1" customHeight="1">
      <c r="A641" s="56">
        <f t="shared" si="37"/>
        <v>638</v>
      </c>
      <c r="B641" s="56" t="str">
        <f t="shared" si="45"/>
        <v>MB158</v>
      </c>
      <c r="C641" s="57" t="s">
        <v>1557</v>
      </c>
      <c r="D641" s="56" t="s">
        <v>128</v>
      </c>
      <c r="E641" s="56" t="s">
        <v>34</v>
      </c>
      <c r="F641" s="56" t="s">
        <v>7</v>
      </c>
      <c r="G641" s="56" t="s">
        <v>118</v>
      </c>
      <c r="H641" s="56" t="s">
        <v>118</v>
      </c>
      <c r="I641" s="59">
        <v>25420.0</v>
      </c>
      <c r="J641" s="56">
        <f t="shared" si="48"/>
        <v>56</v>
      </c>
      <c r="K641" s="56"/>
      <c r="L641" s="60" t="s">
        <v>1558</v>
      </c>
      <c r="M641" s="59">
        <v>43078.0</v>
      </c>
      <c r="N641" s="60" t="s">
        <v>346</v>
      </c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8.75" hidden="1" customHeight="1">
      <c r="A642" s="56">
        <f t="shared" si="37"/>
        <v>639</v>
      </c>
      <c r="B642" s="56" t="str">
        <f t="shared" si="45"/>
        <v>MB159</v>
      </c>
      <c r="C642" s="57" t="s">
        <v>1559</v>
      </c>
      <c r="D642" s="56" t="s">
        <v>128</v>
      </c>
      <c r="E642" s="56" t="s">
        <v>40</v>
      </c>
      <c r="F642" s="58" t="s">
        <v>7</v>
      </c>
      <c r="G642" s="56" t="s">
        <v>118</v>
      </c>
      <c r="H642" s="56" t="s">
        <v>118</v>
      </c>
      <c r="I642" s="59">
        <v>35073.0</v>
      </c>
      <c r="J642" s="56">
        <f t="shared" si="48"/>
        <v>30</v>
      </c>
      <c r="K642" s="56">
        <v>3.313078144E9</v>
      </c>
      <c r="L642" s="60" t="s">
        <v>1560</v>
      </c>
      <c r="M642" s="59"/>
      <c r="N642" s="60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8.75" customHeight="1">
      <c r="A643" s="56">
        <f t="shared" si="37"/>
        <v>640</v>
      </c>
      <c r="B643" s="56" t="str">
        <f t="shared" si="45"/>
        <v>MV34</v>
      </c>
      <c r="C643" s="57" t="s">
        <v>1561</v>
      </c>
      <c r="D643" s="56" t="s">
        <v>128</v>
      </c>
      <c r="E643" s="56" t="s">
        <v>40</v>
      </c>
      <c r="F643" s="56" t="s">
        <v>36</v>
      </c>
      <c r="G643" s="58" t="s">
        <v>118</v>
      </c>
      <c r="H643" s="56" t="s">
        <v>118</v>
      </c>
      <c r="I643" s="59">
        <v>40021.0</v>
      </c>
      <c r="J643" s="56">
        <f t="shared" si="48"/>
        <v>16</v>
      </c>
      <c r="K643" s="56">
        <v>3.312369752E9</v>
      </c>
      <c r="L643" s="60" t="s">
        <v>1562</v>
      </c>
      <c r="M643" s="59">
        <v>45172.0</v>
      </c>
      <c r="N643" s="60" t="s">
        <v>300</v>
      </c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8.75" hidden="1" customHeight="1">
      <c r="A644" s="56">
        <f t="shared" si="37"/>
        <v>641</v>
      </c>
      <c r="B644" s="56" t="str">
        <f t="shared" si="45"/>
        <v>HB164</v>
      </c>
      <c r="C644" s="57" t="s">
        <v>1563</v>
      </c>
      <c r="D644" s="56" t="s">
        <v>117</v>
      </c>
      <c r="E644" s="56" t="s">
        <v>40</v>
      </c>
      <c r="F644" s="58" t="s">
        <v>7</v>
      </c>
      <c r="G644" s="56" t="s">
        <v>118</v>
      </c>
      <c r="H644" s="56" t="s">
        <v>118</v>
      </c>
      <c r="I644" s="59">
        <v>39346.0</v>
      </c>
      <c r="J644" s="56">
        <f t="shared" si="48"/>
        <v>18</v>
      </c>
      <c r="K644" s="56">
        <v>3.32321887E9</v>
      </c>
      <c r="L644" s="60" t="s">
        <v>605</v>
      </c>
      <c r="M644" s="59">
        <v>44658.0</v>
      </c>
      <c r="N644" s="60" t="s">
        <v>218</v>
      </c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8.75" customHeight="1">
      <c r="A645" s="56">
        <f t="shared" si="37"/>
        <v>642</v>
      </c>
      <c r="B645" s="56" t="str">
        <f t="shared" si="45"/>
        <v>MMa31</v>
      </c>
      <c r="C645" s="72" t="s">
        <v>1564</v>
      </c>
      <c r="D645" s="56" t="s">
        <v>128</v>
      </c>
      <c r="E645" s="58" t="s">
        <v>40</v>
      </c>
      <c r="F645" s="58" t="s">
        <v>18</v>
      </c>
      <c r="G645" s="56" t="s">
        <v>118</v>
      </c>
      <c r="H645" s="56" t="s">
        <v>118</v>
      </c>
      <c r="I645" s="73">
        <v>37198.0</v>
      </c>
      <c r="J645" s="56">
        <f t="shared" si="48"/>
        <v>24</v>
      </c>
      <c r="K645" s="58">
        <v>3.311294441E9</v>
      </c>
      <c r="L645" s="71" t="s">
        <v>1565</v>
      </c>
      <c r="M645" s="73">
        <v>45867.0</v>
      </c>
      <c r="N645" s="71" t="s">
        <v>1566</v>
      </c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8.75" customHeight="1">
      <c r="A646" s="56">
        <f t="shared" si="37"/>
        <v>643</v>
      </c>
      <c r="B646" s="56" t="str">
        <f t="shared" si="45"/>
        <v>MS32</v>
      </c>
      <c r="C646" s="57" t="s">
        <v>1567</v>
      </c>
      <c r="D646" s="56" t="s">
        <v>128</v>
      </c>
      <c r="E646" s="56" t="s">
        <v>40</v>
      </c>
      <c r="F646" s="56" t="s">
        <v>43</v>
      </c>
      <c r="G646" s="58" t="s">
        <v>118</v>
      </c>
      <c r="H646" s="56" t="s">
        <v>118</v>
      </c>
      <c r="I646" s="59">
        <v>39300.0</v>
      </c>
      <c r="J646" s="56">
        <f>IF($C$761="","",DATEDIF(I646,TODAY(),"Y"))</f>
        <v>18</v>
      </c>
      <c r="K646" s="56">
        <v>3.31960222E9</v>
      </c>
      <c r="L646" s="60" t="s">
        <v>1568</v>
      </c>
      <c r="M646" s="59">
        <v>45349.0</v>
      </c>
      <c r="N646" s="60" t="s">
        <v>1569</v>
      </c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8.75" hidden="1" customHeight="1">
      <c r="A647" s="56">
        <f t="shared" si="37"/>
        <v>644</v>
      </c>
      <c r="B647" s="56" t="str">
        <f t="shared" si="45"/>
        <v>MB160</v>
      </c>
      <c r="C647" s="57" t="s">
        <v>1570</v>
      </c>
      <c r="D647" s="56" t="s">
        <v>128</v>
      </c>
      <c r="E647" s="56" t="s">
        <v>40</v>
      </c>
      <c r="F647" s="58" t="s">
        <v>7</v>
      </c>
      <c r="G647" s="56" t="s">
        <v>118</v>
      </c>
      <c r="H647" s="56" t="s">
        <v>118</v>
      </c>
      <c r="I647" s="59">
        <v>38715.0</v>
      </c>
      <c r="J647" s="56">
        <f t="shared" ref="J647:J677" si="49">IF(C647="","",DATEDIF(I647,TODAY(),"Y"))</f>
        <v>20</v>
      </c>
      <c r="K647" s="56">
        <v>3.310931478E9</v>
      </c>
      <c r="L647" s="60" t="s">
        <v>1571</v>
      </c>
      <c r="M647" s="59">
        <v>43849.0</v>
      </c>
      <c r="N647" s="60" t="s">
        <v>235</v>
      </c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8.75" hidden="1" customHeight="1">
      <c r="A648" s="56">
        <f t="shared" si="37"/>
        <v>645</v>
      </c>
      <c r="B648" s="56" t="str">
        <f t="shared" si="45"/>
        <v>HB165</v>
      </c>
      <c r="C648" s="57" t="s">
        <v>1572</v>
      </c>
      <c r="D648" s="56" t="s">
        <v>117</v>
      </c>
      <c r="E648" s="56" t="s">
        <v>34</v>
      </c>
      <c r="F648" s="58" t="s">
        <v>7</v>
      </c>
      <c r="G648" s="56" t="s">
        <v>118</v>
      </c>
      <c r="H648" s="56" t="s">
        <v>118</v>
      </c>
      <c r="I648" s="59">
        <v>18325.0</v>
      </c>
      <c r="J648" s="56">
        <f t="shared" si="49"/>
        <v>76</v>
      </c>
      <c r="K648" s="56" t="s">
        <v>223</v>
      </c>
      <c r="L648" s="60" t="s">
        <v>1518</v>
      </c>
      <c r="M648" s="59"/>
      <c r="N648" s="60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8.75" hidden="1" customHeight="1">
      <c r="A649" s="56">
        <f t="shared" si="37"/>
        <v>646</v>
      </c>
      <c r="B649" s="56" t="str">
        <f t="shared" si="45"/>
        <v>HB166</v>
      </c>
      <c r="C649" s="57" t="s">
        <v>1573</v>
      </c>
      <c r="D649" s="56" t="s">
        <v>117</v>
      </c>
      <c r="E649" s="56" t="s">
        <v>16</v>
      </c>
      <c r="F649" s="56" t="s">
        <v>7</v>
      </c>
      <c r="G649" s="56" t="s">
        <v>118</v>
      </c>
      <c r="H649" s="56" t="s">
        <v>118</v>
      </c>
      <c r="I649" s="59">
        <v>26607.0</v>
      </c>
      <c r="J649" s="56">
        <f t="shared" si="49"/>
        <v>53</v>
      </c>
      <c r="K649" s="56">
        <v>3.335707677E9</v>
      </c>
      <c r="L649" s="60" t="s">
        <v>1574</v>
      </c>
      <c r="M649" s="59"/>
      <c r="N649" s="60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8.75" customHeight="1">
      <c r="A650" s="56">
        <f t="shared" si="37"/>
        <v>647</v>
      </c>
      <c r="B650" s="56" t="str">
        <f t="shared" si="45"/>
        <v>MV35</v>
      </c>
      <c r="C650" s="72" t="s">
        <v>1575</v>
      </c>
      <c r="D650" s="58" t="s">
        <v>128</v>
      </c>
      <c r="E650" s="58" t="s">
        <v>40</v>
      </c>
      <c r="F650" s="58" t="s">
        <v>36</v>
      </c>
      <c r="G650" s="58" t="s">
        <v>165</v>
      </c>
      <c r="H650" s="56" t="s">
        <v>118</v>
      </c>
      <c r="I650" s="73">
        <v>40621.0</v>
      </c>
      <c r="J650" s="56">
        <f t="shared" si="49"/>
        <v>15</v>
      </c>
      <c r="K650" s="58">
        <v>3.314804178E9</v>
      </c>
      <c r="L650" s="71" t="s">
        <v>1576</v>
      </c>
      <c r="M650" s="73">
        <v>46033.0</v>
      </c>
      <c r="N650" s="7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8.75" customHeight="1">
      <c r="A651" s="56">
        <f t="shared" si="37"/>
        <v>648</v>
      </c>
      <c r="B651" s="56" t="str">
        <f t="shared" si="45"/>
        <v>MJ42</v>
      </c>
      <c r="C651" s="57" t="s">
        <v>1577</v>
      </c>
      <c r="D651" s="56" t="s">
        <v>128</v>
      </c>
      <c r="E651" s="56" t="s">
        <v>16</v>
      </c>
      <c r="F651" s="58" t="s">
        <v>30</v>
      </c>
      <c r="G651" s="58" t="s">
        <v>118</v>
      </c>
      <c r="H651" s="56" t="s">
        <v>118</v>
      </c>
      <c r="I651" s="59">
        <v>22869.0</v>
      </c>
      <c r="J651" s="56">
        <f t="shared" si="49"/>
        <v>63</v>
      </c>
      <c r="K651" s="56">
        <v>7.4490904165E10</v>
      </c>
      <c r="L651" s="60" t="s">
        <v>1578</v>
      </c>
      <c r="M651" s="59">
        <v>43472.0</v>
      </c>
      <c r="N651" s="71" t="s">
        <v>142</v>
      </c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8.75" customHeight="1">
      <c r="A652" s="56">
        <f t="shared" si="37"/>
        <v>649</v>
      </c>
      <c r="B652" s="56" t="str">
        <f t="shared" si="45"/>
        <v>MMi18</v>
      </c>
      <c r="C652" s="57" t="s">
        <v>1579</v>
      </c>
      <c r="D652" s="56" t="s">
        <v>128</v>
      </c>
      <c r="E652" s="56" t="s">
        <v>34</v>
      </c>
      <c r="F652" s="56" t="s">
        <v>24</v>
      </c>
      <c r="G652" s="58" t="s">
        <v>118</v>
      </c>
      <c r="H652" s="56" t="s">
        <v>118</v>
      </c>
      <c r="I652" s="59">
        <v>20503.0</v>
      </c>
      <c r="J652" s="56">
        <f t="shared" si="49"/>
        <v>70</v>
      </c>
      <c r="K652" s="56">
        <v>3.312370227E9</v>
      </c>
      <c r="L652" s="60" t="s">
        <v>1580</v>
      </c>
      <c r="M652" s="59"/>
      <c r="N652" s="71" t="s">
        <v>1581</v>
      </c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8.75" customHeight="1">
      <c r="A653" s="43">
        <f t="shared" si="37"/>
        <v>650</v>
      </c>
      <c r="B653" s="43" t="str">
        <f t="shared" si="45"/>
        <v>HV16</v>
      </c>
      <c r="C653" s="55" t="s">
        <v>1582</v>
      </c>
      <c r="D653" s="43" t="s">
        <v>117</v>
      </c>
      <c r="E653" s="43" t="s">
        <v>140</v>
      </c>
      <c r="F653" s="43" t="s">
        <v>36</v>
      </c>
      <c r="G653" s="45" t="s">
        <v>118</v>
      </c>
      <c r="H653" s="43" t="s">
        <v>118</v>
      </c>
      <c r="I653" s="46">
        <v>18206.0</v>
      </c>
      <c r="J653" s="43">
        <f t="shared" si="49"/>
        <v>76</v>
      </c>
      <c r="K653" s="43">
        <v>3.314032528E9</v>
      </c>
      <c r="L653" s="47" t="s">
        <v>1202</v>
      </c>
      <c r="M653" s="46"/>
      <c r="N653" s="48" t="s">
        <v>1583</v>
      </c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8.75" customHeight="1">
      <c r="A654" s="56">
        <f t="shared" si="37"/>
        <v>651</v>
      </c>
      <c r="B654" s="56" t="str">
        <f t="shared" si="45"/>
        <v>MMi19</v>
      </c>
      <c r="C654" s="57" t="s">
        <v>1584</v>
      </c>
      <c r="D654" s="56" t="s">
        <v>128</v>
      </c>
      <c r="E654" s="56" t="s">
        <v>34</v>
      </c>
      <c r="F654" s="56" t="s">
        <v>24</v>
      </c>
      <c r="G654" s="56"/>
      <c r="H654" s="56" t="s">
        <v>118</v>
      </c>
      <c r="I654" s="59">
        <v>15602.0</v>
      </c>
      <c r="J654" s="56">
        <f t="shared" si="49"/>
        <v>83</v>
      </c>
      <c r="K654" s="56">
        <v>3.311312676E9</v>
      </c>
      <c r="L654" s="60" t="s">
        <v>1585</v>
      </c>
      <c r="M654" s="59"/>
      <c r="N654" s="60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8.75" hidden="1" customHeight="1">
      <c r="A655" s="56">
        <f t="shared" si="37"/>
        <v>652</v>
      </c>
      <c r="B655" s="56" t="str">
        <f t="shared" si="45"/>
        <v>MB161</v>
      </c>
      <c r="C655" s="57" t="s">
        <v>1586</v>
      </c>
      <c r="D655" s="56" t="s">
        <v>128</v>
      </c>
      <c r="E655" s="56" t="s">
        <v>34</v>
      </c>
      <c r="F655" s="58" t="s">
        <v>7</v>
      </c>
      <c r="G655" s="56" t="s">
        <v>118</v>
      </c>
      <c r="H655" s="56" t="s">
        <v>118</v>
      </c>
      <c r="I655" s="59">
        <v>22431.0</v>
      </c>
      <c r="J655" s="56">
        <f t="shared" si="49"/>
        <v>64</v>
      </c>
      <c r="K655" s="56">
        <v>3.310196837E9</v>
      </c>
      <c r="L655" s="60" t="s">
        <v>1587</v>
      </c>
      <c r="M655" s="59"/>
      <c r="N655" s="60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8.75" customHeight="1">
      <c r="A656" s="56">
        <f t="shared" si="37"/>
        <v>653</v>
      </c>
      <c r="B656" s="56" t="str">
        <f t="shared" si="45"/>
        <v>MJ43</v>
      </c>
      <c r="C656" s="57" t="s">
        <v>1588</v>
      </c>
      <c r="D656" s="56" t="s">
        <v>128</v>
      </c>
      <c r="E656" s="56" t="s">
        <v>34</v>
      </c>
      <c r="F656" s="56" t="s">
        <v>30</v>
      </c>
      <c r="G656" s="58" t="s">
        <v>118</v>
      </c>
      <c r="H656" s="56" t="s">
        <v>118</v>
      </c>
      <c r="I656" s="59">
        <v>28939.0</v>
      </c>
      <c r="J656" s="56">
        <f t="shared" si="49"/>
        <v>47</v>
      </c>
      <c r="K656" s="56">
        <v>3.310700669E9</v>
      </c>
      <c r="L656" s="60" t="s">
        <v>1125</v>
      </c>
      <c r="M656" s="59"/>
      <c r="N656" s="60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8.75" customHeight="1">
      <c r="A657" s="56">
        <f t="shared" si="37"/>
        <v>654</v>
      </c>
      <c r="B657" s="56" t="str">
        <f t="shared" si="45"/>
        <v>MS33</v>
      </c>
      <c r="C657" s="72" t="s">
        <v>1589</v>
      </c>
      <c r="D657" s="58" t="s">
        <v>128</v>
      </c>
      <c r="E657" s="58" t="s">
        <v>40</v>
      </c>
      <c r="F657" s="58" t="s">
        <v>43</v>
      </c>
      <c r="G657" s="58" t="s">
        <v>118</v>
      </c>
      <c r="H657" s="56" t="s">
        <v>118</v>
      </c>
      <c r="I657" s="73">
        <v>39713.0</v>
      </c>
      <c r="J657" s="56">
        <f t="shared" si="49"/>
        <v>17</v>
      </c>
      <c r="K657" s="58"/>
      <c r="L657" s="71" t="s">
        <v>1590</v>
      </c>
      <c r="M657" s="85">
        <v>46035.0</v>
      </c>
      <c r="N657" s="71" t="s">
        <v>174</v>
      </c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8.75" customHeight="1">
      <c r="A658" s="56">
        <f t="shared" si="37"/>
        <v>655</v>
      </c>
      <c r="B658" s="56" t="str">
        <f t="shared" si="45"/>
        <v>MS34</v>
      </c>
      <c r="C658" s="57" t="s">
        <v>1591</v>
      </c>
      <c r="D658" s="56" t="s">
        <v>128</v>
      </c>
      <c r="E658" s="56" t="s">
        <v>40</v>
      </c>
      <c r="F658" s="56" t="s">
        <v>43</v>
      </c>
      <c r="G658" s="58" t="s">
        <v>118</v>
      </c>
      <c r="H658" s="56" t="s">
        <v>118</v>
      </c>
      <c r="I658" s="59">
        <v>38732.0</v>
      </c>
      <c r="J658" s="56">
        <f t="shared" si="49"/>
        <v>20</v>
      </c>
      <c r="K658" s="56">
        <v>3.313644263E9</v>
      </c>
      <c r="L658" s="60" t="s">
        <v>1592</v>
      </c>
      <c r="M658" s="59">
        <v>45219.0</v>
      </c>
      <c r="N658" s="71" t="s">
        <v>710</v>
      </c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8.75" hidden="1" customHeight="1">
      <c r="A659" s="56">
        <f t="shared" si="37"/>
        <v>656</v>
      </c>
      <c r="B659" s="56" t="str">
        <f t="shared" si="45"/>
        <v>MB162</v>
      </c>
      <c r="C659" s="57" t="s">
        <v>1593</v>
      </c>
      <c r="D659" s="56" t="s">
        <v>128</v>
      </c>
      <c r="E659" s="56" t="s">
        <v>140</v>
      </c>
      <c r="F659" s="56" t="s">
        <v>7</v>
      </c>
      <c r="G659" s="56" t="s">
        <v>118</v>
      </c>
      <c r="H659" s="56" t="s">
        <v>118</v>
      </c>
      <c r="I659" s="59">
        <v>25546.0</v>
      </c>
      <c r="J659" s="56">
        <f t="shared" si="49"/>
        <v>56</v>
      </c>
      <c r="K659" s="56">
        <v>3.317533853E9</v>
      </c>
      <c r="L659" s="60" t="s">
        <v>1594</v>
      </c>
      <c r="M659" s="59"/>
      <c r="N659" s="60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8.75" customHeight="1">
      <c r="A660" s="56">
        <f t="shared" si="37"/>
        <v>657</v>
      </c>
      <c r="B660" s="56" t="str">
        <f t="shared" si="45"/>
        <v>MJ44</v>
      </c>
      <c r="C660" s="57" t="s">
        <v>1595</v>
      </c>
      <c r="D660" s="56" t="s">
        <v>128</v>
      </c>
      <c r="E660" s="56" t="s">
        <v>140</v>
      </c>
      <c r="F660" s="56" t="s">
        <v>30</v>
      </c>
      <c r="G660" s="58" t="s">
        <v>118</v>
      </c>
      <c r="H660" s="56" t="s">
        <v>118</v>
      </c>
      <c r="I660" s="59">
        <v>24207.0</v>
      </c>
      <c r="J660" s="56">
        <f t="shared" si="49"/>
        <v>60</v>
      </c>
      <c r="K660" s="56">
        <v>3.336676822E9</v>
      </c>
      <c r="L660" s="60" t="s">
        <v>1596</v>
      </c>
      <c r="M660" s="59"/>
      <c r="N660" s="71" t="s">
        <v>423</v>
      </c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8.75" customHeight="1">
      <c r="A661" s="56">
        <f t="shared" si="37"/>
        <v>658</v>
      </c>
      <c r="B661" s="56" t="str">
        <f t="shared" si="45"/>
        <v>MJ45</v>
      </c>
      <c r="C661" s="57" t="s">
        <v>1597</v>
      </c>
      <c r="D661" s="56" t="s">
        <v>128</v>
      </c>
      <c r="E661" s="56" t="s">
        <v>40</v>
      </c>
      <c r="F661" s="56" t="s">
        <v>30</v>
      </c>
      <c r="G661" s="58" t="s">
        <v>118</v>
      </c>
      <c r="H661" s="56" t="s">
        <v>118</v>
      </c>
      <c r="I661" s="59">
        <v>38728.0</v>
      </c>
      <c r="J661" s="56">
        <f t="shared" si="49"/>
        <v>20</v>
      </c>
      <c r="K661" s="56">
        <v>3.319246889E9</v>
      </c>
      <c r="L661" s="60" t="s">
        <v>1598</v>
      </c>
      <c r="M661" s="59">
        <v>44796.0</v>
      </c>
      <c r="N661" s="71" t="s">
        <v>1599</v>
      </c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8.75" customHeight="1">
      <c r="A662" s="56">
        <f t="shared" si="37"/>
        <v>659</v>
      </c>
      <c r="B662" s="56" t="str">
        <f t="shared" si="45"/>
        <v>MMa32</v>
      </c>
      <c r="C662" s="57" t="s">
        <v>1600</v>
      </c>
      <c r="D662" s="56" t="s">
        <v>128</v>
      </c>
      <c r="E662" s="56" t="s">
        <v>40</v>
      </c>
      <c r="F662" s="56" t="s">
        <v>18</v>
      </c>
      <c r="G662" s="56"/>
      <c r="H662" s="56" t="s">
        <v>118</v>
      </c>
      <c r="I662" s="59">
        <v>38124.0</v>
      </c>
      <c r="J662" s="56">
        <f t="shared" si="49"/>
        <v>21</v>
      </c>
      <c r="K662" s="56"/>
      <c r="L662" s="60" t="s">
        <v>1601</v>
      </c>
      <c r="M662" s="59">
        <v>44974.0</v>
      </c>
      <c r="N662" s="60" t="s">
        <v>235</v>
      </c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8.75" customHeight="1">
      <c r="A663" s="56">
        <f t="shared" si="37"/>
        <v>660</v>
      </c>
      <c r="B663" s="56" t="str">
        <f t="shared" si="45"/>
        <v>MS35</v>
      </c>
      <c r="C663" s="72" t="s">
        <v>1602</v>
      </c>
      <c r="D663" s="58" t="s">
        <v>128</v>
      </c>
      <c r="E663" s="58" t="s">
        <v>22</v>
      </c>
      <c r="F663" s="58" t="s">
        <v>43</v>
      </c>
      <c r="G663" s="58" t="s">
        <v>118</v>
      </c>
      <c r="H663" s="56" t="s">
        <v>118</v>
      </c>
      <c r="I663" s="73">
        <v>33527.0</v>
      </c>
      <c r="J663" s="56">
        <f t="shared" si="49"/>
        <v>34</v>
      </c>
      <c r="K663" s="58">
        <v>3.327628487E9</v>
      </c>
      <c r="L663" s="71" t="s">
        <v>1603</v>
      </c>
      <c r="M663" s="85">
        <v>46020.0</v>
      </c>
      <c r="N663" s="71" t="s">
        <v>1410</v>
      </c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8.75" hidden="1" customHeight="1">
      <c r="A664" s="56">
        <f t="shared" si="37"/>
        <v>661</v>
      </c>
      <c r="B664" s="56" t="str">
        <f t="shared" si="45"/>
        <v>MB163</v>
      </c>
      <c r="C664" s="57" t="s">
        <v>1604</v>
      </c>
      <c r="D664" s="56" t="s">
        <v>128</v>
      </c>
      <c r="E664" s="56" t="s">
        <v>40</v>
      </c>
      <c r="F664" s="58" t="s">
        <v>7</v>
      </c>
      <c r="G664" s="56" t="s">
        <v>118</v>
      </c>
      <c r="H664" s="56" t="s">
        <v>118</v>
      </c>
      <c r="I664" s="59">
        <v>38225.0</v>
      </c>
      <c r="J664" s="56">
        <f t="shared" si="49"/>
        <v>21</v>
      </c>
      <c r="K664" s="56">
        <v>3.315965188E9</v>
      </c>
      <c r="L664" s="60" t="s">
        <v>1605</v>
      </c>
      <c r="M664" s="59">
        <v>44610.0</v>
      </c>
      <c r="N664" s="60" t="s">
        <v>136</v>
      </c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8.75" customHeight="1">
      <c r="A665" s="56">
        <f t="shared" si="37"/>
        <v>662</v>
      </c>
      <c r="B665" s="56" t="str">
        <f t="shared" si="45"/>
        <v>MMi20</v>
      </c>
      <c r="C665" s="57" t="s">
        <v>1606</v>
      </c>
      <c r="D665" s="56" t="s">
        <v>128</v>
      </c>
      <c r="E665" s="58" t="s">
        <v>34</v>
      </c>
      <c r="F665" s="56" t="s">
        <v>24</v>
      </c>
      <c r="G665" s="58" t="s">
        <v>118</v>
      </c>
      <c r="H665" s="56" t="s">
        <v>118</v>
      </c>
      <c r="I665" s="59">
        <v>19193.0</v>
      </c>
      <c r="J665" s="56">
        <f t="shared" si="49"/>
        <v>73</v>
      </c>
      <c r="K665" s="56">
        <v>3.6438513E7</v>
      </c>
      <c r="L665" s="60" t="s">
        <v>1607</v>
      </c>
      <c r="M665" s="59"/>
      <c r="N665" s="71" t="s">
        <v>1608</v>
      </c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8.75" hidden="1" customHeight="1">
      <c r="A666" s="56">
        <f t="shared" si="37"/>
        <v>663</v>
      </c>
      <c r="B666" s="56" t="str">
        <f t="shared" si="45"/>
        <v>HB167</v>
      </c>
      <c r="C666" s="57" t="s">
        <v>1609</v>
      </c>
      <c r="D666" s="56" t="s">
        <v>117</v>
      </c>
      <c r="E666" s="56" t="s">
        <v>22</v>
      </c>
      <c r="F666" s="58" t="s">
        <v>7</v>
      </c>
      <c r="G666" s="56" t="s">
        <v>118</v>
      </c>
      <c r="H666" s="56" t="s">
        <v>118</v>
      </c>
      <c r="I666" s="59">
        <v>31086.0</v>
      </c>
      <c r="J666" s="56">
        <f t="shared" si="49"/>
        <v>41</v>
      </c>
      <c r="K666" s="56">
        <v>3.2223065534E10</v>
      </c>
      <c r="L666" s="60" t="s">
        <v>1610</v>
      </c>
      <c r="M666" s="59">
        <v>42948.0</v>
      </c>
      <c r="N666" s="60" t="s">
        <v>515</v>
      </c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8.75" customHeight="1">
      <c r="A667" s="56">
        <f t="shared" si="37"/>
        <v>664</v>
      </c>
      <c r="B667" s="56" t="str">
        <f t="shared" si="45"/>
        <v>HL20</v>
      </c>
      <c r="C667" s="57" t="s">
        <v>1611</v>
      </c>
      <c r="D667" s="56" t="s">
        <v>117</v>
      </c>
      <c r="E667" s="56" t="s">
        <v>34</v>
      </c>
      <c r="F667" s="56" t="s">
        <v>12</v>
      </c>
      <c r="G667" s="56"/>
      <c r="H667" s="56" t="s">
        <v>118</v>
      </c>
      <c r="I667" s="59">
        <v>12810.0</v>
      </c>
      <c r="J667" s="56">
        <f t="shared" si="49"/>
        <v>91</v>
      </c>
      <c r="K667" s="56" t="s">
        <v>223</v>
      </c>
      <c r="L667" s="60" t="s">
        <v>1612</v>
      </c>
      <c r="M667" s="59"/>
      <c r="N667" s="60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8.75" hidden="1" customHeight="1">
      <c r="A668" s="56">
        <f t="shared" si="37"/>
        <v>665</v>
      </c>
      <c r="B668" s="56" t="str">
        <f t="shared" si="45"/>
        <v>MB164</v>
      </c>
      <c r="C668" s="57" t="s">
        <v>1613</v>
      </c>
      <c r="D668" s="56" t="s">
        <v>128</v>
      </c>
      <c r="E668" s="56" t="s">
        <v>34</v>
      </c>
      <c r="F668" s="56" t="s">
        <v>7</v>
      </c>
      <c r="G668" s="56" t="s">
        <v>118</v>
      </c>
      <c r="H668" s="56" t="s">
        <v>118</v>
      </c>
      <c r="I668" s="59">
        <v>27490.0</v>
      </c>
      <c r="J668" s="56">
        <f t="shared" si="49"/>
        <v>51</v>
      </c>
      <c r="K668" s="56">
        <v>3.317411092E9</v>
      </c>
      <c r="L668" s="60" t="s">
        <v>1614</v>
      </c>
      <c r="M668" s="59"/>
      <c r="N668" s="60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8.75" hidden="1" customHeight="1">
      <c r="A669" s="56">
        <f t="shared" si="37"/>
        <v>666</v>
      </c>
      <c r="B669" s="56" t="str">
        <f t="shared" si="45"/>
        <v>HB168</v>
      </c>
      <c r="C669" s="72" t="s">
        <v>1615</v>
      </c>
      <c r="D669" s="58" t="s">
        <v>117</v>
      </c>
      <c r="E669" s="56" t="s">
        <v>40</v>
      </c>
      <c r="F669" s="58" t="s">
        <v>7</v>
      </c>
      <c r="G669" s="58" t="s">
        <v>165</v>
      </c>
      <c r="H669" s="56" t="s">
        <v>118</v>
      </c>
      <c r="I669" s="73">
        <v>40000.0</v>
      </c>
      <c r="J669" s="56">
        <f t="shared" si="49"/>
        <v>16</v>
      </c>
      <c r="K669" s="58" t="s">
        <v>1616</v>
      </c>
      <c r="L669" s="71" t="s">
        <v>1617</v>
      </c>
      <c r="M669" s="73">
        <v>45485.0</v>
      </c>
      <c r="N669" s="60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8.75" customHeight="1">
      <c r="A670" s="56">
        <f t="shared" si="37"/>
        <v>667</v>
      </c>
      <c r="B670" s="56" t="str">
        <f t="shared" si="45"/>
        <v>MJ46</v>
      </c>
      <c r="C670" s="57" t="s">
        <v>1618</v>
      </c>
      <c r="D670" s="56" t="s">
        <v>128</v>
      </c>
      <c r="E670" s="56" t="s">
        <v>16</v>
      </c>
      <c r="F670" s="58" t="s">
        <v>30</v>
      </c>
      <c r="G670" s="56" t="s">
        <v>118</v>
      </c>
      <c r="H670" s="56" t="s">
        <v>118</v>
      </c>
      <c r="I670" s="59">
        <v>27237.0</v>
      </c>
      <c r="J670" s="56">
        <f t="shared" si="49"/>
        <v>51</v>
      </c>
      <c r="K670" s="56">
        <v>3.318435342E9</v>
      </c>
      <c r="L670" s="60" t="s">
        <v>1619</v>
      </c>
      <c r="M670" s="59"/>
      <c r="N670" s="71" t="s">
        <v>1620</v>
      </c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8.75" hidden="1" customHeight="1">
      <c r="A671" s="56">
        <f t="shared" si="37"/>
        <v>668</v>
      </c>
      <c r="B671" s="56" t="str">
        <f t="shared" si="45"/>
        <v>HB169</v>
      </c>
      <c r="C671" s="57" t="s">
        <v>1621</v>
      </c>
      <c r="D671" s="56" t="s">
        <v>117</v>
      </c>
      <c r="E671" s="56" t="s">
        <v>40</v>
      </c>
      <c r="F671" s="58" t="s">
        <v>7</v>
      </c>
      <c r="G671" s="56" t="s">
        <v>118</v>
      </c>
      <c r="H671" s="56" t="s">
        <v>118</v>
      </c>
      <c r="I671" s="59">
        <v>35480.0</v>
      </c>
      <c r="J671" s="56">
        <f t="shared" si="49"/>
        <v>29</v>
      </c>
      <c r="K671" s="56">
        <v>7.771115331E9</v>
      </c>
      <c r="L671" s="60" t="s">
        <v>1622</v>
      </c>
      <c r="M671" s="59">
        <v>43334.0</v>
      </c>
      <c r="N671" s="60" t="s">
        <v>486</v>
      </c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8.75" hidden="1" customHeight="1">
      <c r="A672" s="56">
        <f t="shared" si="37"/>
        <v>669</v>
      </c>
      <c r="B672" s="56" t="str">
        <f t="shared" si="45"/>
        <v>MB165</v>
      </c>
      <c r="C672" s="57" t="s">
        <v>1623</v>
      </c>
      <c r="D672" s="56" t="s">
        <v>128</v>
      </c>
      <c r="E672" s="56" t="s">
        <v>40</v>
      </c>
      <c r="F672" s="56" t="s">
        <v>7</v>
      </c>
      <c r="G672" s="56" t="s">
        <v>118</v>
      </c>
      <c r="H672" s="56" t="s">
        <v>118</v>
      </c>
      <c r="I672" s="59">
        <v>37037.0</v>
      </c>
      <c r="J672" s="56">
        <f t="shared" si="49"/>
        <v>24</v>
      </c>
      <c r="K672" s="56">
        <v>7.771115331E9</v>
      </c>
      <c r="L672" s="60" t="s">
        <v>1624</v>
      </c>
      <c r="M672" s="59">
        <v>43607.0</v>
      </c>
      <c r="N672" s="60" t="s">
        <v>1625</v>
      </c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8.75" hidden="1" customHeight="1">
      <c r="A673" s="56">
        <f t="shared" si="37"/>
        <v>670</v>
      </c>
      <c r="B673" s="56" t="str">
        <f t="shared" si="45"/>
        <v>MB166</v>
      </c>
      <c r="C673" s="57" t="s">
        <v>1626</v>
      </c>
      <c r="D673" s="56" t="s">
        <v>128</v>
      </c>
      <c r="E673" s="56" t="s">
        <v>34</v>
      </c>
      <c r="F673" s="58" t="s">
        <v>7</v>
      </c>
      <c r="G673" s="56" t="s">
        <v>118</v>
      </c>
      <c r="H673" s="56" t="s">
        <v>118</v>
      </c>
      <c r="I673" s="59">
        <v>17761.0</v>
      </c>
      <c r="J673" s="56">
        <f t="shared" si="49"/>
        <v>77</v>
      </c>
      <c r="K673" s="56" t="s">
        <v>223</v>
      </c>
      <c r="L673" s="60" t="s">
        <v>1627</v>
      </c>
      <c r="M673" s="59"/>
      <c r="N673" s="60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8.75" customHeight="1">
      <c r="A674" s="56">
        <f t="shared" si="37"/>
        <v>671</v>
      </c>
      <c r="B674" s="56" t="str">
        <f t="shared" si="45"/>
        <v>MJ47</v>
      </c>
      <c r="C674" s="57" t="s">
        <v>1628</v>
      </c>
      <c r="D674" s="56" t="s">
        <v>128</v>
      </c>
      <c r="E674" s="56" t="s">
        <v>140</v>
      </c>
      <c r="F674" s="58" t="s">
        <v>30</v>
      </c>
      <c r="G674" s="56" t="s">
        <v>118</v>
      </c>
      <c r="H674" s="56" t="s">
        <v>118</v>
      </c>
      <c r="I674" s="59">
        <v>17442.0</v>
      </c>
      <c r="J674" s="56">
        <f t="shared" si="49"/>
        <v>78</v>
      </c>
      <c r="K674" s="56">
        <v>3.317816627E9</v>
      </c>
      <c r="L674" s="60" t="s">
        <v>1629</v>
      </c>
      <c r="M674" s="59"/>
      <c r="N674" s="60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8.75" hidden="1" customHeight="1">
      <c r="A675" s="56">
        <f t="shared" si="37"/>
        <v>672</v>
      </c>
      <c r="B675" s="56" t="str">
        <f t="shared" si="45"/>
        <v>HB170</v>
      </c>
      <c r="C675" s="57" t="s">
        <v>1630</v>
      </c>
      <c r="D675" s="56" t="s">
        <v>117</v>
      </c>
      <c r="E675" s="56" t="s">
        <v>40</v>
      </c>
      <c r="F675" s="58" t="s">
        <v>7</v>
      </c>
      <c r="G675" s="56" t="s">
        <v>118</v>
      </c>
      <c r="H675" s="56" t="s">
        <v>118</v>
      </c>
      <c r="I675" s="59">
        <v>37855.0</v>
      </c>
      <c r="J675" s="56">
        <f t="shared" si="49"/>
        <v>22</v>
      </c>
      <c r="K675" s="56">
        <v>3.31768947E9</v>
      </c>
      <c r="L675" s="60" t="s">
        <v>1631</v>
      </c>
      <c r="M675" s="59">
        <v>43371.0</v>
      </c>
      <c r="N675" s="60" t="s">
        <v>233</v>
      </c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8.75" customHeight="1">
      <c r="A676" s="56">
        <f t="shared" si="37"/>
        <v>673</v>
      </c>
      <c r="B676" s="56" t="str">
        <f t="shared" si="45"/>
        <v>HD14</v>
      </c>
      <c r="C676" s="57" t="s">
        <v>1632</v>
      </c>
      <c r="D676" s="56" t="s">
        <v>117</v>
      </c>
      <c r="E676" s="56" t="s">
        <v>28</v>
      </c>
      <c r="F676" s="56" t="s">
        <v>49</v>
      </c>
      <c r="G676" s="56"/>
      <c r="H676" s="56" t="s">
        <v>118</v>
      </c>
      <c r="I676" s="59">
        <v>34814.0</v>
      </c>
      <c r="J676" s="56">
        <f t="shared" si="49"/>
        <v>30</v>
      </c>
      <c r="K676" s="56">
        <v>3.321239006E9</v>
      </c>
      <c r="L676" s="60" t="s">
        <v>1633</v>
      </c>
      <c r="M676" s="59">
        <v>44823.0</v>
      </c>
      <c r="N676" s="60" t="s">
        <v>1634</v>
      </c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8.75" customHeight="1">
      <c r="A677" s="56">
        <f t="shared" si="37"/>
        <v>674</v>
      </c>
      <c r="B677" s="56" t="str">
        <f t="shared" si="45"/>
        <v>MMa33</v>
      </c>
      <c r="C677" s="57" t="s">
        <v>1635</v>
      </c>
      <c r="D677" s="56" t="s">
        <v>128</v>
      </c>
      <c r="E677" s="56" t="s">
        <v>140</v>
      </c>
      <c r="F677" s="56" t="s">
        <v>18</v>
      </c>
      <c r="G677" s="58" t="s">
        <v>118</v>
      </c>
      <c r="H677" s="56" t="s">
        <v>118</v>
      </c>
      <c r="I677" s="59">
        <v>22804.0</v>
      </c>
      <c r="J677" s="56">
        <f t="shared" si="49"/>
        <v>63</v>
      </c>
      <c r="K677" s="56">
        <v>3.310525401E9</v>
      </c>
      <c r="L677" s="60" t="s">
        <v>1636</v>
      </c>
      <c r="M677" s="59"/>
      <c r="N677" s="60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8.75" hidden="1" customHeight="1">
      <c r="A678" s="56">
        <f t="shared" si="37"/>
        <v>675</v>
      </c>
      <c r="B678" s="56" t="str">
        <f t="shared" si="45"/>
        <v>MB167</v>
      </c>
      <c r="C678" s="57" t="s">
        <v>1637</v>
      </c>
      <c r="D678" s="56" t="s">
        <v>128</v>
      </c>
      <c r="E678" s="56" t="s">
        <v>34</v>
      </c>
      <c r="F678" s="58" t="s">
        <v>7</v>
      </c>
      <c r="G678" s="56" t="s">
        <v>118</v>
      </c>
      <c r="H678" s="56" t="s">
        <v>118</v>
      </c>
      <c r="I678" s="59">
        <v>31078.0</v>
      </c>
      <c r="J678" s="56">
        <f>IF($C$761="","",DATEDIF(I678,TODAY(),"Y"))</f>
        <v>41</v>
      </c>
      <c r="K678" s="56">
        <v>3.33305264E9</v>
      </c>
      <c r="L678" s="60"/>
      <c r="M678" s="59">
        <v>45346.0</v>
      </c>
      <c r="N678" s="60" t="s">
        <v>275</v>
      </c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8.75" hidden="1" customHeight="1">
      <c r="A679" s="56">
        <f t="shared" si="37"/>
        <v>676</v>
      </c>
      <c r="B679" s="56" t="str">
        <f t="shared" si="45"/>
        <v>HB171</v>
      </c>
      <c r="C679" s="57" t="s">
        <v>1638</v>
      </c>
      <c r="D679" s="56" t="s">
        <v>117</v>
      </c>
      <c r="E679" s="56" t="s">
        <v>34</v>
      </c>
      <c r="F679" s="56" t="s">
        <v>7</v>
      </c>
      <c r="G679" s="56" t="s">
        <v>118</v>
      </c>
      <c r="H679" s="56" t="s">
        <v>118</v>
      </c>
      <c r="I679" s="59">
        <v>30430.0</v>
      </c>
      <c r="J679" s="56">
        <f t="shared" ref="J679:J764" si="50">IF(C679="","",DATEDIF(I679,TODAY(),"Y"))</f>
        <v>43</v>
      </c>
      <c r="K679" s="56">
        <v>3.311257608E9</v>
      </c>
      <c r="L679" s="60" t="s">
        <v>1639</v>
      </c>
      <c r="M679" s="59"/>
      <c r="N679" s="60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8.75" customHeight="1">
      <c r="A680" s="56">
        <f t="shared" si="37"/>
        <v>677</v>
      </c>
      <c r="B680" s="56" t="str">
        <f t="shared" si="45"/>
        <v>HL21</v>
      </c>
      <c r="C680" s="57" t="s">
        <v>1640</v>
      </c>
      <c r="D680" s="56" t="s">
        <v>117</v>
      </c>
      <c r="E680" s="56" t="s">
        <v>22</v>
      </c>
      <c r="F680" s="56" t="s">
        <v>12</v>
      </c>
      <c r="G680" s="56"/>
      <c r="H680" s="56" t="s">
        <v>118</v>
      </c>
      <c r="I680" s="59">
        <v>32030.0</v>
      </c>
      <c r="J680" s="56">
        <f t="shared" si="50"/>
        <v>38</v>
      </c>
      <c r="K680" s="56">
        <v>3.312148813E9</v>
      </c>
      <c r="L680" s="60" t="s">
        <v>1641</v>
      </c>
      <c r="M680" s="59"/>
      <c r="N680" s="60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8.75" hidden="1" customHeight="1">
      <c r="A681" s="56">
        <f t="shared" si="37"/>
        <v>678</v>
      </c>
      <c r="B681" s="56" t="str">
        <f t="shared" si="45"/>
        <v>MB168</v>
      </c>
      <c r="C681" s="57" t="s">
        <v>1642</v>
      </c>
      <c r="D681" s="56" t="s">
        <v>128</v>
      </c>
      <c r="E681" s="56" t="s">
        <v>40</v>
      </c>
      <c r="F681" s="56" t="s">
        <v>7</v>
      </c>
      <c r="G681" s="56" t="s">
        <v>118</v>
      </c>
      <c r="H681" s="56" t="s">
        <v>118</v>
      </c>
      <c r="I681" s="59">
        <v>36527.0</v>
      </c>
      <c r="J681" s="56">
        <f t="shared" si="50"/>
        <v>26</v>
      </c>
      <c r="K681" s="56">
        <v>3.319996068E9</v>
      </c>
      <c r="L681" s="60" t="s">
        <v>1305</v>
      </c>
      <c r="M681" s="59">
        <v>43115.0</v>
      </c>
      <c r="N681" s="60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8.75" hidden="1" customHeight="1">
      <c r="A682" s="56">
        <f t="shared" si="37"/>
        <v>679</v>
      </c>
      <c r="B682" s="56" t="str">
        <f t="shared" si="45"/>
        <v>MB169</v>
      </c>
      <c r="C682" s="57" t="s">
        <v>1643</v>
      </c>
      <c r="D682" s="56" t="s">
        <v>128</v>
      </c>
      <c r="E682" s="56" t="s">
        <v>40</v>
      </c>
      <c r="F682" s="58" t="s">
        <v>7</v>
      </c>
      <c r="G682" s="56" t="s">
        <v>118</v>
      </c>
      <c r="H682" s="56" t="s">
        <v>118</v>
      </c>
      <c r="I682" s="59">
        <v>38467.0</v>
      </c>
      <c r="J682" s="56">
        <f t="shared" si="50"/>
        <v>20</v>
      </c>
      <c r="K682" s="56"/>
      <c r="L682" s="60" t="s">
        <v>1644</v>
      </c>
      <c r="M682" s="59">
        <v>43667.0</v>
      </c>
      <c r="N682" s="60" t="s">
        <v>1645</v>
      </c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8.75" hidden="1" customHeight="1">
      <c r="A683" s="56">
        <f t="shared" si="37"/>
        <v>680</v>
      </c>
      <c r="B683" s="56" t="str">
        <f t="shared" si="45"/>
        <v>MB170</v>
      </c>
      <c r="C683" s="57" t="s">
        <v>1646</v>
      </c>
      <c r="D683" s="56" t="s">
        <v>128</v>
      </c>
      <c r="E683" s="56" t="s">
        <v>28</v>
      </c>
      <c r="F683" s="56" t="s">
        <v>7</v>
      </c>
      <c r="G683" s="56" t="s">
        <v>118</v>
      </c>
      <c r="H683" s="56" t="s">
        <v>118</v>
      </c>
      <c r="I683" s="59">
        <v>36173.0</v>
      </c>
      <c r="J683" s="56">
        <f t="shared" si="50"/>
        <v>27</v>
      </c>
      <c r="K683" s="56">
        <v>3.310764497E9</v>
      </c>
      <c r="L683" s="60" t="s">
        <v>1647</v>
      </c>
      <c r="M683" s="59"/>
      <c r="N683" s="60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8.75" hidden="1" customHeight="1">
      <c r="A684" s="56">
        <f t="shared" si="37"/>
        <v>681</v>
      </c>
      <c r="B684" s="56" t="str">
        <f t="shared" si="45"/>
        <v>MB171</v>
      </c>
      <c r="C684" s="57" t="s">
        <v>1648</v>
      </c>
      <c r="D684" s="56" t="s">
        <v>128</v>
      </c>
      <c r="E684" s="56" t="s">
        <v>40</v>
      </c>
      <c r="F684" s="56" t="s">
        <v>7</v>
      </c>
      <c r="G684" s="56" t="s">
        <v>118</v>
      </c>
      <c r="H684" s="56" t="s">
        <v>118</v>
      </c>
      <c r="I684" s="59">
        <v>36701.0</v>
      </c>
      <c r="J684" s="56">
        <f t="shared" si="50"/>
        <v>25</v>
      </c>
      <c r="K684" s="56">
        <v>3.310447104E9</v>
      </c>
      <c r="L684" s="60" t="s">
        <v>1647</v>
      </c>
      <c r="M684" s="59"/>
      <c r="N684" s="60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8.75" hidden="1" customHeight="1">
      <c r="A685" s="56">
        <f t="shared" si="37"/>
        <v>682</v>
      </c>
      <c r="B685" s="56" t="str">
        <f t="shared" si="45"/>
        <v>MB172</v>
      </c>
      <c r="C685" s="57" t="s">
        <v>1649</v>
      </c>
      <c r="D685" s="56" t="s">
        <v>128</v>
      </c>
      <c r="E685" s="56" t="s">
        <v>40</v>
      </c>
      <c r="F685" s="58" t="s">
        <v>7</v>
      </c>
      <c r="G685" s="56" t="s">
        <v>118</v>
      </c>
      <c r="H685" s="56" t="s">
        <v>118</v>
      </c>
      <c r="I685" s="59">
        <v>35086.0</v>
      </c>
      <c r="J685" s="56">
        <f t="shared" si="50"/>
        <v>30</v>
      </c>
      <c r="K685" s="56">
        <v>3.318575318E9</v>
      </c>
      <c r="L685" s="60" t="s">
        <v>1650</v>
      </c>
      <c r="M685" s="59"/>
      <c r="N685" s="60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8.75" hidden="1" customHeight="1">
      <c r="A686" s="56">
        <f t="shared" si="37"/>
        <v>683</v>
      </c>
      <c r="B686" s="56" t="str">
        <f t="shared" si="45"/>
        <v>MB173</v>
      </c>
      <c r="C686" s="57" t="s">
        <v>1651</v>
      </c>
      <c r="D686" s="56" t="s">
        <v>128</v>
      </c>
      <c r="E686" s="56" t="s">
        <v>40</v>
      </c>
      <c r="F686" s="56" t="s">
        <v>7</v>
      </c>
      <c r="G686" s="56" t="s">
        <v>118</v>
      </c>
      <c r="H686" s="56" t="s">
        <v>118</v>
      </c>
      <c r="I686" s="59">
        <v>37605.0</v>
      </c>
      <c r="J686" s="56">
        <f t="shared" si="50"/>
        <v>23</v>
      </c>
      <c r="K686" s="56">
        <v>3.321101304E9</v>
      </c>
      <c r="L686" s="60" t="s">
        <v>1652</v>
      </c>
      <c r="M686" s="59">
        <v>42983.0</v>
      </c>
      <c r="N686" s="60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8.75" customHeight="1">
      <c r="A687" s="56">
        <f t="shared" si="37"/>
        <v>684</v>
      </c>
      <c r="B687" s="56" t="str">
        <f t="shared" si="45"/>
        <v>HS32</v>
      </c>
      <c r="C687" s="57" t="s">
        <v>1653</v>
      </c>
      <c r="D687" s="56" t="s">
        <v>117</v>
      </c>
      <c r="E687" s="56" t="s">
        <v>22</v>
      </c>
      <c r="F687" s="56" t="s">
        <v>43</v>
      </c>
      <c r="G687" s="56"/>
      <c r="H687" s="56" t="s">
        <v>118</v>
      </c>
      <c r="I687" s="59">
        <v>28064.0</v>
      </c>
      <c r="J687" s="56">
        <f t="shared" si="50"/>
        <v>49</v>
      </c>
      <c r="K687" s="56">
        <v>3.322570009E9</v>
      </c>
      <c r="L687" s="60" t="s">
        <v>1654</v>
      </c>
      <c r="M687" s="59"/>
      <c r="N687" s="60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8.75" hidden="1" customHeight="1">
      <c r="A688" s="56">
        <f t="shared" si="37"/>
        <v>685</v>
      </c>
      <c r="B688" s="56" t="str">
        <f t="shared" si="45"/>
        <v>MB174</v>
      </c>
      <c r="C688" s="57" t="s">
        <v>1655</v>
      </c>
      <c r="D688" s="56" t="s">
        <v>128</v>
      </c>
      <c r="E688" s="56" t="s">
        <v>140</v>
      </c>
      <c r="F688" s="56" t="s">
        <v>7</v>
      </c>
      <c r="G688" s="56" t="s">
        <v>118</v>
      </c>
      <c r="H688" s="56" t="s">
        <v>118</v>
      </c>
      <c r="I688" s="59">
        <v>25395.0</v>
      </c>
      <c r="J688" s="56">
        <f t="shared" si="50"/>
        <v>56</v>
      </c>
      <c r="K688" s="56">
        <v>3.315547657E9</v>
      </c>
      <c r="L688" s="60" t="s">
        <v>1656</v>
      </c>
      <c r="M688" s="59"/>
      <c r="N688" s="60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8.75" hidden="1" customHeight="1">
      <c r="A689" s="56">
        <f t="shared" si="37"/>
        <v>686</v>
      </c>
      <c r="B689" s="56" t="str">
        <f t="shared" si="45"/>
        <v>HB172</v>
      </c>
      <c r="C689" s="57" t="s">
        <v>1657</v>
      </c>
      <c r="D689" s="56" t="s">
        <v>117</v>
      </c>
      <c r="E689" s="56" t="s">
        <v>140</v>
      </c>
      <c r="F689" s="56" t="s">
        <v>7</v>
      </c>
      <c r="G689" s="56" t="s">
        <v>118</v>
      </c>
      <c r="H689" s="56" t="s">
        <v>118</v>
      </c>
      <c r="I689" s="59">
        <v>18979.0</v>
      </c>
      <c r="J689" s="56">
        <f t="shared" si="50"/>
        <v>74</v>
      </c>
      <c r="K689" s="56" t="s">
        <v>223</v>
      </c>
      <c r="L689" s="60" t="s">
        <v>1658</v>
      </c>
      <c r="M689" s="59"/>
      <c r="N689" s="60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8.75" hidden="1" customHeight="1">
      <c r="A690" s="56">
        <f t="shared" si="37"/>
        <v>687</v>
      </c>
      <c r="B690" s="56" t="str">
        <f t="shared" si="45"/>
        <v>MB175</v>
      </c>
      <c r="C690" s="57" t="s">
        <v>1659</v>
      </c>
      <c r="D690" s="56" t="s">
        <v>128</v>
      </c>
      <c r="E690" s="56" t="s">
        <v>16</v>
      </c>
      <c r="F690" s="56" t="s">
        <v>7</v>
      </c>
      <c r="G690" s="56" t="s">
        <v>118</v>
      </c>
      <c r="H690" s="56" t="s">
        <v>118</v>
      </c>
      <c r="I690" s="59">
        <v>27565.0</v>
      </c>
      <c r="J690" s="56">
        <f t="shared" si="50"/>
        <v>50</v>
      </c>
      <c r="K690" s="56">
        <v>3.338998459E9</v>
      </c>
      <c r="L690" s="60" t="s">
        <v>1660</v>
      </c>
      <c r="M690" s="59"/>
      <c r="N690" s="60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8.75" customHeight="1">
      <c r="A691" s="56">
        <f t="shared" si="37"/>
        <v>688</v>
      </c>
      <c r="B691" s="56" t="str">
        <f t="shared" si="45"/>
        <v>MMa34</v>
      </c>
      <c r="C691" s="72" t="s">
        <v>1661</v>
      </c>
      <c r="D691" s="58" t="s">
        <v>128</v>
      </c>
      <c r="E691" s="58" t="s">
        <v>34</v>
      </c>
      <c r="F691" s="58" t="s">
        <v>18</v>
      </c>
      <c r="G691" s="56" t="s">
        <v>118</v>
      </c>
      <c r="H691" s="56" t="s">
        <v>118</v>
      </c>
      <c r="I691" s="73">
        <v>20169.0</v>
      </c>
      <c r="J691" s="56">
        <f t="shared" si="50"/>
        <v>71</v>
      </c>
      <c r="K691" s="58">
        <v>3.3332711E9</v>
      </c>
      <c r="L691" s="71" t="s">
        <v>1662</v>
      </c>
      <c r="M691" s="73">
        <v>45761.0</v>
      </c>
      <c r="N691" s="71" t="s">
        <v>379</v>
      </c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8.75" hidden="1" customHeight="1">
      <c r="A692" s="56">
        <f t="shared" si="37"/>
        <v>689</v>
      </c>
      <c r="B692" s="56" t="str">
        <f t="shared" si="45"/>
        <v>HB173</v>
      </c>
      <c r="C692" s="57" t="s">
        <v>1663</v>
      </c>
      <c r="D692" s="56" t="s">
        <v>117</v>
      </c>
      <c r="E692" s="56" t="s">
        <v>40</v>
      </c>
      <c r="F692" s="56" t="s">
        <v>7</v>
      </c>
      <c r="G692" s="56" t="s">
        <v>118</v>
      </c>
      <c r="H692" s="56" t="s">
        <v>118</v>
      </c>
      <c r="I692" s="59">
        <v>37766.0</v>
      </c>
      <c r="J692" s="56">
        <f t="shared" si="50"/>
        <v>22</v>
      </c>
      <c r="K692" s="56">
        <v>3.322706376E9</v>
      </c>
      <c r="L692" s="60" t="s">
        <v>1664</v>
      </c>
      <c r="M692" s="59"/>
      <c r="N692" s="60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8.75" customHeight="1">
      <c r="A693" s="56">
        <f t="shared" si="37"/>
        <v>690</v>
      </c>
      <c r="B693" s="56" t="str">
        <f t="shared" si="45"/>
        <v>MMa35</v>
      </c>
      <c r="C693" s="57" t="s">
        <v>1665</v>
      </c>
      <c r="D693" s="56" t="s">
        <v>128</v>
      </c>
      <c r="E693" s="56" t="s">
        <v>140</v>
      </c>
      <c r="F693" s="56" t="s">
        <v>18</v>
      </c>
      <c r="G693" s="58" t="s">
        <v>118</v>
      </c>
      <c r="H693" s="56" t="s">
        <v>118</v>
      </c>
      <c r="I693" s="59">
        <v>23199.0</v>
      </c>
      <c r="J693" s="56">
        <f t="shared" si="50"/>
        <v>62</v>
      </c>
      <c r="K693" s="56">
        <v>3.312363784E9</v>
      </c>
      <c r="L693" s="60" t="s">
        <v>1666</v>
      </c>
      <c r="M693" s="59"/>
      <c r="N693" s="60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8.75" hidden="1" customHeight="1">
      <c r="A694" s="56">
        <f t="shared" si="37"/>
        <v>691</v>
      </c>
      <c r="B694" s="56" t="str">
        <f t="shared" si="45"/>
        <v>MB176</v>
      </c>
      <c r="C694" s="57" t="s">
        <v>1667</v>
      </c>
      <c r="D694" s="56" t="s">
        <v>128</v>
      </c>
      <c r="E694" s="56" t="s">
        <v>40</v>
      </c>
      <c r="F694" s="56" t="s">
        <v>7</v>
      </c>
      <c r="G694" s="56" t="s">
        <v>118</v>
      </c>
      <c r="H694" s="56" t="s">
        <v>118</v>
      </c>
      <c r="I694" s="59">
        <v>35236.0</v>
      </c>
      <c r="J694" s="56">
        <f t="shared" si="50"/>
        <v>29</v>
      </c>
      <c r="K694" s="56">
        <v>3.314762592E9</v>
      </c>
      <c r="L694" s="60" t="s">
        <v>1668</v>
      </c>
      <c r="M694" s="59"/>
      <c r="N694" s="60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8.75" hidden="1" customHeight="1">
      <c r="A695" s="56">
        <f t="shared" si="37"/>
        <v>692</v>
      </c>
      <c r="B695" s="56" t="str">
        <f t="shared" si="45"/>
        <v>HB174</v>
      </c>
      <c r="C695" s="57" t="s">
        <v>1669</v>
      </c>
      <c r="D695" s="56" t="s">
        <v>117</v>
      </c>
      <c r="E695" s="56" t="s">
        <v>22</v>
      </c>
      <c r="F695" s="56" t="s">
        <v>7</v>
      </c>
      <c r="G695" s="56" t="s">
        <v>118</v>
      </c>
      <c r="H695" s="56" t="s">
        <v>118</v>
      </c>
      <c r="I695" s="59">
        <v>33097.0</v>
      </c>
      <c r="J695" s="56">
        <f t="shared" si="50"/>
        <v>35</v>
      </c>
      <c r="K695" s="56">
        <v>3.311528387E9</v>
      </c>
      <c r="L695" s="60" t="s">
        <v>1670</v>
      </c>
      <c r="M695" s="59"/>
      <c r="N695" s="60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8.75" hidden="1" customHeight="1">
      <c r="A696" s="56">
        <f t="shared" si="37"/>
        <v>693</v>
      </c>
      <c r="B696" s="56" t="str">
        <f t="shared" si="45"/>
        <v>MB177</v>
      </c>
      <c r="C696" s="57" t="s">
        <v>1671</v>
      </c>
      <c r="D696" s="56" t="s">
        <v>128</v>
      </c>
      <c r="E696" s="56" t="s">
        <v>22</v>
      </c>
      <c r="F696" s="56" t="s">
        <v>7</v>
      </c>
      <c r="G696" s="56" t="s">
        <v>118</v>
      </c>
      <c r="H696" s="56" t="s">
        <v>118</v>
      </c>
      <c r="I696" s="59">
        <v>31239.0</v>
      </c>
      <c r="J696" s="56">
        <f t="shared" si="50"/>
        <v>40</v>
      </c>
      <c r="K696" s="56">
        <v>3.312326171E9</v>
      </c>
      <c r="L696" s="60" t="s">
        <v>1672</v>
      </c>
      <c r="M696" s="59"/>
      <c r="N696" s="60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8.75" customHeight="1">
      <c r="A697" s="56">
        <f t="shared" si="37"/>
        <v>694</v>
      </c>
      <c r="B697" s="56" t="str">
        <f t="shared" si="45"/>
        <v>MS36</v>
      </c>
      <c r="C697" s="72" t="s">
        <v>1673</v>
      </c>
      <c r="D697" s="58" t="s">
        <v>128</v>
      </c>
      <c r="E697" s="58" t="s">
        <v>40</v>
      </c>
      <c r="F697" s="58" t="s">
        <v>43</v>
      </c>
      <c r="G697" s="58" t="s">
        <v>118</v>
      </c>
      <c r="H697" s="56" t="s">
        <v>118</v>
      </c>
      <c r="I697" s="73">
        <v>40504.0</v>
      </c>
      <c r="J697" s="56">
        <f t="shared" si="50"/>
        <v>15</v>
      </c>
      <c r="K697" s="58">
        <v>3.327974409E9</v>
      </c>
      <c r="L697" s="71" t="s">
        <v>1674</v>
      </c>
      <c r="M697" s="83">
        <v>45891.0</v>
      </c>
      <c r="N697" s="71" t="s">
        <v>1675</v>
      </c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8.75" customHeight="1">
      <c r="A698" s="56">
        <f t="shared" si="37"/>
        <v>695</v>
      </c>
      <c r="B698" s="56" t="str">
        <f t="shared" si="45"/>
        <v>HJ19</v>
      </c>
      <c r="C698" s="57" t="s">
        <v>1676</v>
      </c>
      <c r="D698" s="56" t="s">
        <v>117</v>
      </c>
      <c r="E698" s="56" t="s">
        <v>40</v>
      </c>
      <c r="F698" s="56" t="s">
        <v>30</v>
      </c>
      <c r="G698" s="56"/>
      <c r="H698" s="56" t="s">
        <v>118</v>
      </c>
      <c r="I698" s="59">
        <v>38750.0</v>
      </c>
      <c r="J698" s="56">
        <f t="shared" si="50"/>
        <v>20</v>
      </c>
      <c r="K698" s="56">
        <v>3.323812705E9</v>
      </c>
      <c r="L698" s="60" t="s">
        <v>1677</v>
      </c>
      <c r="M698" s="59">
        <v>43870.0</v>
      </c>
      <c r="N698" s="60" t="s">
        <v>218</v>
      </c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8.75" customHeight="1">
      <c r="A699" s="56">
        <f t="shared" si="37"/>
        <v>696</v>
      </c>
      <c r="B699" s="56" t="str">
        <f t="shared" si="45"/>
        <v>MMi21</v>
      </c>
      <c r="C699" s="57" t="s">
        <v>1678</v>
      </c>
      <c r="D699" s="56" t="s">
        <v>128</v>
      </c>
      <c r="E699" s="56" t="s">
        <v>140</v>
      </c>
      <c r="F699" s="56" t="s">
        <v>24</v>
      </c>
      <c r="G699" s="56"/>
      <c r="H699" s="56" t="s">
        <v>118</v>
      </c>
      <c r="I699" s="59">
        <v>24024.0</v>
      </c>
      <c r="J699" s="56">
        <f t="shared" si="50"/>
        <v>60</v>
      </c>
      <c r="K699" s="56">
        <v>3.318627207E9</v>
      </c>
      <c r="L699" s="60" t="s">
        <v>1679</v>
      </c>
      <c r="M699" s="59"/>
      <c r="N699" s="60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8.75" customHeight="1">
      <c r="A700" s="56">
        <f t="shared" si="37"/>
        <v>697</v>
      </c>
      <c r="B700" s="56" t="str">
        <f t="shared" si="45"/>
        <v>ML31</v>
      </c>
      <c r="C700" s="57" t="s">
        <v>1680</v>
      </c>
      <c r="D700" s="56" t="s">
        <v>128</v>
      </c>
      <c r="E700" s="56" t="s">
        <v>140</v>
      </c>
      <c r="F700" s="56" t="s">
        <v>12</v>
      </c>
      <c r="G700" s="58" t="s">
        <v>118</v>
      </c>
      <c r="H700" s="56" t="s">
        <v>118</v>
      </c>
      <c r="I700" s="59">
        <v>21876.0</v>
      </c>
      <c r="J700" s="56">
        <f t="shared" si="50"/>
        <v>66</v>
      </c>
      <c r="K700" s="56">
        <v>3.313052967E9</v>
      </c>
      <c r="L700" s="60" t="s">
        <v>1681</v>
      </c>
      <c r="M700" s="59"/>
      <c r="N700" s="71" t="s">
        <v>379</v>
      </c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8.75" hidden="1" customHeight="1">
      <c r="A701" s="56">
        <f t="shared" si="37"/>
        <v>698</v>
      </c>
      <c r="B701" s="56" t="str">
        <f t="shared" si="45"/>
        <v>MB178</v>
      </c>
      <c r="C701" s="57" t="s">
        <v>1682</v>
      </c>
      <c r="D701" s="56" t="s">
        <v>128</v>
      </c>
      <c r="E701" s="56" t="s">
        <v>16</v>
      </c>
      <c r="F701" s="58" t="s">
        <v>7</v>
      </c>
      <c r="G701" s="56" t="s">
        <v>118</v>
      </c>
      <c r="H701" s="56" t="s">
        <v>118</v>
      </c>
      <c r="I701" s="59">
        <v>26472.0</v>
      </c>
      <c r="J701" s="56">
        <f t="shared" si="50"/>
        <v>53</v>
      </c>
      <c r="K701" s="56">
        <v>3.310654685E9</v>
      </c>
      <c r="L701" s="60" t="s">
        <v>1683</v>
      </c>
      <c r="M701" s="59"/>
      <c r="N701" s="60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8.75" customHeight="1">
      <c r="A702" s="56">
        <f t="shared" si="37"/>
        <v>699</v>
      </c>
      <c r="B702" s="56" t="str">
        <f t="shared" si="45"/>
        <v>HMa12</v>
      </c>
      <c r="C702" s="72" t="s">
        <v>1684</v>
      </c>
      <c r="D702" s="58" t="s">
        <v>117</v>
      </c>
      <c r="E702" s="58" t="s">
        <v>16</v>
      </c>
      <c r="F702" s="58" t="s">
        <v>18</v>
      </c>
      <c r="G702" s="58" t="s">
        <v>118</v>
      </c>
      <c r="H702" s="56" t="s">
        <v>118</v>
      </c>
      <c r="I702" s="73">
        <v>19027.0</v>
      </c>
      <c r="J702" s="56">
        <f t="shared" si="50"/>
        <v>74</v>
      </c>
      <c r="K702" s="58">
        <v>3.334759265E9</v>
      </c>
      <c r="L702" s="71" t="s">
        <v>1685</v>
      </c>
      <c r="M702" s="74">
        <v>45588.0</v>
      </c>
      <c r="N702" s="71" t="s">
        <v>1686</v>
      </c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8.75" customHeight="1">
      <c r="A703" s="56">
        <f t="shared" si="37"/>
        <v>700</v>
      </c>
      <c r="B703" s="56" t="str">
        <f t="shared" si="45"/>
        <v>MJ48</v>
      </c>
      <c r="C703" s="57" t="s">
        <v>1687</v>
      </c>
      <c r="D703" s="56" t="s">
        <v>128</v>
      </c>
      <c r="E703" s="56" t="s">
        <v>34</v>
      </c>
      <c r="F703" s="58" t="s">
        <v>30</v>
      </c>
      <c r="G703" s="58" t="s">
        <v>118</v>
      </c>
      <c r="H703" s="56" t="s">
        <v>118</v>
      </c>
      <c r="I703" s="59">
        <v>17821.0</v>
      </c>
      <c r="J703" s="56">
        <f t="shared" si="50"/>
        <v>77</v>
      </c>
      <c r="K703" s="56">
        <v>1.491505E7</v>
      </c>
      <c r="L703" s="60" t="s">
        <v>1688</v>
      </c>
      <c r="M703" s="59"/>
      <c r="N703" s="71" t="s">
        <v>1689</v>
      </c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8.75" hidden="1" customHeight="1">
      <c r="A704" s="56">
        <f t="shared" si="37"/>
        <v>701</v>
      </c>
      <c r="B704" s="56" t="str">
        <f t="shared" si="45"/>
        <v>HB175</v>
      </c>
      <c r="C704" s="57" t="s">
        <v>1690</v>
      </c>
      <c r="D704" s="56" t="s">
        <v>117</v>
      </c>
      <c r="E704" s="56" t="s">
        <v>16</v>
      </c>
      <c r="F704" s="58" t="s">
        <v>7</v>
      </c>
      <c r="G704" s="56" t="s">
        <v>118</v>
      </c>
      <c r="H704" s="56" t="s">
        <v>118</v>
      </c>
      <c r="I704" s="59">
        <v>25733.0</v>
      </c>
      <c r="J704" s="56">
        <f t="shared" si="50"/>
        <v>55</v>
      </c>
      <c r="K704" s="56">
        <v>3.31345935E9</v>
      </c>
      <c r="L704" s="60" t="s">
        <v>1691</v>
      </c>
      <c r="M704" s="59">
        <v>43435.0</v>
      </c>
      <c r="N704" s="60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8.75" hidden="1" customHeight="1">
      <c r="A705" s="56">
        <f t="shared" si="37"/>
        <v>702</v>
      </c>
      <c r="B705" s="56" t="str">
        <f t="shared" si="45"/>
        <v>MB179</v>
      </c>
      <c r="C705" s="57" t="s">
        <v>1692</v>
      </c>
      <c r="D705" s="56" t="s">
        <v>128</v>
      </c>
      <c r="E705" s="56" t="s">
        <v>40</v>
      </c>
      <c r="F705" s="56" t="s">
        <v>7</v>
      </c>
      <c r="G705" s="56" t="s">
        <v>118</v>
      </c>
      <c r="H705" s="56" t="s">
        <v>118</v>
      </c>
      <c r="I705" s="59">
        <v>37389.0</v>
      </c>
      <c r="J705" s="56">
        <f t="shared" si="50"/>
        <v>23</v>
      </c>
      <c r="K705" s="56"/>
      <c r="L705" s="60" t="s">
        <v>1693</v>
      </c>
      <c r="M705" s="59">
        <v>43705.0</v>
      </c>
      <c r="N705" s="60" t="s">
        <v>251</v>
      </c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8.75" customHeight="1">
      <c r="A706" s="56">
        <f t="shared" si="37"/>
        <v>703</v>
      </c>
      <c r="B706" s="56" t="str">
        <f t="shared" si="45"/>
        <v>ML32</v>
      </c>
      <c r="C706" s="57" t="s">
        <v>1694</v>
      </c>
      <c r="D706" s="56" t="s">
        <v>128</v>
      </c>
      <c r="E706" s="56" t="s">
        <v>34</v>
      </c>
      <c r="F706" s="56" t="s">
        <v>12</v>
      </c>
      <c r="G706" s="58" t="s">
        <v>118</v>
      </c>
      <c r="H706" s="56" t="s">
        <v>118</v>
      </c>
      <c r="I706" s="59">
        <v>13810.0</v>
      </c>
      <c r="J706" s="56">
        <f t="shared" si="50"/>
        <v>88</v>
      </c>
      <c r="K706" s="56" t="s">
        <v>1695</v>
      </c>
      <c r="L706" s="60" t="s">
        <v>1696</v>
      </c>
      <c r="M706" s="59"/>
      <c r="N706" s="60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8.75" customHeight="1">
      <c r="A707" s="75">
        <f t="shared" si="37"/>
        <v>704</v>
      </c>
      <c r="B707" s="75" t="str">
        <f t="shared" si="45"/>
        <v>MJ49</v>
      </c>
      <c r="C707" s="76" t="s">
        <v>1697</v>
      </c>
      <c r="D707" s="77" t="s">
        <v>128</v>
      </c>
      <c r="E707" s="77" t="s">
        <v>40</v>
      </c>
      <c r="F707" s="77" t="s">
        <v>30</v>
      </c>
      <c r="G707" s="77" t="s">
        <v>118</v>
      </c>
      <c r="H707" s="75" t="s">
        <v>118</v>
      </c>
      <c r="I707" s="78">
        <v>37926.0</v>
      </c>
      <c r="J707" s="75">
        <f t="shared" si="50"/>
        <v>22</v>
      </c>
      <c r="K707" s="77">
        <v>3.319787055E9</v>
      </c>
      <c r="L707" s="79" t="s">
        <v>1698</v>
      </c>
      <c r="M707" s="78">
        <v>45752.0</v>
      </c>
      <c r="N707" s="71" t="s">
        <v>1699</v>
      </c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8.75" hidden="1" customHeight="1">
      <c r="A708" s="56">
        <f t="shared" si="37"/>
        <v>705</v>
      </c>
      <c r="B708" s="56" t="str">
        <f t="shared" si="45"/>
        <v>HB176</v>
      </c>
      <c r="C708" s="57" t="s">
        <v>1700</v>
      </c>
      <c r="D708" s="56" t="s">
        <v>117</v>
      </c>
      <c r="E708" s="56" t="s">
        <v>40</v>
      </c>
      <c r="F708" s="56" t="s">
        <v>7</v>
      </c>
      <c r="G708" s="56" t="s">
        <v>118</v>
      </c>
      <c r="H708" s="56" t="s">
        <v>118</v>
      </c>
      <c r="I708" s="59">
        <v>37115.0</v>
      </c>
      <c r="J708" s="56">
        <f t="shared" si="50"/>
        <v>24</v>
      </c>
      <c r="K708" s="56">
        <v>3.312862774E9</v>
      </c>
      <c r="L708" s="60" t="s">
        <v>1701</v>
      </c>
      <c r="M708" s="59"/>
      <c r="N708" s="60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8.75" customHeight="1">
      <c r="A709" s="56">
        <f t="shared" si="37"/>
        <v>706</v>
      </c>
      <c r="B709" s="56" t="str">
        <f t="shared" si="45"/>
        <v>HMa13</v>
      </c>
      <c r="C709" s="57" t="s">
        <v>1702</v>
      </c>
      <c r="D709" s="56" t="s">
        <v>117</v>
      </c>
      <c r="E709" s="56" t="s">
        <v>16</v>
      </c>
      <c r="F709" s="56" t="s">
        <v>18</v>
      </c>
      <c r="G709" s="58" t="s">
        <v>118</v>
      </c>
      <c r="H709" s="56" t="s">
        <v>118</v>
      </c>
      <c r="I709" s="59">
        <v>26664.0</v>
      </c>
      <c r="J709" s="56">
        <f t="shared" si="50"/>
        <v>53</v>
      </c>
      <c r="K709" s="56">
        <v>3.312862779E9</v>
      </c>
      <c r="L709" s="60" t="s">
        <v>1703</v>
      </c>
      <c r="M709" s="59"/>
      <c r="N709" s="60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8.75" hidden="1" customHeight="1">
      <c r="A710" s="56">
        <f t="shared" si="37"/>
        <v>707</v>
      </c>
      <c r="B710" s="56" t="str">
        <f t="shared" si="45"/>
        <v>MB180</v>
      </c>
      <c r="C710" s="57" t="s">
        <v>1704</v>
      </c>
      <c r="D710" s="56" t="s">
        <v>128</v>
      </c>
      <c r="E710" s="56" t="s">
        <v>40</v>
      </c>
      <c r="F710" s="58" t="s">
        <v>7</v>
      </c>
      <c r="G710" s="56" t="s">
        <v>118</v>
      </c>
      <c r="H710" s="56" t="s">
        <v>118</v>
      </c>
      <c r="I710" s="59">
        <v>36926.0</v>
      </c>
      <c r="J710" s="56">
        <f t="shared" si="50"/>
        <v>25</v>
      </c>
      <c r="K710" s="56">
        <v>3.221026048E9</v>
      </c>
      <c r="L710" s="60" t="s">
        <v>1705</v>
      </c>
      <c r="M710" s="59">
        <v>43479.0</v>
      </c>
      <c r="N710" s="60" t="s">
        <v>1706</v>
      </c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8.75" customHeight="1">
      <c r="A711" s="56">
        <f t="shared" si="37"/>
        <v>708</v>
      </c>
      <c r="B711" s="56" t="str">
        <f t="shared" si="45"/>
        <v>MMi22</v>
      </c>
      <c r="C711" s="57" t="s">
        <v>1707</v>
      </c>
      <c r="D711" s="56" t="s">
        <v>128</v>
      </c>
      <c r="E711" s="56" t="s">
        <v>34</v>
      </c>
      <c r="F711" s="56" t="s">
        <v>24</v>
      </c>
      <c r="G711" s="58" t="s">
        <v>118</v>
      </c>
      <c r="H711" s="56" t="s">
        <v>118</v>
      </c>
      <c r="I711" s="59">
        <v>28408.0</v>
      </c>
      <c r="J711" s="56">
        <f t="shared" si="50"/>
        <v>48</v>
      </c>
      <c r="K711" s="56">
        <v>3.312197058E9</v>
      </c>
      <c r="L711" s="60" t="s">
        <v>1708</v>
      </c>
      <c r="M711" s="59">
        <v>44634.0</v>
      </c>
      <c r="N711" s="60" t="s">
        <v>195</v>
      </c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8.75" hidden="1" customHeight="1">
      <c r="A712" s="56">
        <f t="shared" si="37"/>
        <v>709</v>
      </c>
      <c r="B712" s="56" t="str">
        <f t="shared" si="45"/>
        <v>MB181</v>
      </c>
      <c r="C712" s="57" t="s">
        <v>1709</v>
      </c>
      <c r="D712" s="56" t="s">
        <v>128</v>
      </c>
      <c r="E712" s="56" t="s">
        <v>16</v>
      </c>
      <c r="F712" s="56" t="s">
        <v>7</v>
      </c>
      <c r="G712" s="56" t="s">
        <v>118</v>
      </c>
      <c r="H712" s="56" t="s">
        <v>165</v>
      </c>
      <c r="I712" s="59">
        <v>19874.0</v>
      </c>
      <c r="J712" s="56">
        <f t="shared" si="50"/>
        <v>71</v>
      </c>
      <c r="K712" s="56"/>
      <c r="L712" s="60" t="s">
        <v>687</v>
      </c>
      <c r="M712" s="59"/>
      <c r="N712" s="60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8.75" hidden="1" customHeight="1">
      <c r="A713" s="56">
        <f t="shared" si="37"/>
        <v>710</v>
      </c>
      <c r="B713" s="56" t="str">
        <f t="shared" si="45"/>
        <v>HB177</v>
      </c>
      <c r="C713" s="57" t="s">
        <v>1710</v>
      </c>
      <c r="D713" s="56" t="s">
        <v>117</v>
      </c>
      <c r="E713" s="56" t="s">
        <v>22</v>
      </c>
      <c r="F713" s="58" t="s">
        <v>7</v>
      </c>
      <c r="G713" s="56" t="s">
        <v>118</v>
      </c>
      <c r="H713" s="56" t="s">
        <v>118</v>
      </c>
      <c r="I713" s="59">
        <v>29269.0</v>
      </c>
      <c r="J713" s="56">
        <f t="shared" si="50"/>
        <v>46</v>
      </c>
      <c r="K713" s="56">
        <v>3.31790898E9</v>
      </c>
      <c r="L713" s="60" t="s">
        <v>653</v>
      </c>
      <c r="M713" s="59">
        <v>43844.0</v>
      </c>
      <c r="N713" s="60" t="s">
        <v>1711</v>
      </c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8.75" hidden="1" customHeight="1">
      <c r="A714" s="56">
        <f t="shared" si="37"/>
        <v>711</v>
      </c>
      <c r="B714" s="56" t="str">
        <f t="shared" si="45"/>
        <v>MB182</v>
      </c>
      <c r="C714" s="57" t="s">
        <v>1712</v>
      </c>
      <c r="D714" s="56" t="s">
        <v>128</v>
      </c>
      <c r="E714" s="56" t="s">
        <v>40</v>
      </c>
      <c r="F714" s="58" t="s">
        <v>7</v>
      </c>
      <c r="G714" s="56" t="s">
        <v>118</v>
      </c>
      <c r="H714" s="56" t="s">
        <v>118</v>
      </c>
      <c r="I714" s="59">
        <v>38253.0</v>
      </c>
      <c r="J714" s="56">
        <f t="shared" si="50"/>
        <v>21</v>
      </c>
      <c r="K714" s="56">
        <v>3.322209501E9</v>
      </c>
      <c r="L714" s="60" t="s">
        <v>1713</v>
      </c>
      <c r="M714" s="59">
        <v>44612.0</v>
      </c>
      <c r="N714" s="60" t="s">
        <v>136</v>
      </c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8.75" hidden="1" customHeight="1">
      <c r="A715" s="56">
        <f t="shared" si="37"/>
        <v>712</v>
      </c>
      <c r="B715" s="56" t="str">
        <f t="shared" si="45"/>
        <v>HB178</v>
      </c>
      <c r="C715" s="57" t="s">
        <v>1714</v>
      </c>
      <c r="D715" s="56" t="s">
        <v>117</v>
      </c>
      <c r="E715" s="56" t="s">
        <v>40</v>
      </c>
      <c r="F715" s="56" t="s">
        <v>7</v>
      </c>
      <c r="G715" s="56" t="s">
        <v>118</v>
      </c>
      <c r="H715" s="56" t="s">
        <v>118</v>
      </c>
      <c r="I715" s="59">
        <v>36992.0</v>
      </c>
      <c r="J715" s="56">
        <f t="shared" si="50"/>
        <v>25</v>
      </c>
      <c r="K715" s="56">
        <v>3.6082362E7</v>
      </c>
      <c r="L715" s="60" t="s">
        <v>1715</v>
      </c>
      <c r="M715" s="59"/>
      <c r="N715" s="60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8.75" hidden="1" customHeight="1">
      <c r="A716" s="56">
        <f t="shared" si="37"/>
        <v>713</v>
      </c>
      <c r="B716" s="56" t="str">
        <f t="shared" si="45"/>
        <v>HB179</v>
      </c>
      <c r="C716" s="57" t="s">
        <v>1716</v>
      </c>
      <c r="D716" s="56" t="s">
        <v>117</v>
      </c>
      <c r="E716" s="56" t="s">
        <v>28</v>
      </c>
      <c r="F716" s="58" t="s">
        <v>7</v>
      </c>
      <c r="G716" s="56" t="s">
        <v>118</v>
      </c>
      <c r="H716" s="56" t="s">
        <v>118</v>
      </c>
      <c r="I716" s="59">
        <v>35638.0</v>
      </c>
      <c r="J716" s="56">
        <f t="shared" si="50"/>
        <v>28</v>
      </c>
      <c r="K716" s="56">
        <v>2.491277882E9</v>
      </c>
      <c r="L716" s="60" t="s">
        <v>411</v>
      </c>
      <c r="M716" s="59">
        <v>43845.0</v>
      </c>
      <c r="N716" s="60" t="s">
        <v>1717</v>
      </c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8.75" hidden="1" customHeight="1">
      <c r="A717" s="56">
        <f t="shared" si="37"/>
        <v>714</v>
      </c>
      <c r="B717" s="56" t="str">
        <f t="shared" si="45"/>
        <v>HB180</v>
      </c>
      <c r="C717" s="57" t="s">
        <v>1718</v>
      </c>
      <c r="D717" s="56" t="s">
        <v>117</v>
      </c>
      <c r="E717" s="56" t="s">
        <v>40</v>
      </c>
      <c r="F717" s="58" t="s">
        <v>7</v>
      </c>
      <c r="G717" s="56" t="s">
        <v>118</v>
      </c>
      <c r="H717" s="56" t="s">
        <v>118</v>
      </c>
      <c r="I717" s="59">
        <v>36986.0</v>
      </c>
      <c r="J717" s="56">
        <f t="shared" si="50"/>
        <v>25</v>
      </c>
      <c r="K717" s="56"/>
      <c r="L717" s="60" t="s">
        <v>1719</v>
      </c>
      <c r="M717" s="59"/>
      <c r="N717" s="60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8.75" hidden="1" customHeight="1">
      <c r="A718" s="56">
        <f t="shared" si="37"/>
        <v>715</v>
      </c>
      <c r="B718" s="56" t="str">
        <f t="shared" si="45"/>
        <v>MB183</v>
      </c>
      <c r="C718" s="57" t="s">
        <v>1720</v>
      </c>
      <c r="D718" s="56" t="s">
        <v>128</v>
      </c>
      <c r="E718" s="56" t="s">
        <v>40</v>
      </c>
      <c r="F718" s="56" t="s">
        <v>7</v>
      </c>
      <c r="G718" s="56" t="s">
        <v>118</v>
      </c>
      <c r="H718" s="56" t="s">
        <v>118</v>
      </c>
      <c r="I718" s="59">
        <v>36175.0</v>
      </c>
      <c r="J718" s="56">
        <f t="shared" si="50"/>
        <v>27</v>
      </c>
      <c r="K718" s="56">
        <v>3.334484036E9</v>
      </c>
      <c r="L718" s="60" t="s">
        <v>1719</v>
      </c>
      <c r="M718" s="59"/>
      <c r="N718" s="60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8.75" customHeight="1">
      <c r="A719" s="56">
        <f t="shared" si="37"/>
        <v>716</v>
      </c>
      <c r="B719" s="56" t="str">
        <f t="shared" si="45"/>
        <v>MD24</v>
      </c>
      <c r="C719" s="57" t="s">
        <v>1721</v>
      </c>
      <c r="D719" s="56" t="s">
        <v>128</v>
      </c>
      <c r="E719" s="56" t="s">
        <v>22</v>
      </c>
      <c r="F719" s="56" t="s">
        <v>49</v>
      </c>
      <c r="G719" s="56"/>
      <c r="H719" s="56" t="s">
        <v>118</v>
      </c>
      <c r="I719" s="59">
        <v>31275.0</v>
      </c>
      <c r="J719" s="56">
        <f t="shared" si="50"/>
        <v>40</v>
      </c>
      <c r="K719" s="56">
        <v>3.374585946E9</v>
      </c>
      <c r="L719" s="60" t="s">
        <v>794</v>
      </c>
      <c r="M719" s="59">
        <v>43480.0</v>
      </c>
      <c r="N719" s="60" t="s">
        <v>1722</v>
      </c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8.75" hidden="1" customHeight="1">
      <c r="A720" s="56">
        <f t="shared" si="37"/>
        <v>717</v>
      </c>
      <c r="B720" s="56" t="str">
        <f t="shared" si="45"/>
        <v>HB181</v>
      </c>
      <c r="C720" s="57" t="s">
        <v>1723</v>
      </c>
      <c r="D720" s="56" t="s">
        <v>117</v>
      </c>
      <c r="E720" s="56" t="s">
        <v>140</v>
      </c>
      <c r="F720" s="58" t="s">
        <v>7</v>
      </c>
      <c r="G720" s="56" t="s">
        <v>118</v>
      </c>
      <c r="H720" s="56" t="s">
        <v>118</v>
      </c>
      <c r="I720" s="59">
        <v>25512.0</v>
      </c>
      <c r="J720" s="56">
        <f t="shared" si="50"/>
        <v>56</v>
      </c>
      <c r="K720" s="56">
        <v>3.310128522E9</v>
      </c>
      <c r="L720" s="60" t="s">
        <v>1724</v>
      </c>
      <c r="M720" s="59"/>
      <c r="N720" s="60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8.75" customHeight="1">
      <c r="A721" s="56">
        <f t="shared" si="37"/>
        <v>718</v>
      </c>
      <c r="B721" s="56" t="str">
        <f t="shared" si="45"/>
        <v>MMa36</v>
      </c>
      <c r="C721" s="57" t="s">
        <v>1725</v>
      </c>
      <c r="D721" s="56" t="s">
        <v>128</v>
      </c>
      <c r="E721" s="56" t="s">
        <v>16</v>
      </c>
      <c r="F721" s="58" t="s">
        <v>18</v>
      </c>
      <c r="G721" s="58" t="s">
        <v>118</v>
      </c>
      <c r="H721" s="56" t="s">
        <v>118</v>
      </c>
      <c r="I721" s="59">
        <v>26861.0</v>
      </c>
      <c r="J721" s="56">
        <f t="shared" si="50"/>
        <v>52</v>
      </c>
      <c r="K721" s="56">
        <v>7.751183081E9</v>
      </c>
      <c r="L721" s="60" t="s">
        <v>1726</v>
      </c>
      <c r="M721" s="59">
        <v>43700.0</v>
      </c>
      <c r="N721" s="71" t="s">
        <v>1727</v>
      </c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8.75" hidden="1" customHeight="1">
      <c r="A722" s="56">
        <f t="shared" si="37"/>
        <v>719</v>
      </c>
      <c r="B722" s="56" t="str">
        <f t="shared" si="45"/>
        <v>MB184</v>
      </c>
      <c r="C722" s="57" t="s">
        <v>1728</v>
      </c>
      <c r="D722" s="56" t="s">
        <v>128</v>
      </c>
      <c r="E722" s="56" t="s">
        <v>22</v>
      </c>
      <c r="F722" s="58" t="s">
        <v>7</v>
      </c>
      <c r="G722" s="56" t="s">
        <v>118</v>
      </c>
      <c r="H722" s="56" t="s">
        <v>118</v>
      </c>
      <c r="I722" s="59">
        <v>29508.0</v>
      </c>
      <c r="J722" s="56">
        <f t="shared" si="50"/>
        <v>45</v>
      </c>
      <c r="K722" s="56">
        <v>3.311142772E9</v>
      </c>
      <c r="L722" s="60" t="s">
        <v>1729</v>
      </c>
      <c r="M722" s="59"/>
      <c r="N722" s="60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8.75" hidden="1" customHeight="1">
      <c r="A723" s="56">
        <f t="shared" si="37"/>
        <v>720</v>
      </c>
      <c r="B723" s="56" t="str">
        <f t="shared" si="45"/>
        <v>HB182</v>
      </c>
      <c r="C723" s="57" t="s">
        <v>1730</v>
      </c>
      <c r="D723" s="56" t="s">
        <v>117</v>
      </c>
      <c r="E723" s="56" t="s">
        <v>140</v>
      </c>
      <c r="F723" s="56" t="s">
        <v>7</v>
      </c>
      <c r="G723" s="56" t="s">
        <v>118</v>
      </c>
      <c r="H723" s="56" t="s">
        <v>118</v>
      </c>
      <c r="I723" s="59">
        <v>19048.0</v>
      </c>
      <c r="J723" s="56">
        <f t="shared" si="50"/>
        <v>74</v>
      </c>
      <c r="K723" s="56">
        <v>3.312272621E9</v>
      </c>
      <c r="L723" s="60" t="s">
        <v>893</v>
      </c>
      <c r="M723" s="59"/>
      <c r="N723" s="60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8.75" customHeight="1">
      <c r="A724" s="56">
        <f t="shared" si="37"/>
        <v>721</v>
      </c>
      <c r="B724" s="56" t="str">
        <f t="shared" si="45"/>
        <v>HD15</v>
      </c>
      <c r="C724" s="81" t="s">
        <v>51</v>
      </c>
      <c r="D724" s="56" t="s">
        <v>117</v>
      </c>
      <c r="E724" s="56" t="s">
        <v>140</v>
      </c>
      <c r="F724" s="56" t="s">
        <v>49</v>
      </c>
      <c r="G724" s="58" t="s">
        <v>118</v>
      </c>
      <c r="H724" s="56" t="s">
        <v>118</v>
      </c>
      <c r="I724" s="59">
        <v>19227.0</v>
      </c>
      <c r="J724" s="56">
        <f t="shared" si="50"/>
        <v>73</v>
      </c>
      <c r="K724" s="56">
        <v>3.31798218E9</v>
      </c>
      <c r="L724" s="60" t="s">
        <v>1731</v>
      </c>
      <c r="M724" s="59"/>
      <c r="N724" s="71" t="s">
        <v>1732</v>
      </c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8.75" hidden="1" customHeight="1">
      <c r="A725" s="56">
        <f t="shared" si="37"/>
        <v>722</v>
      </c>
      <c r="B725" s="56" t="str">
        <f t="shared" si="45"/>
        <v>HB183</v>
      </c>
      <c r="C725" s="57" t="s">
        <v>1733</v>
      </c>
      <c r="D725" s="56" t="s">
        <v>117</v>
      </c>
      <c r="E725" s="56" t="s">
        <v>40</v>
      </c>
      <c r="F725" s="56" t="s">
        <v>7</v>
      </c>
      <c r="G725" s="56" t="s">
        <v>118</v>
      </c>
      <c r="H725" s="56" t="s">
        <v>118</v>
      </c>
      <c r="I725" s="59">
        <v>37704.0</v>
      </c>
      <c r="J725" s="56">
        <f t="shared" si="50"/>
        <v>23</v>
      </c>
      <c r="K725" s="56">
        <v>3.317142185E9</v>
      </c>
      <c r="L725" s="60"/>
      <c r="M725" s="59">
        <v>43290.0</v>
      </c>
      <c r="N725" s="60" t="s">
        <v>233</v>
      </c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8.75" customHeight="1">
      <c r="A726" s="43">
        <f t="shared" si="37"/>
        <v>723</v>
      </c>
      <c r="B726" s="43" t="str">
        <f t="shared" si="45"/>
        <v>HV17</v>
      </c>
      <c r="C726" s="55" t="s">
        <v>1734</v>
      </c>
      <c r="D726" s="43" t="s">
        <v>117</v>
      </c>
      <c r="E726" s="43" t="s">
        <v>40</v>
      </c>
      <c r="F726" s="43" t="s">
        <v>36</v>
      </c>
      <c r="G726" s="43"/>
      <c r="H726" s="43" t="s">
        <v>118</v>
      </c>
      <c r="I726" s="46">
        <v>39388.0</v>
      </c>
      <c r="J726" s="43">
        <f t="shared" si="50"/>
        <v>18</v>
      </c>
      <c r="K726" s="43">
        <v>3.330289797E9</v>
      </c>
      <c r="L726" s="47" t="s">
        <v>1735</v>
      </c>
      <c r="M726" s="46">
        <v>44659.0</v>
      </c>
      <c r="N726" s="47" t="s">
        <v>218</v>
      </c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8.75" hidden="1" customHeight="1">
      <c r="A727" s="56">
        <f t="shared" si="37"/>
        <v>724</v>
      </c>
      <c r="B727" s="56" t="str">
        <f t="shared" si="45"/>
        <v>HB184</v>
      </c>
      <c r="C727" s="57" t="s">
        <v>1736</v>
      </c>
      <c r="D727" s="56" t="s">
        <v>117</v>
      </c>
      <c r="E727" s="56" t="s">
        <v>16</v>
      </c>
      <c r="F727" s="58" t="s">
        <v>7</v>
      </c>
      <c r="G727" s="56" t="s">
        <v>118</v>
      </c>
      <c r="H727" s="56" t="s">
        <v>118</v>
      </c>
      <c r="I727" s="59">
        <v>20980.0</v>
      </c>
      <c r="J727" s="56">
        <f t="shared" si="50"/>
        <v>68</v>
      </c>
      <c r="K727" s="56">
        <v>7.442088566E9</v>
      </c>
      <c r="L727" s="60" t="s">
        <v>1737</v>
      </c>
      <c r="M727" s="59">
        <v>43486.0</v>
      </c>
      <c r="N727" s="60" t="s">
        <v>126</v>
      </c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8.75" customHeight="1">
      <c r="A728" s="43">
        <f t="shared" si="37"/>
        <v>725</v>
      </c>
      <c r="B728" s="43" t="str">
        <f t="shared" si="45"/>
        <v>HV18</v>
      </c>
      <c r="C728" s="44" t="s">
        <v>1738</v>
      </c>
      <c r="D728" s="45" t="s">
        <v>117</v>
      </c>
      <c r="E728" s="45" t="s">
        <v>40</v>
      </c>
      <c r="F728" s="45" t="s">
        <v>36</v>
      </c>
      <c r="G728" s="45" t="s">
        <v>118</v>
      </c>
      <c r="H728" s="43" t="s">
        <v>118</v>
      </c>
      <c r="I728" s="63">
        <v>40435.0</v>
      </c>
      <c r="J728" s="43">
        <f t="shared" si="50"/>
        <v>15</v>
      </c>
      <c r="K728" s="45">
        <v>3.337894254E9</v>
      </c>
      <c r="L728" s="48" t="s">
        <v>1739</v>
      </c>
      <c r="M728" s="65">
        <v>45680.0</v>
      </c>
      <c r="N728" s="48" t="s">
        <v>574</v>
      </c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8.75" customHeight="1">
      <c r="A729" s="56">
        <f t="shared" si="37"/>
        <v>726</v>
      </c>
      <c r="B729" s="56" t="str">
        <f t="shared" si="45"/>
        <v>HS33</v>
      </c>
      <c r="C729" s="57" t="s">
        <v>1740</v>
      </c>
      <c r="D729" s="56" t="s">
        <v>117</v>
      </c>
      <c r="E729" s="56" t="s">
        <v>40</v>
      </c>
      <c r="F729" s="56" t="s">
        <v>43</v>
      </c>
      <c r="G729" s="56"/>
      <c r="H729" s="56" t="s">
        <v>118</v>
      </c>
      <c r="I729" s="59">
        <v>37972.0</v>
      </c>
      <c r="J729" s="56">
        <f t="shared" si="50"/>
        <v>22</v>
      </c>
      <c r="K729" s="56">
        <v>3.325778974E9</v>
      </c>
      <c r="L729" s="60" t="s">
        <v>1741</v>
      </c>
      <c r="M729" s="59">
        <v>44942.0</v>
      </c>
      <c r="N729" s="60" t="s">
        <v>1742</v>
      </c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8.75" hidden="1" customHeight="1">
      <c r="A730" s="56">
        <f t="shared" si="37"/>
        <v>727</v>
      </c>
      <c r="B730" s="56" t="str">
        <f t="shared" si="45"/>
        <v>MB185</v>
      </c>
      <c r="C730" s="57" t="s">
        <v>1743</v>
      </c>
      <c r="D730" s="56" t="s">
        <v>128</v>
      </c>
      <c r="E730" s="56" t="s">
        <v>34</v>
      </c>
      <c r="F730" s="56" t="s">
        <v>7</v>
      </c>
      <c r="G730" s="56" t="s">
        <v>118</v>
      </c>
      <c r="H730" s="56" t="s">
        <v>118</v>
      </c>
      <c r="I730" s="59">
        <v>26483.0</v>
      </c>
      <c r="J730" s="56">
        <f t="shared" si="50"/>
        <v>53</v>
      </c>
      <c r="K730" s="56">
        <v>3.321319632E9</v>
      </c>
      <c r="L730" s="60" t="s">
        <v>653</v>
      </c>
      <c r="M730" s="59">
        <v>44425.0</v>
      </c>
      <c r="N730" s="60" t="s">
        <v>1744</v>
      </c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8.75" customHeight="1">
      <c r="A731" s="56">
        <f t="shared" si="37"/>
        <v>728</v>
      </c>
      <c r="B731" s="56" t="str">
        <f t="shared" si="45"/>
        <v>MJ50</v>
      </c>
      <c r="C731" s="57" t="s">
        <v>1745</v>
      </c>
      <c r="D731" s="56" t="s">
        <v>128</v>
      </c>
      <c r="E731" s="56" t="s">
        <v>140</v>
      </c>
      <c r="F731" s="56" t="s">
        <v>30</v>
      </c>
      <c r="G731" s="58" t="s">
        <v>118</v>
      </c>
      <c r="H731" s="56" t="s">
        <v>118</v>
      </c>
      <c r="I731" s="59">
        <v>23090.0</v>
      </c>
      <c r="J731" s="56">
        <f t="shared" si="50"/>
        <v>63</v>
      </c>
      <c r="K731" s="56">
        <v>3.311210034E9</v>
      </c>
      <c r="L731" s="60" t="s">
        <v>1746</v>
      </c>
      <c r="M731" s="59"/>
      <c r="N731" s="71" t="s">
        <v>142</v>
      </c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8.75" hidden="1" customHeight="1">
      <c r="A732" s="56">
        <f t="shared" si="37"/>
        <v>729</v>
      </c>
      <c r="B732" s="56" t="str">
        <f t="shared" si="45"/>
        <v>MB186</v>
      </c>
      <c r="C732" s="57" t="s">
        <v>1747</v>
      </c>
      <c r="D732" s="56" t="s">
        <v>128</v>
      </c>
      <c r="E732" s="56" t="s">
        <v>28</v>
      </c>
      <c r="F732" s="58" t="s">
        <v>7</v>
      </c>
      <c r="G732" s="56" t="s">
        <v>118</v>
      </c>
      <c r="H732" s="56" t="s">
        <v>118</v>
      </c>
      <c r="I732" s="59">
        <v>35539.0</v>
      </c>
      <c r="J732" s="56">
        <f t="shared" si="50"/>
        <v>29</v>
      </c>
      <c r="K732" s="56">
        <v>6.13111353E9</v>
      </c>
      <c r="L732" s="60" t="s">
        <v>148</v>
      </c>
      <c r="M732" s="59">
        <v>42979.0</v>
      </c>
      <c r="N732" s="60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8.75" hidden="1" customHeight="1">
      <c r="A733" s="56">
        <f t="shared" si="37"/>
        <v>730</v>
      </c>
      <c r="B733" s="56" t="str">
        <f t="shared" si="45"/>
        <v>MB187</v>
      </c>
      <c r="C733" s="57" t="s">
        <v>1748</v>
      </c>
      <c r="D733" s="56" t="s">
        <v>128</v>
      </c>
      <c r="E733" s="56" t="s">
        <v>40</v>
      </c>
      <c r="F733" s="58" t="s">
        <v>7</v>
      </c>
      <c r="G733" s="56" t="s">
        <v>118</v>
      </c>
      <c r="H733" s="56" t="s">
        <v>118</v>
      </c>
      <c r="I733" s="59">
        <v>37743.0</v>
      </c>
      <c r="J733" s="56">
        <f t="shared" si="50"/>
        <v>22</v>
      </c>
      <c r="K733" s="56">
        <v>3.319964457E9</v>
      </c>
      <c r="L733" s="60" t="s">
        <v>1749</v>
      </c>
      <c r="M733" s="59">
        <v>43045.0</v>
      </c>
      <c r="N733" s="60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8.75" hidden="1" customHeight="1">
      <c r="A734" s="56">
        <f t="shared" si="37"/>
        <v>731</v>
      </c>
      <c r="B734" s="56" t="str">
        <f t="shared" si="45"/>
        <v>HB185</v>
      </c>
      <c r="C734" s="57" t="s">
        <v>1750</v>
      </c>
      <c r="D734" s="56" t="s">
        <v>117</v>
      </c>
      <c r="E734" s="56" t="s">
        <v>40</v>
      </c>
      <c r="F734" s="58" t="s">
        <v>7</v>
      </c>
      <c r="G734" s="56" t="s">
        <v>118</v>
      </c>
      <c r="H734" s="56" t="s">
        <v>118</v>
      </c>
      <c r="I734" s="59">
        <v>39190.0</v>
      </c>
      <c r="J734" s="56">
        <f t="shared" si="50"/>
        <v>19</v>
      </c>
      <c r="K734" s="56">
        <v>3.921310443E9</v>
      </c>
      <c r="L734" s="60" t="s">
        <v>1751</v>
      </c>
      <c r="M734" s="59">
        <v>44576.0</v>
      </c>
      <c r="N734" s="60" t="s">
        <v>218</v>
      </c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8.75" hidden="1" customHeight="1">
      <c r="A735" s="56">
        <f t="shared" si="37"/>
        <v>732</v>
      </c>
      <c r="B735" s="56" t="str">
        <f t="shared" si="45"/>
        <v>MB188</v>
      </c>
      <c r="C735" s="57" t="s">
        <v>1752</v>
      </c>
      <c r="D735" s="56" t="s">
        <v>128</v>
      </c>
      <c r="E735" s="56" t="s">
        <v>140</v>
      </c>
      <c r="F735" s="56" t="s">
        <v>7</v>
      </c>
      <c r="G735" s="56" t="s">
        <v>118</v>
      </c>
      <c r="H735" s="56" t="s">
        <v>118</v>
      </c>
      <c r="I735" s="59">
        <v>24900.0</v>
      </c>
      <c r="J735" s="56">
        <f t="shared" si="50"/>
        <v>58</v>
      </c>
      <c r="K735" s="56">
        <v>3.314706531E9</v>
      </c>
      <c r="L735" s="60" t="s">
        <v>1753</v>
      </c>
      <c r="M735" s="59"/>
      <c r="N735" s="60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8.75" customHeight="1">
      <c r="A736" s="56">
        <f t="shared" si="37"/>
        <v>733</v>
      </c>
      <c r="B736" s="56" t="str">
        <f t="shared" si="45"/>
        <v>MV36</v>
      </c>
      <c r="C736" s="72" t="s">
        <v>1754</v>
      </c>
      <c r="D736" s="58" t="s">
        <v>128</v>
      </c>
      <c r="E736" s="58" t="s">
        <v>40</v>
      </c>
      <c r="F736" s="58" t="s">
        <v>36</v>
      </c>
      <c r="G736" s="56" t="s">
        <v>118</v>
      </c>
      <c r="H736" s="56" t="s">
        <v>118</v>
      </c>
      <c r="I736" s="73">
        <v>40638.0</v>
      </c>
      <c r="J736" s="56">
        <f t="shared" si="50"/>
        <v>15</v>
      </c>
      <c r="K736" s="58">
        <v>3.329510835E9</v>
      </c>
      <c r="L736" s="71" t="s">
        <v>1755</v>
      </c>
      <c r="M736" s="73">
        <v>46009.0</v>
      </c>
      <c r="N736" s="71" t="s">
        <v>439</v>
      </c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8.75" customHeight="1">
      <c r="A737" s="56">
        <f t="shared" si="37"/>
        <v>734</v>
      </c>
      <c r="B737" s="56" t="str">
        <f t="shared" si="45"/>
        <v>MD25</v>
      </c>
      <c r="C737" s="57" t="s">
        <v>1756</v>
      </c>
      <c r="D737" s="56" t="s">
        <v>128</v>
      </c>
      <c r="E737" s="56" t="s">
        <v>140</v>
      </c>
      <c r="F737" s="56" t="s">
        <v>49</v>
      </c>
      <c r="G737" s="58" t="s">
        <v>118</v>
      </c>
      <c r="H737" s="56" t="s">
        <v>118</v>
      </c>
      <c r="I737" s="59">
        <v>20529.0</v>
      </c>
      <c r="J737" s="56">
        <f t="shared" si="50"/>
        <v>70</v>
      </c>
      <c r="K737" s="56">
        <v>3.314200794E9</v>
      </c>
      <c r="L737" s="60" t="s">
        <v>1757</v>
      </c>
      <c r="M737" s="59"/>
      <c r="N737" s="71" t="s">
        <v>1758</v>
      </c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8.75" customHeight="1">
      <c r="A738" s="56">
        <f t="shared" si="37"/>
        <v>735</v>
      </c>
      <c r="B738" s="56" t="str">
        <f t="shared" si="45"/>
        <v>MS37</v>
      </c>
      <c r="C738" s="57" t="s">
        <v>1759</v>
      </c>
      <c r="D738" s="56" t="s">
        <v>128</v>
      </c>
      <c r="E738" s="56" t="s">
        <v>34</v>
      </c>
      <c r="F738" s="56" t="s">
        <v>43</v>
      </c>
      <c r="G738" s="56"/>
      <c r="H738" s="56" t="s">
        <v>118</v>
      </c>
      <c r="I738" s="59">
        <v>12602.0</v>
      </c>
      <c r="J738" s="56">
        <f t="shared" si="50"/>
        <v>91</v>
      </c>
      <c r="K738" s="56">
        <v>3.6494327E7</v>
      </c>
      <c r="L738" s="60" t="s">
        <v>1760</v>
      </c>
      <c r="M738" s="59"/>
      <c r="N738" s="60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8.75" customHeight="1">
      <c r="A739" s="75">
        <f t="shared" si="37"/>
        <v>736</v>
      </c>
      <c r="B739" s="75" t="str">
        <f t="shared" si="45"/>
        <v>MJ51</v>
      </c>
      <c r="C739" s="76" t="s">
        <v>1761</v>
      </c>
      <c r="D739" s="77" t="s">
        <v>128</v>
      </c>
      <c r="E739" s="77" t="s">
        <v>40</v>
      </c>
      <c r="F739" s="77" t="s">
        <v>30</v>
      </c>
      <c r="G739" s="77" t="s">
        <v>118</v>
      </c>
      <c r="H739" s="77" t="s">
        <v>165</v>
      </c>
      <c r="I739" s="78"/>
      <c r="J739" s="75">
        <f t="shared" si="50"/>
        <v>126</v>
      </c>
      <c r="K739" s="77"/>
      <c r="L739" s="79"/>
      <c r="M739" s="80">
        <v>45859.0</v>
      </c>
      <c r="N739" s="71" t="s">
        <v>1675</v>
      </c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8.75" customHeight="1">
      <c r="A740" s="56">
        <f t="shared" si="37"/>
        <v>737</v>
      </c>
      <c r="B740" s="56" t="str">
        <f t="shared" si="45"/>
        <v>MMa37</v>
      </c>
      <c r="C740" s="57" t="s">
        <v>1762</v>
      </c>
      <c r="D740" s="56" t="s">
        <v>128</v>
      </c>
      <c r="E740" s="56" t="s">
        <v>16</v>
      </c>
      <c r="F740" s="56" t="s">
        <v>18</v>
      </c>
      <c r="G740" s="56"/>
      <c r="H740" s="56" t="s">
        <v>118</v>
      </c>
      <c r="I740" s="59">
        <v>25752.0</v>
      </c>
      <c r="J740" s="56">
        <f t="shared" si="50"/>
        <v>55</v>
      </c>
      <c r="K740" s="56">
        <v>3.339669158E9</v>
      </c>
      <c r="L740" s="60" t="s">
        <v>1763</v>
      </c>
      <c r="M740" s="59">
        <v>43411.0</v>
      </c>
      <c r="N740" s="60" t="s">
        <v>1403</v>
      </c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8.75" hidden="1" customHeight="1">
      <c r="A741" s="56">
        <f t="shared" si="37"/>
        <v>738</v>
      </c>
      <c r="B741" s="56" t="str">
        <f t="shared" si="45"/>
        <v>HB186</v>
      </c>
      <c r="C741" s="57" t="s">
        <v>1764</v>
      </c>
      <c r="D741" s="56" t="s">
        <v>117</v>
      </c>
      <c r="E741" s="56" t="s">
        <v>40</v>
      </c>
      <c r="F741" s="58" t="s">
        <v>7</v>
      </c>
      <c r="G741" s="56" t="s">
        <v>118</v>
      </c>
      <c r="H741" s="56" t="s">
        <v>118</v>
      </c>
      <c r="I741" s="59">
        <v>34451.0</v>
      </c>
      <c r="J741" s="56">
        <f t="shared" si="50"/>
        <v>31</v>
      </c>
      <c r="K741" s="56">
        <v>4.271365698E9</v>
      </c>
      <c r="L741" s="60" t="s">
        <v>1765</v>
      </c>
      <c r="M741" s="59">
        <v>43419.0</v>
      </c>
      <c r="N741" s="60" t="s">
        <v>486</v>
      </c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8.75" hidden="1" customHeight="1">
      <c r="A742" s="56">
        <f t="shared" si="37"/>
        <v>739</v>
      </c>
      <c r="B742" s="56" t="str">
        <f t="shared" si="45"/>
        <v>HB187</v>
      </c>
      <c r="C742" s="57" t="s">
        <v>1766</v>
      </c>
      <c r="D742" s="56" t="s">
        <v>117</v>
      </c>
      <c r="E742" s="56" t="s">
        <v>22</v>
      </c>
      <c r="F742" s="58" t="s">
        <v>7</v>
      </c>
      <c r="G742" s="56" t="s">
        <v>165</v>
      </c>
      <c r="H742" s="56" t="s">
        <v>118</v>
      </c>
      <c r="I742" s="59">
        <v>32285.0</v>
      </c>
      <c r="J742" s="56">
        <f t="shared" si="50"/>
        <v>37</v>
      </c>
      <c r="K742" s="56">
        <v>4.6739328223E10</v>
      </c>
      <c r="L742" s="60" t="s">
        <v>1395</v>
      </c>
      <c r="M742" s="59">
        <v>44936.0</v>
      </c>
      <c r="N742" s="60" t="s">
        <v>1396</v>
      </c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8.75" customHeight="1">
      <c r="A743" s="56">
        <f t="shared" si="37"/>
        <v>740</v>
      </c>
      <c r="B743" s="56" t="str">
        <f t="shared" si="45"/>
        <v>HD16</v>
      </c>
      <c r="C743" s="57" t="s">
        <v>1767</v>
      </c>
      <c r="D743" s="56" t="s">
        <v>117</v>
      </c>
      <c r="E743" s="56" t="s">
        <v>16</v>
      </c>
      <c r="F743" s="56" t="s">
        <v>49</v>
      </c>
      <c r="G743" s="58" t="s">
        <v>118</v>
      </c>
      <c r="H743" s="56" t="s">
        <v>118</v>
      </c>
      <c r="I743" s="59">
        <v>27545.0</v>
      </c>
      <c r="J743" s="56">
        <f t="shared" si="50"/>
        <v>50</v>
      </c>
      <c r="K743" s="56">
        <v>3.316043561E9</v>
      </c>
      <c r="L743" s="60" t="s">
        <v>1768</v>
      </c>
      <c r="M743" s="59"/>
      <c r="N743" s="71" t="s">
        <v>1769</v>
      </c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8.75" customHeight="1">
      <c r="A744" s="56">
        <f t="shared" si="37"/>
        <v>741</v>
      </c>
      <c r="B744" s="56" t="str">
        <f t="shared" si="45"/>
        <v>MMi23</v>
      </c>
      <c r="C744" s="57" t="s">
        <v>1770</v>
      </c>
      <c r="D744" s="56" t="s">
        <v>128</v>
      </c>
      <c r="E744" s="56" t="s">
        <v>34</v>
      </c>
      <c r="F744" s="56" t="s">
        <v>24</v>
      </c>
      <c r="G744" s="58" t="s">
        <v>118</v>
      </c>
      <c r="H744" s="56" t="s">
        <v>118</v>
      </c>
      <c r="I744" s="59">
        <v>23259.0</v>
      </c>
      <c r="J744" s="56">
        <f t="shared" si="50"/>
        <v>62</v>
      </c>
      <c r="K744" s="56">
        <v>3.319675361E9</v>
      </c>
      <c r="L744" s="60"/>
      <c r="M744" s="59">
        <v>43674.0</v>
      </c>
      <c r="N744" s="71" t="s">
        <v>1771</v>
      </c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8.75" customHeight="1">
      <c r="A745" s="56">
        <f t="shared" si="37"/>
        <v>742</v>
      </c>
      <c r="B745" s="56" t="str">
        <f t="shared" si="45"/>
        <v>HMa14</v>
      </c>
      <c r="C745" s="57" t="s">
        <v>1772</v>
      </c>
      <c r="D745" s="56" t="s">
        <v>117</v>
      </c>
      <c r="E745" s="56" t="s">
        <v>140</v>
      </c>
      <c r="F745" s="56" t="s">
        <v>18</v>
      </c>
      <c r="G745" s="58" t="s">
        <v>118</v>
      </c>
      <c r="H745" s="56" t="s">
        <v>118</v>
      </c>
      <c r="I745" s="59">
        <v>17698.0</v>
      </c>
      <c r="J745" s="56">
        <f t="shared" si="50"/>
        <v>77</v>
      </c>
      <c r="K745" s="56">
        <v>3.314023497E9</v>
      </c>
      <c r="L745" s="60" t="s">
        <v>1768</v>
      </c>
      <c r="M745" s="59"/>
      <c r="N745" s="60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8.75" hidden="1" customHeight="1">
      <c r="A746" s="56">
        <f t="shared" si="37"/>
        <v>743</v>
      </c>
      <c r="B746" s="56" t="str">
        <f t="shared" si="45"/>
        <v>MB189</v>
      </c>
      <c r="C746" s="57" t="s">
        <v>1773</v>
      </c>
      <c r="D746" s="56" t="s">
        <v>128</v>
      </c>
      <c r="E746" s="56" t="s">
        <v>40</v>
      </c>
      <c r="F746" s="56" t="s">
        <v>7</v>
      </c>
      <c r="G746" s="56" t="s">
        <v>118</v>
      </c>
      <c r="H746" s="56" t="s">
        <v>118</v>
      </c>
      <c r="I746" s="59">
        <v>37268.0</v>
      </c>
      <c r="J746" s="56">
        <f t="shared" si="50"/>
        <v>24</v>
      </c>
      <c r="K746" s="56">
        <v>3.322034269E9</v>
      </c>
      <c r="L746" s="60" t="s">
        <v>1774</v>
      </c>
      <c r="M746" s="59"/>
      <c r="N746" s="60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8.75" customHeight="1">
      <c r="A747" s="56">
        <f t="shared" si="37"/>
        <v>744</v>
      </c>
      <c r="B747" s="56" t="str">
        <f t="shared" si="45"/>
        <v>MJ52</v>
      </c>
      <c r="C747" s="57" t="s">
        <v>1775</v>
      </c>
      <c r="D747" s="56" t="s">
        <v>128</v>
      </c>
      <c r="E747" s="56" t="s">
        <v>140</v>
      </c>
      <c r="F747" s="56" t="s">
        <v>30</v>
      </c>
      <c r="G747" s="58" t="s">
        <v>118</v>
      </c>
      <c r="H747" s="56" t="s">
        <v>165</v>
      </c>
      <c r="I747" s="59">
        <v>18676.0</v>
      </c>
      <c r="J747" s="56">
        <f t="shared" si="50"/>
        <v>75</v>
      </c>
      <c r="K747" s="56">
        <v>3.316918308E9</v>
      </c>
      <c r="L747" s="60" t="s">
        <v>1776</v>
      </c>
      <c r="M747" s="59"/>
      <c r="N747" s="71" t="s">
        <v>1777</v>
      </c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8.75" customHeight="1">
      <c r="A748" s="56">
        <f t="shared" si="37"/>
        <v>745</v>
      </c>
      <c r="B748" s="56" t="str">
        <f t="shared" si="45"/>
        <v>HMa15</v>
      </c>
      <c r="C748" s="57" t="s">
        <v>1778</v>
      </c>
      <c r="D748" s="56" t="s">
        <v>117</v>
      </c>
      <c r="E748" s="56" t="s">
        <v>16</v>
      </c>
      <c r="F748" s="56" t="s">
        <v>18</v>
      </c>
      <c r="G748" s="56"/>
      <c r="H748" s="56" t="s">
        <v>118</v>
      </c>
      <c r="I748" s="59">
        <v>26557.0</v>
      </c>
      <c r="J748" s="56">
        <f t="shared" si="50"/>
        <v>53</v>
      </c>
      <c r="K748" s="56">
        <v>3.331585771E9</v>
      </c>
      <c r="L748" s="60" t="s">
        <v>1779</v>
      </c>
      <c r="M748" s="59">
        <v>43774.0</v>
      </c>
      <c r="N748" s="60" t="s">
        <v>1780</v>
      </c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8.75" hidden="1" customHeight="1">
      <c r="A749" s="56">
        <f t="shared" si="37"/>
        <v>746</v>
      </c>
      <c r="B749" s="56" t="str">
        <f t="shared" si="45"/>
        <v>HB188</v>
      </c>
      <c r="C749" s="57" t="s">
        <v>1781</v>
      </c>
      <c r="D749" s="56" t="s">
        <v>117</v>
      </c>
      <c r="E749" s="56" t="s">
        <v>40</v>
      </c>
      <c r="F749" s="58" t="s">
        <v>7</v>
      </c>
      <c r="G749" s="56" t="s">
        <v>118</v>
      </c>
      <c r="H749" s="56" t="s">
        <v>118</v>
      </c>
      <c r="I749" s="59">
        <v>36344.0</v>
      </c>
      <c r="J749" s="56">
        <f t="shared" si="50"/>
        <v>26</v>
      </c>
      <c r="K749" s="56">
        <v>3.32113104E9</v>
      </c>
      <c r="L749" s="60" t="s">
        <v>1782</v>
      </c>
      <c r="M749" s="59"/>
      <c r="N749" s="60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8.75" customHeight="1">
      <c r="A750" s="56">
        <f t="shared" si="37"/>
        <v>747</v>
      </c>
      <c r="B750" s="56" t="str">
        <f t="shared" si="45"/>
        <v>MJ53</v>
      </c>
      <c r="C750" s="57" t="s">
        <v>1783</v>
      </c>
      <c r="D750" s="56" t="s">
        <v>128</v>
      </c>
      <c r="E750" s="56" t="s">
        <v>16</v>
      </c>
      <c r="F750" s="58" t="s">
        <v>30</v>
      </c>
      <c r="G750" s="56" t="s">
        <v>118</v>
      </c>
      <c r="H750" s="56" t="s">
        <v>118</v>
      </c>
      <c r="I750" s="59">
        <v>26058.0</v>
      </c>
      <c r="J750" s="56">
        <f t="shared" si="50"/>
        <v>54</v>
      </c>
      <c r="K750" s="56">
        <v>3.32701633E9</v>
      </c>
      <c r="L750" s="60" t="s">
        <v>1784</v>
      </c>
      <c r="M750" s="59">
        <v>43812.0</v>
      </c>
      <c r="N750" s="71" t="s">
        <v>1785</v>
      </c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8.75" hidden="1" customHeight="1">
      <c r="A751" s="56">
        <f t="shared" si="37"/>
        <v>748</v>
      </c>
      <c r="B751" s="56" t="str">
        <f t="shared" si="45"/>
        <v>MB190</v>
      </c>
      <c r="C751" s="57" t="s">
        <v>1786</v>
      </c>
      <c r="D751" s="56" t="s">
        <v>128</v>
      </c>
      <c r="E751" s="56" t="s">
        <v>40</v>
      </c>
      <c r="F751" s="58" t="s">
        <v>7</v>
      </c>
      <c r="G751" s="56" t="s">
        <v>118</v>
      </c>
      <c r="H751" s="56"/>
      <c r="I751" s="59">
        <v>32509.0</v>
      </c>
      <c r="J751" s="56">
        <f t="shared" si="50"/>
        <v>37</v>
      </c>
      <c r="K751" s="56"/>
      <c r="L751" s="60" t="s">
        <v>602</v>
      </c>
      <c r="M751" s="59"/>
      <c r="N751" s="60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8.75" customHeight="1">
      <c r="A752" s="56">
        <f t="shared" si="37"/>
        <v>749</v>
      </c>
      <c r="B752" s="56" t="str">
        <f t="shared" si="45"/>
        <v>HMa16</v>
      </c>
      <c r="C752" s="57" t="s">
        <v>1787</v>
      </c>
      <c r="D752" s="56" t="s">
        <v>117</v>
      </c>
      <c r="E752" s="56" t="s">
        <v>22</v>
      </c>
      <c r="F752" s="56" t="s">
        <v>18</v>
      </c>
      <c r="G752" s="58" t="s">
        <v>118</v>
      </c>
      <c r="H752" s="56" t="s">
        <v>118</v>
      </c>
      <c r="I752" s="59">
        <v>28864.0</v>
      </c>
      <c r="J752" s="56">
        <f t="shared" si="50"/>
        <v>47</v>
      </c>
      <c r="K752" s="56">
        <v>3.325615125E9</v>
      </c>
      <c r="L752" s="60" t="s">
        <v>1788</v>
      </c>
      <c r="M752" s="59">
        <v>43718.0</v>
      </c>
      <c r="N752" s="60" t="s">
        <v>209</v>
      </c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8.75" hidden="1" customHeight="1">
      <c r="A753" s="56">
        <f t="shared" si="37"/>
        <v>750</v>
      </c>
      <c r="B753" s="56" t="str">
        <f t="shared" si="45"/>
        <v>HB189</v>
      </c>
      <c r="C753" s="57" t="s">
        <v>1789</v>
      </c>
      <c r="D753" s="56" t="s">
        <v>117</v>
      </c>
      <c r="E753" s="56" t="s">
        <v>40</v>
      </c>
      <c r="F753" s="58" t="s">
        <v>7</v>
      </c>
      <c r="G753" s="56"/>
      <c r="H753" s="56" t="s">
        <v>118</v>
      </c>
      <c r="I753" s="59">
        <v>37990.0</v>
      </c>
      <c r="J753" s="56">
        <f t="shared" si="50"/>
        <v>22</v>
      </c>
      <c r="K753" s="56"/>
      <c r="L753" s="60" t="s">
        <v>1790</v>
      </c>
      <c r="M753" s="59">
        <v>43662.0</v>
      </c>
      <c r="N753" s="60" t="s">
        <v>233</v>
      </c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8.75" customHeight="1">
      <c r="A754" s="56">
        <f t="shared" si="37"/>
        <v>751</v>
      </c>
      <c r="B754" s="56" t="str">
        <f t="shared" si="45"/>
        <v>MS38</v>
      </c>
      <c r="C754" s="57" t="s">
        <v>1791</v>
      </c>
      <c r="D754" s="56" t="s">
        <v>128</v>
      </c>
      <c r="E754" s="56" t="s">
        <v>34</v>
      </c>
      <c r="F754" s="56" t="s">
        <v>43</v>
      </c>
      <c r="G754" s="58" t="s">
        <v>118</v>
      </c>
      <c r="H754" s="56"/>
      <c r="I754" s="59">
        <v>24148.0</v>
      </c>
      <c r="J754" s="56">
        <f t="shared" si="50"/>
        <v>60</v>
      </c>
      <c r="K754" s="56">
        <v>3.310630633E9</v>
      </c>
      <c r="L754" s="60" t="s">
        <v>1792</v>
      </c>
      <c r="M754" s="59"/>
      <c r="N754" s="71" t="s">
        <v>1793</v>
      </c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8.75" hidden="1" customHeight="1">
      <c r="A755" s="56">
        <f t="shared" si="37"/>
        <v>752</v>
      </c>
      <c r="B755" s="56" t="str">
        <f t="shared" si="45"/>
        <v>MB191</v>
      </c>
      <c r="C755" s="57" t="s">
        <v>1794</v>
      </c>
      <c r="D755" s="56" t="s">
        <v>128</v>
      </c>
      <c r="E755" s="56" t="s">
        <v>16</v>
      </c>
      <c r="F755" s="56" t="s">
        <v>7</v>
      </c>
      <c r="G755" s="56" t="s">
        <v>118</v>
      </c>
      <c r="H755" s="56" t="s">
        <v>118</v>
      </c>
      <c r="I755" s="59">
        <v>24316.0</v>
      </c>
      <c r="J755" s="56">
        <f t="shared" si="50"/>
        <v>59</v>
      </c>
      <c r="K755" s="56">
        <v>3.31319631E9</v>
      </c>
      <c r="L755" s="60" t="s">
        <v>1795</v>
      </c>
      <c r="M755" s="59">
        <v>43103.0</v>
      </c>
      <c r="N755" s="60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8.75" hidden="1" customHeight="1">
      <c r="A756" s="56">
        <f t="shared" si="37"/>
        <v>753</v>
      </c>
      <c r="B756" s="56" t="str">
        <f t="shared" si="45"/>
        <v>MB192</v>
      </c>
      <c r="C756" s="57" t="s">
        <v>1796</v>
      </c>
      <c r="D756" s="56" t="s">
        <v>128</v>
      </c>
      <c r="E756" s="56" t="s">
        <v>40</v>
      </c>
      <c r="F756" s="56" t="s">
        <v>7</v>
      </c>
      <c r="G756" s="56" t="s">
        <v>118</v>
      </c>
      <c r="H756" s="56" t="s">
        <v>118</v>
      </c>
      <c r="I756" s="59">
        <v>36451.0</v>
      </c>
      <c r="J756" s="56">
        <f t="shared" si="50"/>
        <v>26</v>
      </c>
      <c r="K756" s="56">
        <v>3.331048587E9</v>
      </c>
      <c r="L756" s="60" t="s">
        <v>1797</v>
      </c>
      <c r="M756" s="59"/>
      <c r="N756" s="60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8.75" hidden="1" customHeight="1">
      <c r="A757" s="56">
        <f t="shared" si="37"/>
        <v>754</v>
      </c>
      <c r="B757" s="56" t="str">
        <f t="shared" si="45"/>
        <v>MB193</v>
      </c>
      <c r="C757" s="57" t="s">
        <v>1798</v>
      </c>
      <c r="D757" s="56" t="s">
        <v>128</v>
      </c>
      <c r="E757" s="56" t="s">
        <v>34</v>
      </c>
      <c r="F757" s="58" t="s">
        <v>7</v>
      </c>
      <c r="G757" s="56" t="s">
        <v>118</v>
      </c>
      <c r="H757" s="56" t="s">
        <v>118</v>
      </c>
      <c r="I757" s="59">
        <v>34550.0</v>
      </c>
      <c r="J757" s="56">
        <f t="shared" si="50"/>
        <v>31</v>
      </c>
      <c r="K757" s="56">
        <v>3.339032821E9</v>
      </c>
      <c r="L757" s="60" t="s">
        <v>1799</v>
      </c>
      <c r="M757" s="59"/>
      <c r="N757" s="60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8.75" hidden="1" customHeight="1">
      <c r="A758" s="56">
        <f t="shared" si="37"/>
        <v>755</v>
      </c>
      <c r="B758" s="56" t="str">
        <f t="shared" si="45"/>
        <v>HB190</v>
      </c>
      <c r="C758" s="57" t="s">
        <v>1800</v>
      </c>
      <c r="D758" s="56" t="s">
        <v>117</v>
      </c>
      <c r="E758" s="56" t="s">
        <v>40</v>
      </c>
      <c r="F758" s="58" t="s">
        <v>7</v>
      </c>
      <c r="G758" s="56"/>
      <c r="H758" s="56" t="s">
        <v>118</v>
      </c>
      <c r="I758" s="59">
        <v>39344.0</v>
      </c>
      <c r="J758" s="56">
        <f t="shared" si="50"/>
        <v>18</v>
      </c>
      <c r="K758" s="56"/>
      <c r="L758" s="60" t="s">
        <v>1801</v>
      </c>
      <c r="M758" s="59">
        <v>44617.0</v>
      </c>
      <c r="N758" s="60" t="s">
        <v>493</v>
      </c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8.75" customHeight="1">
      <c r="A759" s="43">
        <f t="shared" si="37"/>
        <v>756</v>
      </c>
      <c r="B759" s="43" t="str">
        <f t="shared" si="45"/>
        <v>HV19</v>
      </c>
      <c r="C759" s="55" t="s">
        <v>1802</v>
      </c>
      <c r="D759" s="43" t="s">
        <v>117</v>
      </c>
      <c r="E759" s="43" t="s">
        <v>140</v>
      </c>
      <c r="F759" s="43" t="s">
        <v>36</v>
      </c>
      <c r="G759" s="45" t="s">
        <v>118</v>
      </c>
      <c r="H759" s="43" t="s">
        <v>118</v>
      </c>
      <c r="I759" s="46">
        <v>16984.0</v>
      </c>
      <c r="J759" s="43">
        <f t="shared" si="50"/>
        <v>79</v>
      </c>
      <c r="K759" s="43">
        <v>3.319614117E9</v>
      </c>
      <c r="L759" s="47" t="s">
        <v>1803</v>
      </c>
      <c r="M759" s="46"/>
      <c r="N759" s="48" t="s">
        <v>1583</v>
      </c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8.75" hidden="1" customHeight="1">
      <c r="A760" s="56">
        <f t="shared" si="37"/>
        <v>757</v>
      </c>
      <c r="B760" s="56" t="str">
        <f t="shared" si="45"/>
        <v>MB194</v>
      </c>
      <c r="C760" s="57" t="s">
        <v>1804</v>
      </c>
      <c r="D760" s="56" t="s">
        <v>128</v>
      </c>
      <c r="E760" s="56" t="s">
        <v>34</v>
      </c>
      <c r="F760" s="58" t="s">
        <v>7</v>
      </c>
      <c r="G760" s="56" t="s">
        <v>118</v>
      </c>
      <c r="H760" s="56" t="s">
        <v>118</v>
      </c>
      <c r="I760" s="59">
        <v>20898.0</v>
      </c>
      <c r="J760" s="56">
        <f t="shared" si="50"/>
        <v>69</v>
      </c>
      <c r="K760" s="56">
        <v>3.310910185E9</v>
      </c>
      <c r="L760" s="60" t="s">
        <v>1805</v>
      </c>
      <c r="M760" s="59"/>
      <c r="N760" s="60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8.75" customHeight="1">
      <c r="A761" s="56">
        <f t="shared" si="37"/>
        <v>758</v>
      </c>
      <c r="B761" s="56" t="str">
        <f t="shared" si="45"/>
        <v>ML33</v>
      </c>
      <c r="C761" s="81" t="s">
        <v>1806</v>
      </c>
      <c r="D761" s="56" t="s">
        <v>128</v>
      </c>
      <c r="E761" s="56" t="s">
        <v>22</v>
      </c>
      <c r="F761" s="56" t="s">
        <v>12</v>
      </c>
      <c r="G761" s="58" t="s">
        <v>118</v>
      </c>
      <c r="H761" s="56"/>
      <c r="I761" s="59">
        <v>27091.0</v>
      </c>
      <c r="J761" s="56">
        <f t="shared" si="50"/>
        <v>52</v>
      </c>
      <c r="K761" s="56">
        <v>3.310129519E9</v>
      </c>
      <c r="L761" s="60"/>
      <c r="M761" s="59">
        <v>43017.0</v>
      </c>
      <c r="N761" s="60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8.75" customHeight="1">
      <c r="A762" s="56">
        <f t="shared" si="37"/>
        <v>759</v>
      </c>
      <c r="B762" s="56" t="str">
        <f t="shared" si="45"/>
        <v>HJ20</v>
      </c>
      <c r="C762" s="57" t="s">
        <v>1807</v>
      </c>
      <c r="D762" s="56" t="s">
        <v>117</v>
      </c>
      <c r="E762" s="56" t="s">
        <v>140</v>
      </c>
      <c r="F762" s="56" t="s">
        <v>30</v>
      </c>
      <c r="G762" s="58" t="s">
        <v>118</v>
      </c>
      <c r="H762" s="56" t="s">
        <v>118</v>
      </c>
      <c r="I762" s="59">
        <v>24048.0</v>
      </c>
      <c r="J762" s="56">
        <f t="shared" si="50"/>
        <v>60</v>
      </c>
      <c r="K762" s="56">
        <v>3.310094665E9</v>
      </c>
      <c r="L762" s="60" t="s">
        <v>1808</v>
      </c>
      <c r="M762" s="59"/>
      <c r="N762" s="71" t="s">
        <v>1417</v>
      </c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8.75" hidden="1" customHeight="1">
      <c r="A763" s="56">
        <f t="shared" si="37"/>
        <v>760</v>
      </c>
      <c r="B763" s="56" t="str">
        <f t="shared" si="45"/>
        <v>HB191</v>
      </c>
      <c r="C763" s="57" t="s">
        <v>1809</v>
      </c>
      <c r="D763" s="56" t="s">
        <v>117</v>
      </c>
      <c r="E763" s="56" t="s">
        <v>40</v>
      </c>
      <c r="F763" s="58" t="s">
        <v>7</v>
      </c>
      <c r="G763" s="56"/>
      <c r="H763" s="56" t="s">
        <v>118</v>
      </c>
      <c r="I763" s="59">
        <v>38380.0</v>
      </c>
      <c r="J763" s="56">
        <f t="shared" si="50"/>
        <v>21</v>
      </c>
      <c r="K763" s="56">
        <v>7.443126912E9</v>
      </c>
      <c r="L763" s="60" t="s">
        <v>1810</v>
      </c>
      <c r="M763" s="59">
        <v>43513.0</v>
      </c>
      <c r="N763" s="60" t="s">
        <v>202</v>
      </c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8.75" hidden="1" customHeight="1">
      <c r="A764" s="56">
        <f t="shared" si="37"/>
        <v>761</v>
      </c>
      <c r="B764" s="56" t="str">
        <f t="shared" si="45"/>
        <v>HB192</v>
      </c>
      <c r="C764" s="57" t="s">
        <v>1811</v>
      </c>
      <c r="D764" s="56" t="s">
        <v>117</v>
      </c>
      <c r="E764" s="56" t="s">
        <v>28</v>
      </c>
      <c r="F764" s="56" t="s">
        <v>7</v>
      </c>
      <c r="G764" s="56" t="s">
        <v>118</v>
      </c>
      <c r="H764" s="56" t="s">
        <v>118</v>
      </c>
      <c r="I764" s="59">
        <v>32653.0</v>
      </c>
      <c r="J764" s="56">
        <f t="shared" si="50"/>
        <v>36</v>
      </c>
      <c r="K764" s="56">
        <v>2.228507139E9</v>
      </c>
      <c r="L764" s="60" t="s">
        <v>1812</v>
      </c>
      <c r="M764" s="59">
        <v>43752.0</v>
      </c>
      <c r="N764" s="60" t="s">
        <v>1813</v>
      </c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8.75" hidden="1" customHeight="1">
      <c r="A765" s="56">
        <f t="shared" si="37"/>
        <v>762</v>
      </c>
      <c r="B765" s="56" t="str">
        <f>IF(C765="","",D765&amp;$F$761&amp;COUNTIFS($D$4:D765,$D$761,$F$4:F765,$F$761))</f>
        <v>HL33</v>
      </c>
      <c r="C765" s="72" t="s">
        <v>1814</v>
      </c>
      <c r="D765" s="58" t="s">
        <v>117</v>
      </c>
      <c r="E765" s="58" t="s">
        <v>40</v>
      </c>
      <c r="F765" s="58" t="s">
        <v>7</v>
      </c>
      <c r="G765" s="58" t="s">
        <v>165</v>
      </c>
      <c r="H765" s="58" t="s">
        <v>118</v>
      </c>
      <c r="I765" s="73">
        <v>39712.0</v>
      </c>
      <c r="J765" s="56">
        <f t="shared" ref="J765:J766" si="51">IF($C$761="","",DATEDIF(I765,TODAY(),"Y"))</f>
        <v>17</v>
      </c>
      <c r="K765" s="58">
        <v>3.332707335E9</v>
      </c>
      <c r="L765" s="71" t="s">
        <v>1815</v>
      </c>
      <c r="M765" s="73">
        <v>45425.0</v>
      </c>
      <c r="N765" s="60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8.75" customHeight="1">
      <c r="A766" s="56">
        <f t="shared" si="37"/>
        <v>763</v>
      </c>
      <c r="B766" s="56" t="str">
        <f t="shared" ref="B766:B784" si="52">IF(C766="","",D766&amp;F766&amp;COUNTIFS($D$4:D766,D766,$F$4:F766,F766))</f>
        <v>MS39</v>
      </c>
      <c r="C766" s="72" t="s">
        <v>1816</v>
      </c>
      <c r="D766" s="58" t="s">
        <v>128</v>
      </c>
      <c r="E766" s="58" t="s">
        <v>40</v>
      </c>
      <c r="F766" s="58" t="s">
        <v>43</v>
      </c>
      <c r="G766" s="58" t="s">
        <v>118</v>
      </c>
      <c r="H766" s="58" t="s">
        <v>118</v>
      </c>
      <c r="I766" s="73">
        <v>40115.0</v>
      </c>
      <c r="J766" s="56">
        <f t="shared" si="51"/>
        <v>16</v>
      </c>
      <c r="K766" s="58">
        <v>3.321316036E9</v>
      </c>
      <c r="L766" s="71" t="s">
        <v>1815</v>
      </c>
      <c r="M766" s="73">
        <v>45425.0</v>
      </c>
      <c r="N766" s="60" t="s">
        <v>300</v>
      </c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8.75" hidden="1" customHeight="1">
      <c r="A767" s="56">
        <f t="shared" si="37"/>
        <v>764</v>
      </c>
      <c r="B767" s="56" t="str">
        <f t="shared" si="52"/>
        <v>HB194</v>
      </c>
      <c r="C767" s="57" t="s">
        <v>1817</v>
      </c>
      <c r="D767" s="56" t="s">
        <v>117</v>
      </c>
      <c r="E767" s="56" t="s">
        <v>40</v>
      </c>
      <c r="F767" s="56" t="s">
        <v>7</v>
      </c>
      <c r="G767" s="56" t="s">
        <v>118</v>
      </c>
      <c r="H767" s="56" t="s">
        <v>118</v>
      </c>
      <c r="I767" s="59">
        <v>37752.0</v>
      </c>
      <c r="J767" s="56">
        <f t="shared" ref="J767:J776" si="53">IF(C767="","",DATEDIF(I767,TODAY(),"Y"))</f>
        <v>22</v>
      </c>
      <c r="K767" s="56"/>
      <c r="L767" s="60" t="s">
        <v>1818</v>
      </c>
      <c r="M767" s="59">
        <v>43636.0</v>
      </c>
      <c r="N767" s="60" t="s">
        <v>218</v>
      </c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8.75" hidden="1" customHeight="1">
      <c r="A768" s="56">
        <f t="shared" si="37"/>
        <v>765</v>
      </c>
      <c r="B768" s="56" t="str">
        <f t="shared" si="52"/>
        <v>HB195</v>
      </c>
      <c r="C768" s="57" t="s">
        <v>1819</v>
      </c>
      <c r="D768" s="56" t="s">
        <v>117</v>
      </c>
      <c r="E768" s="56" t="s">
        <v>16</v>
      </c>
      <c r="F768" s="56" t="s">
        <v>7</v>
      </c>
      <c r="G768" s="56" t="s">
        <v>118</v>
      </c>
      <c r="H768" s="56" t="s">
        <v>118</v>
      </c>
      <c r="I768" s="59">
        <v>26758.0</v>
      </c>
      <c r="J768" s="56">
        <f t="shared" si="53"/>
        <v>53</v>
      </c>
      <c r="K768" s="56">
        <v>3.31892786E9</v>
      </c>
      <c r="L768" s="60" t="s">
        <v>1820</v>
      </c>
      <c r="M768" s="59">
        <v>43405.0</v>
      </c>
      <c r="N768" s="60" t="s">
        <v>1780</v>
      </c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8.75" customHeight="1">
      <c r="A769" s="56">
        <f t="shared" si="37"/>
        <v>766</v>
      </c>
      <c r="B769" s="56" t="str">
        <f t="shared" si="52"/>
        <v>HL22</v>
      </c>
      <c r="C769" s="57" t="s">
        <v>1821</v>
      </c>
      <c r="D769" s="56" t="s">
        <v>117</v>
      </c>
      <c r="E769" s="56" t="s">
        <v>40</v>
      </c>
      <c r="F769" s="58" t="s">
        <v>12</v>
      </c>
      <c r="G769" s="56" t="s">
        <v>118</v>
      </c>
      <c r="H769" s="56" t="s">
        <v>118</v>
      </c>
      <c r="I769" s="59">
        <v>38661.0</v>
      </c>
      <c r="J769" s="56">
        <f t="shared" si="53"/>
        <v>20</v>
      </c>
      <c r="K769" s="56"/>
      <c r="L769" s="60" t="s">
        <v>1281</v>
      </c>
      <c r="M769" s="59">
        <v>43788.0</v>
      </c>
      <c r="N769" s="60" t="s">
        <v>1822</v>
      </c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8.75" customHeight="1">
      <c r="A770" s="56">
        <f t="shared" si="37"/>
        <v>767</v>
      </c>
      <c r="B770" s="56" t="str">
        <f t="shared" si="52"/>
        <v>HMi6</v>
      </c>
      <c r="C770" s="57" t="s">
        <v>1823</v>
      </c>
      <c r="D770" s="56" t="s">
        <v>117</v>
      </c>
      <c r="E770" s="56" t="s">
        <v>40</v>
      </c>
      <c r="F770" s="56" t="s">
        <v>24</v>
      </c>
      <c r="G770" s="56"/>
      <c r="H770" s="56" t="s">
        <v>118</v>
      </c>
      <c r="I770" s="59">
        <v>39640.0</v>
      </c>
      <c r="J770" s="56">
        <f t="shared" si="53"/>
        <v>17</v>
      </c>
      <c r="K770" s="56"/>
      <c r="L770" s="60" t="s">
        <v>1281</v>
      </c>
      <c r="M770" s="59">
        <v>44760.0</v>
      </c>
      <c r="N770" s="60" t="s">
        <v>1824</v>
      </c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8.75" customHeight="1">
      <c r="A771" s="56">
        <f t="shared" si="37"/>
        <v>768</v>
      </c>
      <c r="B771" s="56" t="str">
        <f t="shared" si="52"/>
        <v>HS34</v>
      </c>
      <c r="C771" s="57" t="s">
        <v>1825</v>
      </c>
      <c r="D771" s="56" t="s">
        <v>117</v>
      </c>
      <c r="E771" s="56" t="s">
        <v>40</v>
      </c>
      <c r="F771" s="56" t="s">
        <v>43</v>
      </c>
      <c r="G771" s="56"/>
      <c r="H771" s="56" t="s">
        <v>118</v>
      </c>
      <c r="I771" s="59">
        <v>38581.0</v>
      </c>
      <c r="J771" s="56">
        <f t="shared" si="53"/>
        <v>20</v>
      </c>
      <c r="K771" s="56">
        <v>3.310141723E9</v>
      </c>
      <c r="L771" s="60" t="s">
        <v>1826</v>
      </c>
      <c r="M771" s="59">
        <v>43663.0</v>
      </c>
      <c r="N771" s="60" t="s">
        <v>233</v>
      </c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8.75" hidden="1" customHeight="1">
      <c r="A772" s="56">
        <f t="shared" si="37"/>
        <v>769</v>
      </c>
      <c r="B772" s="56" t="str">
        <f t="shared" si="52"/>
        <v>MB195</v>
      </c>
      <c r="C772" s="57" t="s">
        <v>1827</v>
      </c>
      <c r="D772" s="56" t="s">
        <v>128</v>
      </c>
      <c r="E772" s="56" t="s">
        <v>16</v>
      </c>
      <c r="F772" s="58" t="s">
        <v>7</v>
      </c>
      <c r="G772" s="56" t="s">
        <v>118</v>
      </c>
      <c r="H772" s="56" t="s">
        <v>118</v>
      </c>
      <c r="I772" s="59">
        <v>25335.0</v>
      </c>
      <c r="J772" s="56">
        <f t="shared" si="53"/>
        <v>56</v>
      </c>
      <c r="K772" s="56">
        <v>3.313735995E9</v>
      </c>
      <c r="L772" s="60"/>
      <c r="M772" s="59">
        <v>39264.0</v>
      </c>
      <c r="N772" s="60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8.75" customHeight="1">
      <c r="A773" s="56">
        <f t="shared" si="37"/>
        <v>770</v>
      </c>
      <c r="B773" s="56" t="str">
        <f t="shared" si="52"/>
        <v>MMi24</v>
      </c>
      <c r="C773" s="57" t="s">
        <v>1828</v>
      </c>
      <c r="D773" s="56" t="s">
        <v>128</v>
      </c>
      <c r="E773" s="56" t="s">
        <v>34</v>
      </c>
      <c r="F773" s="56" t="s">
        <v>24</v>
      </c>
      <c r="G773" s="58" t="s">
        <v>118</v>
      </c>
      <c r="H773" s="56" t="s">
        <v>118</v>
      </c>
      <c r="I773" s="59">
        <v>17009.0</v>
      </c>
      <c r="J773" s="56">
        <f t="shared" si="53"/>
        <v>79</v>
      </c>
      <c r="K773" s="56">
        <v>3.333990938E9</v>
      </c>
      <c r="L773" s="60" t="s">
        <v>1829</v>
      </c>
      <c r="M773" s="59"/>
      <c r="N773" s="60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8.75" hidden="1" customHeight="1">
      <c r="A774" s="56">
        <f t="shared" si="37"/>
        <v>771</v>
      </c>
      <c r="B774" s="56" t="str">
        <f t="shared" si="52"/>
        <v>HB196</v>
      </c>
      <c r="C774" s="57" t="s">
        <v>1830</v>
      </c>
      <c r="D774" s="56" t="s">
        <v>117</v>
      </c>
      <c r="E774" s="56" t="s">
        <v>140</v>
      </c>
      <c r="F774" s="56" t="s">
        <v>7</v>
      </c>
      <c r="G774" s="56" t="s">
        <v>118</v>
      </c>
      <c r="H774" s="56" t="s">
        <v>118</v>
      </c>
      <c r="I774" s="59">
        <v>20108.0</v>
      </c>
      <c r="J774" s="56">
        <f t="shared" si="53"/>
        <v>71</v>
      </c>
      <c r="K774" s="56">
        <v>3.312362159E9</v>
      </c>
      <c r="L774" s="60" t="s">
        <v>1831</v>
      </c>
      <c r="M774" s="59"/>
      <c r="N774" s="60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8.75" customHeight="1">
      <c r="A775" s="56">
        <f t="shared" si="37"/>
        <v>772</v>
      </c>
      <c r="B775" s="56" t="str">
        <f t="shared" si="52"/>
        <v>MV37</v>
      </c>
      <c r="C775" s="57" t="s">
        <v>1832</v>
      </c>
      <c r="D775" s="56" t="s">
        <v>128</v>
      </c>
      <c r="E775" s="56" t="s">
        <v>16</v>
      </c>
      <c r="F775" s="56" t="s">
        <v>36</v>
      </c>
      <c r="G775" s="56"/>
      <c r="H775" s="56" t="s">
        <v>118</v>
      </c>
      <c r="I775" s="59">
        <v>25090.0</v>
      </c>
      <c r="J775" s="56">
        <f t="shared" si="53"/>
        <v>57</v>
      </c>
      <c r="K775" s="56">
        <v>3.326750283E9</v>
      </c>
      <c r="L775" s="60" t="s">
        <v>1833</v>
      </c>
      <c r="M775" s="59">
        <v>43986.0</v>
      </c>
      <c r="N775" s="60" t="s">
        <v>1406</v>
      </c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8.75" customHeight="1">
      <c r="A776" s="56">
        <f t="shared" si="37"/>
        <v>773</v>
      </c>
      <c r="B776" s="56" t="str">
        <f t="shared" si="52"/>
        <v>HS35</v>
      </c>
      <c r="C776" s="57" t="s">
        <v>1834</v>
      </c>
      <c r="D776" s="56" t="s">
        <v>117</v>
      </c>
      <c r="E776" s="56" t="s">
        <v>40</v>
      </c>
      <c r="F776" s="56" t="s">
        <v>43</v>
      </c>
      <c r="G776" s="56"/>
      <c r="H776" s="56" t="s">
        <v>118</v>
      </c>
      <c r="I776" s="59">
        <v>38849.0</v>
      </c>
      <c r="J776" s="56">
        <f t="shared" si="53"/>
        <v>19</v>
      </c>
      <c r="K776" s="56">
        <v>3.311663692E9</v>
      </c>
      <c r="L776" s="60" t="s">
        <v>1835</v>
      </c>
      <c r="M776" s="59">
        <v>45171.0</v>
      </c>
      <c r="N776" s="60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8.75" customHeight="1">
      <c r="A777" s="56">
        <f t="shared" si="37"/>
        <v>774</v>
      </c>
      <c r="B777" s="56" t="str">
        <f t="shared" si="52"/>
        <v>MS40</v>
      </c>
      <c r="C777" s="72" t="s">
        <v>1836</v>
      </c>
      <c r="D777" s="58" t="s">
        <v>128</v>
      </c>
      <c r="E777" s="58" t="s">
        <v>40</v>
      </c>
      <c r="F777" s="58" t="s">
        <v>43</v>
      </c>
      <c r="G777" s="58"/>
      <c r="H777" s="58" t="s">
        <v>118</v>
      </c>
      <c r="I777" s="73">
        <v>40007.0</v>
      </c>
      <c r="J777" s="56">
        <f>IF($C$761="","",DATEDIF(I777,TODAY(),"Y"))</f>
        <v>16</v>
      </c>
      <c r="K777" s="58">
        <v>3.316967762E9</v>
      </c>
      <c r="L777" s="71" t="s">
        <v>1837</v>
      </c>
      <c r="M777" s="73">
        <v>45385.0</v>
      </c>
      <c r="N777" s="60" t="s">
        <v>300</v>
      </c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8.75" hidden="1" customHeight="1">
      <c r="A778" s="56">
        <f t="shared" si="37"/>
        <v>775</v>
      </c>
      <c r="B778" s="56" t="str">
        <f t="shared" si="52"/>
        <v>MB196</v>
      </c>
      <c r="C778" s="57" t="s">
        <v>1838</v>
      </c>
      <c r="D778" s="56" t="s">
        <v>128</v>
      </c>
      <c r="E778" s="56" t="s">
        <v>16</v>
      </c>
      <c r="F778" s="56" t="s">
        <v>7</v>
      </c>
      <c r="G778" s="56" t="s">
        <v>118</v>
      </c>
      <c r="H778" s="56" t="s">
        <v>118</v>
      </c>
      <c r="I778" s="59">
        <v>24268.0</v>
      </c>
      <c r="J778" s="56">
        <f t="shared" ref="J778:J784" si="54">IF(C778="","",DATEDIF(I778,TODAY(),"Y"))</f>
        <v>59</v>
      </c>
      <c r="K778" s="56">
        <v>3.32460688E9</v>
      </c>
      <c r="L778" s="60" t="s">
        <v>1839</v>
      </c>
      <c r="M778" s="59">
        <v>43025.0</v>
      </c>
      <c r="N778" s="60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8.75" hidden="1" customHeight="1">
      <c r="A779" s="56">
        <f t="shared" si="37"/>
        <v>776</v>
      </c>
      <c r="B779" s="56" t="str">
        <f t="shared" si="52"/>
        <v>HB197</v>
      </c>
      <c r="C779" s="57" t="s">
        <v>1840</v>
      </c>
      <c r="D779" s="56" t="s">
        <v>117</v>
      </c>
      <c r="E779" s="56" t="s">
        <v>40</v>
      </c>
      <c r="F779" s="56" t="s">
        <v>7</v>
      </c>
      <c r="G779" s="56" t="s">
        <v>118</v>
      </c>
      <c r="H779" s="56" t="s">
        <v>118</v>
      </c>
      <c r="I779" s="59">
        <v>34223.0</v>
      </c>
      <c r="J779" s="56">
        <f t="shared" si="54"/>
        <v>32</v>
      </c>
      <c r="K779" s="56">
        <v>3.317366742E9</v>
      </c>
      <c r="L779" s="60" t="s">
        <v>1841</v>
      </c>
      <c r="M779" s="59"/>
      <c r="N779" s="60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8.75" customHeight="1">
      <c r="A780" s="56">
        <f t="shared" si="37"/>
        <v>777</v>
      </c>
      <c r="B780" s="56" t="str">
        <f t="shared" si="52"/>
        <v>MS41</v>
      </c>
      <c r="C780" s="57" t="s">
        <v>1842</v>
      </c>
      <c r="D780" s="56" t="s">
        <v>128</v>
      </c>
      <c r="E780" s="56" t="s">
        <v>34</v>
      </c>
      <c r="F780" s="56" t="s">
        <v>43</v>
      </c>
      <c r="G780" s="58" t="s">
        <v>118</v>
      </c>
      <c r="H780" s="56" t="s">
        <v>118</v>
      </c>
      <c r="I780" s="59">
        <v>18881.0</v>
      </c>
      <c r="J780" s="56">
        <f t="shared" si="54"/>
        <v>74</v>
      </c>
      <c r="K780" s="56">
        <v>3.315463541E9</v>
      </c>
      <c r="L780" s="60" t="s">
        <v>1843</v>
      </c>
      <c r="M780" s="59"/>
      <c r="N780" s="71" t="s">
        <v>1844</v>
      </c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8.75" hidden="1" customHeight="1">
      <c r="A781" s="56">
        <f t="shared" si="37"/>
        <v>778</v>
      </c>
      <c r="B781" s="56" t="str">
        <f t="shared" si="52"/>
        <v>HB198</v>
      </c>
      <c r="C781" s="57" t="s">
        <v>1845</v>
      </c>
      <c r="D781" s="56" t="s">
        <v>117</v>
      </c>
      <c r="E781" s="56" t="s">
        <v>40</v>
      </c>
      <c r="F781" s="58" t="s">
        <v>7</v>
      </c>
      <c r="G781" s="56" t="s">
        <v>118</v>
      </c>
      <c r="H781" s="56" t="s">
        <v>118</v>
      </c>
      <c r="I781" s="59">
        <v>37412.0</v>
      </c>
      <c r="J781" s="56">
        <f t="shared" si="54"/>
        <v>23</v>
      </c>
      <c r="K781" s="56">
        <v>3.333174881E9</v>
      </c>
      <c r="L781" s="60" t="s">
        <v>1846</v>
      </c>
      <c r="M781" s="59">
        <v>45019.0</v>
      </c>
      <c r="N781" s="60" t="s">
        <v>1847</v>
      </c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8.75" customHeight="1">
      <c r="A782" s="56">
        <f t="shared" si="37"/>
        <v>779</v>
      </c>
      <c r="B782" s="56" t="str">
        <f t="shared" si="52"/>
        <v>MJ54</v>
      </c>
      <c r="C782" s="57" t="s">
        <v>1848</v>
      </c>
      <c r="D782" s="56" t="s">
        <v>128</v>
      </c>
      <c r="E782" s="56" t="s">
        <v>140</v>
      </c>
      <c r="F782" s="56" t="s">
        <v>30</v>
      </c>
      <c r="G782" s="58" t="s">
        <v>118</v>
      </c>
      <c r="H782" s="56" t="s">
        <v>118</v>
      </c>
      <c r="I782" s="59">
        <v>23265.0</v>
      </c>
      <c r="J782" s="56">
        <f t="shared" si="54"/>
        <v>62</v>
      </c>
      <c r="K782" s="56">
        <v>3.311512522E9</v>
      </c>
      <c r="L782" s="60" t="s">
        <v>1849</v>
      </c>
      <c r="M782" s="59"/>
      <c r="N782" s="71" t="s">
        <v>142</v>
      </c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8.75" customHeight="1">
      <c r="A783" s="56">
        <f t="shared" si="37"/>
        <v>780</v>
      </c>
      <c r="B783" s="56" t="str">
        <f t="shared" si="52"/>
        <v>HJ21</v>
      </c>
      <c r="C783" s="57" t="s">
        <v>1850</v>
      </c>
      <c r="D783" s="56" t="s">
        <v>117</v>
      </c>
      <c r="E783" s="56" t="s">
        <v>16</v>
      </c>
      <c r="F783" s="56" t="s">
        <v>30</v>
      </c>
      <c r="G783" s="56"/>
      <c r="H783" s="56" t="s">
        <v>118</v>
      </c>
      <c r="I783" s="59">
        <v>20113.0</v>
      </c>
      <c r="J783" s="56">
        <f t="shared" si="54"/>
        <v>71</v>
      </c>
      <c r="K783" s="56">
        <v>3.322897438E9</v>
      </c>
      <c r="L783" s="60" t="s">
        <v>1008</v>
      </c>
      <c r="M783" s="59">
        <v>43824.0</v>
      </c>
      <c r="N783" s="60" t="s">
        <v>700</v>
      </c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8.75" hidden="1" customHeight="1">
      <c r="A784" s="56">
        <f t="shared" si="37"/>
        <v>781</v>
      </c>
      <c r="B784" s="56" t="str">
        <f t="shared" si="52"/>
        <v>MB197</v>
      </c>
      <c r="C784" s="57" t="s">
        <v>1851</v>
      </c>
      <c r="D784" s="56" t="s">
        <v>128</v>
      </c>
      <c r="E784" s="56" t="s">
        <v>40</v>
      </c>
      <c r="F784" s="56" t="s">
        <v>7</v>
      </c>
      <c r="G784" s="56" t="s">
        <v>118</v>
      </c>
      <c r="H784" s="56" t="s">
        <v>118</v>
      </c>
      <c r="I784" s="59">
        <v>33559.0</v>
      </c>
      <c r="J784" s="56">
        <f t="shared" si="54"/>
        <v>34</v>
      </c>
      <c r="K784" s="56">
        <v>3.321163E9</v>
      </c>
      <c r="L784" s="60" t="s">
        <v>1852</v>
      </c>
      <c r="M784" s="59">
        <v>43375.0</v>
      </c>
      <c r="N784" s="60" t="s">
        <v>486</v>
      </c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8.75" customHeight="1">
      <c r="A785" s="56">
        <f t="shared" si="37"/>
        <v>782</v>
      </c>
      <c r="B785" s="56" t="str">
        <f>IF(C785="","",D785&amp;$F$761&amp;COUNTIFS($D$4:D785,$D$761,$F$4:F785,$F$761))</f>
        <v>ML33</v>
      </c>
      <c r="C785" s="72" t="s">
        <v>1853</v>
      </c>
      <c r="D785" s="58" t="s">
        <v>128</v>
      </c>
      <c r="E785" s="58" t="s">
        <v>40</v>
      </c>
      <c r="F785" s="58" t="s">
        <v>43</v>
      </c>
      <c r="G785" s="58" t="s">
        <v>118</v>
      </c>
      <c r="H785" s="58" t="s">
        <v>118</v>
      </c>
      <c r="I785" s="73">
        <v>40529.0</v>
      </c>
      <c r="J785" s="56">
        <f>IF($C$761="","",DATEDIF(I785,TODAY(),"Y"))</f>
        <v>15</v>
      </c>
      <c r="K785" s="58">
        <v>3.325828507E9</v>
      </c>
      <c r="L785" s="71" t="s">
        <v>1854</v>
      </c>
      <c r="M785" s="73">
        <v>45387.0</v>
      </c>
      <c r="N785" s="71" t="s">
        <v>439</v>
      </c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8.75" hidden="1" customHeight="1">
      <c r="A786" s="56">
        <f t="shared" si="37"/>
        <v>783</v>
      </c>
      <c r="B786" s="56" t="str">
        <f t="shared" ref="B786:B832" si="55">IF(C786="","",D786&amp;F786&amp;COUNTIFS($D$4:D786,D786,$F$4:F786,F786))</f>
        <v>HB199</v>
      </c>
      <c r="C786" s="57" t="s">
        <v>1855</v>
      </c>
      <c r="D786" s="56" t="s">
        <v>117</v>
      </c>
      <c r="E786" s="56" t="s">
        <v>16</v>
      </c>
      <c r="F786" s="56" t="s">
        <v>7</v>
      </c>
      <c r="G786" s="56" t="s">
        <v>118</v>
      </c>
      <c r="H786" s="56" t="s">
        <v>118</v>
      </c>
      <c r="I786" s="59">
        <v>21574.0</v>
      </c>
      <c r="J786" s="56">
        <f t="shared" ref="J786:J821" si="56">IF(C786="","",DATEDIF(I786,TODAY(),"Y"))</f>
        <v>67</v>
      </c>
      <c r="K786" s="56">
        <v>5.536791585E9</v>
      </c>
      <c r="L786" s="60" t="s">
        <v>1856</v>
      </c>
      <c r="M786" s="59"/>
      <c r="N786" s="60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8.75" hidden="1" customHeight="1">
      <c r="A787" s="56">
        <f t="shared" si="37"/>
        <v>784</v>
      </c>
      <c r="B787" s="56" t="str">
        <f t="shared" si="55"/>
        <v>HB200</v>
      </c>
      <c r="C787" s="57" t="s">
        <v>1857</v>
      </c>
      <c r="D787" s="56" t="s">
        <v>117</v>
      </c>
      <c r="E787" s="56" t="s">
        <v>140</v>
      </c>
      <c r="F787" s="56" t="s">
        <v>7</v>
      </c>
      <c r="G787" s="56" t="s">
        <v>118</v>
      </c>
      <c r="H787" s="56" t="s">
        <v>118</v>
      </c>
      <c r="I787" s="59">
        <v>12432.0</v>
      </c>
      <c r="J787" s="56">
        <f t="shared" si="56"/>
        <v>92</v>
      </c>
      <c r="K787" s="56">
        <v>3.6084803E7</v>
      </c>
      <c r="L787" s="60" t="s">
        <v>1858</v>
      </c>
      <c r="M787" s="59"/>
      <c r="N787" s="60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8.75" customHeight="1">
      <c r="A788" s="56">
        <f t="shared" si="37"/>
        <v>785</v>
      </c>
      <c r="B788" s="56" t="str">
        <f t="shared" si="55"/>
        <v>HS36</v>
      </c>
      <c r="C788" s="72" t="s">
        <v>1859</v>
      </c>
      <c r="D788" s="58" t="s">
        <v>117</v>
      </c>
      <c r="E788" s="58" t="s">
        <v>40</v>
      </c>
      <c r="F788" s="58" t="s">
        <v>43</v>
      </c>
      <c r="G788" s="58" t="s">
        <v>165</v>
      </c>
      <c r="H788" s="56" t="s">
        <v>118</v>
      </c>
      <c r="I788" s="73">
        <v>40504.0</v>
      </c>
      <c r="J788" s="56">
        <f t="shared" si="56"/>
        <v>15</v>
      </c>
      <c r="K788" s="58">
        <v>5.327925694E9</v>
      </c>
      <c r="L788" s="71" t="s">
        <v>1860</v>
      </c>
      <c r="M788" s="83">
        <v>45900.0</v>
      </c>
      <c r="N788" s="7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8.75" customHeight="1">
      <c r="A789" s="56">
        <f t="shared" si="37"/>
        <v>786</v>
      </c>
      <c r="B789" s="56" t="str">
        <f t="shared" si="55"/>
        <v>MS43</v>
      </c>
      <c r="C789" s="57" t="s">
        <v>1861</v>
      </c>
      <c r="D789" s="56" t="s">
        <v>128</v>
      </c>
      <c r="E789" s="56" t="s">
        <v>16</v>
      </c>
      <c r="F789" s="56" t="s">
        <v>43</v>
      </c>
      <c r="G789" s="56"/>
      <c r="H789" s="56" t="s">
        <v>118</v>
      </c>
      <c r="I789" s="59">
        <v>23375.0</v>
      </c>
      <c r="J789" s="56">
        <f t="shared" si="56"/>
        <v>62</v>
      </c>
      <c r="K789" s="56">
        <v>3.315028247E9</v>
      </c>
      <c r="L789" s="60" t="s">
        <v>1862</v>
      </c>
      <c r="M789" s="59">
        <v>43754.0</v>
      </c>
      <c r="N789" s="60" t="s">
        <v>805</v>
      </c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8.75" hidden="1" customHeight="1">
      <c r="A790" s="56">
        <f t="shared" si="37"/>
        <v>787</v>
      </c>
      <c r="B790" s="56" t="str">
        <f t="shared" si="55"/>
        <v>HB201</v>
      </c>
      <c r="C790" s="57" t="s">
        <v>1863</v>
      </c>
      <c r="D790" s="56" t="s">
        <v>117</v>
      </c>
      <c r="E790" s="56" t="s">
        <v>22</v>
      </c>
      <c r="F790" s="56" t="s">
        <v>7</v>
      </c>
      <c r="G790" s="56" t="s">
        <v>118</v>
      </c>
      <c r="H790" s="56" t="s">
        <v>118</v>
      </c>
      <c r="I790" s="59">
        <v>29546.0</v>
      </c>
      <c r="J790" s="56">
        <f t="shared" si="56"/>
        <v>45</v>
      </c>
      <c r="K790" s="56">
        <v>3.3127288E9</v>
      </c>
      <c r="L790" s="60" t="s">
        <v>1864</v>
      </c>
      <c r="M790" s="59"/>
      <c r="N790" s="60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8.75" hidden="1" customHeight="1">
      <c r="A791" s="56">
        <f t="shared" si="37"/>
        <v>788</v>
      </c>
      <c r="B791" s="56" t="str">
        <f t="shared" si="55"/>
        <v>HB202</v>
      </c>
      <c r="C791" s="57" t="s">
        <v>1865</v>
      </c>
      <c r="D791" s="56" t="s">
        <v>117</v>
      </c>
      <c r="E791" s="56" t="s">
        <v>34</v>
      </c>
      <c r="F791" s="58" t="s">
        <v>7</v>
      </c>
      <c r="G791" s="56" t="s">
        <v>118</v>
      </c>
      <c r="H791" s="56" t="s">
        <v>118</v>
      </c>
      <c r="I791" s="59">
        <v>30926.0</v>
      </c>
      <c r="J791" s="56">
        <f t="shared" si="56"/>
        <v>41</v>
      </c>
      <c r="K791" s="56">
        <v>3.319901048E9</v>
      </c>
      <c r="L791" s="60" t="s">
        <v>1866</v>
      </c>
      <c r="M791" s="59"/>
      <c r="N791" s="60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8.75" hidden="1" customHeight="1">
      <c r="A792" s="56">
        <f t="shared" si="37"/>
        <v>789</v>
      </c>
      <c r="B792" s="56" t="str">
        <f t="shared" si="55"/>
        <v>MB198</v>
      </c>
      <c r="C792" s="57" t="s">
        <v>1867</v>
      </c>
      <c r="D792" s="56" t="s">
        <v>128</v>
      </c>
      <c r="E792" s="56" t="s">
        <v>34</v>
      </c>
      <c r="F792" s="56" t="s">
        <v>7</v>
      </c>
      <c r="G792" s="56" t="s">
        <v>118</v>
      </c>
      <c r="H792" s="56" t="s">
        <v>118</v>
      </c>
      <c r="I792" s="59">
        <v>34752.0</v>
      </c>
      <c r="J792" s="56">
        <f t="shared" si="56"/>
        <v>31</v>
      </c>
      <c r="K792" s="56">
        <v>3.318345827E9</v>
      </c>
      <c r="L792" s="60" t="s">
        <v>1868</v>
      </c>
      <c r="M792" s="59"/>
      <c r="N792" s="60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8.75" customHeight="1">
      <c r="A793" s="56">
        <f t="shared" si="37"/>
        <v>790</v>
      </c>
      <c r="B793" s="56" t="str">
        <f t="shared" si="55"/>
        <v>HL23</v>
      </c>
      <c r="C793" s="57" t="s">
        <v>1869</v>
      </c>
      <c r="D793" s="56" t="s">
        <v>117</v>
      </c>
      <c r="E793" s="56" t="s">
        <v>140</v>
      </c>
      <c r="F793" s="56" t="s">
        <v>12</v>
      </c>
      <c r="G793" s="58" t="s">
        <v>118</v>
      </c>
      <c r="H793" s="56" t="s">
        <v>118</v>
      </c>
      <c r="I793" s="59">
        <v>15239.0</v>
      </c>
      <c r="J793" s="56">
        <f t="shared" si="56"/>
        <v>84</v>
      </c>
      <c r="K793" s="56">
        <v>3.312635456E9</v>
      </c>
      <c r="L793" s="60" t="s">
        <v>1870</v>
      </c>
      <c r="M793" s="59"/>
      <c r="N793" s="60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8.75" hidden="1" customHeight="1">
      <c r="A794" s="56">
        <f t="shared" si="37"/>
        <v>791</v>
      </c>
      <c r="B794" s="56" t="str">
        <f t="shared" si="55"/>
        <v>HB203</v>
      </c>
      <c r="C794" s="57" t="s">
        <v>1871</v>
      </c>
      <c r="D794" s="56" t="s">
        <v>117</v>
      </c>
      <c r="E794" s="56" t="s">
        <v>40</v>
      </c>
      <c r="F794" s="58" t="s">
        <v>7</v>
      </c>
      <c r="G794" s="56" t="s">
        <v>118</v>
      </c>
      <c r="H794" s="56" t="s">
        <v>118</v>
      </c>
      <c r="I794" s="59">
        <v>37615.0</v>
      </c>
      <c r="J794" s="56">
        <f t="shared" si="56"/>
        <v>23</v>
      </c>
      <c r="K794" s="56">
        <v>3.3345435E9</v>
      </c>
      <c r="L794" s="60" t="s">
        <v>1872</v>
      </c>
      <c r="M794" s="59">
        <v>43787.0</v>
      </c>
      <c r="N794" s="60" t="s">
        <v>218</v>
      </c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8.75" customHeight="1">
      <c r="A795" s="56">
        <f t="shared" si="37"/>
        <v>792</v>
      </c>
      <c r="B795" s="56" t="str">
        <f t="shared" si="55"/>
        <v>ML34</v>
      </c>
      <c r="C795" s="57" t="s">
        <v>1873</v>
      </c>
      <c r="D795" s="56" t="s">
        <v>128</v>
      </c>
      <c r="E795" s="56" t="s">
        <v>40</v>
      </c>
      <c r="F795" s="56" t="s">
        <v>12</v>
      </c>
      <c r="G795" s="58" t="s">
        <v>118</v>
      </c>
      <c r="H795" s="56" t="s">
        <v>118</v>
      </c>
      <c r="I795" s="59">
        <v>39345.0</v>
      </c>
      <c r="J795" s="56">
        <f t="shared" si="56"/>
        <v>18</v>
      </c>
      <c r="K795" s="56">
        <v>3.318734766E9</v>
      </c>
      <c r="L795" s="60" t="s">
        <v>1874</v>
      </c>
      <c r="M795" s="59">
        <v>45117.0</v>
      </c>
      <c r="N795" s="71" t="s">
        <v>1875</v>
      </c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8.75" hidden="1" customHeight="1">
      <c r="A796" s="56">
        <f t="shared" si="37"/>
        <v>793</v>
      </c>
      <c r="B796" s="56" t="str">
        <f t="shared" si="55"/>
        <v>HB204</v>
      </c>
      <c r="C796" s="57" t="s">
        <v>1876</v>
      </c>
      <c r="D796" s="56" t="s">
        <v>117</v>
      </c>
      <c r="E796" s="56" t="s">
        <v>40</v>
      </c>
      <c r="F796" s="56" t="s">
        <v>7</v>
      </c>
      <c r="G796" s="56" t="s">
        <v>118</v>
      </c>
      <c r="H796" s="56" t="s">
        <v>118</v>
      </c>
      <c r="I796" s="59">
        <v>32674.0</v>
      </c>
      <c r="J796" s="56">
        <f t="shared" si="56"/>
        <v>36</v>
      </c>
      <c r="K796" s="56">
        <v>3.317888059E9</v>
      </c>
      <c r="L796" s="60" t="s">
        <v>1877</v>
      </c>
      <c r="M796" s="59">
        <v>43480.0</v>
      </c>
      <c r="N796" s="60" t="s">
        <v>1878</v>
      </c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8.75" hidden="1" customHeight="1">
      <c r="A797" s="56">
        <f t="shared" si="37"/>
        <v>794</v>
      </c>
      <c r="B797" s="56" t="str">
        <f t="shared" si="55"/>
        <v>HB205</v>
      </c>
      <c r="C797" s="57" t="s">
        <v>1879</v>
      </c>
      <c r="D797" s="56" t="s">
        <v>117</v>
      </c>
      <c r="E797" s="56" t="s">
        <v>22</v>
      </c>
      <c r="F797" s="56" t="s">
        <v>7</v>
      </c>
      <c r="G797" s="56" t="s">
        <v>118</v>
      </c>
      <c r="H797" s="56" t="s">
        <v>118</v>
      </c>
      <c r="I797" s="59">
        <v>28319.0</v>
      </c>
      <c r="J797" s="56">
        <f t="shared" si="56"/>
        <v>48</v>
      </c>
      <c r="K797" s="56">
        <v>3.314211939E9</v>
      </c>
      <c r="L797" s="60" t="s">
        <v>1880</v>
      </c>
      <c r="M797" s="59">
        <v>43859.0</v>
      </c>
      <c r="N797" s="60" t="s">
        <v>315</v>
      </c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8.75" hidden="1" customHeight="1">
      <c r="A798" s="56">
        <f t="shared" si="37"/>
        <v>795</v>
      </c>
      <c r="B798" s="56" t="str">
        <f t="shared" si="55"/>
        <v>MB199</v>
      </c>
      <c r="C798" s="57" t="s">
        <v>1881</v>
      </c>
      <c r="D798" s="56" t="s">
        <v>128</v>
      </c>
      <c r="E798" s="56" t="s">
        <v>34</v>
      </c>
      <c r="F798" s="56" t="s">
        <v>7</v>
      </c>
      <c r="G798" s="56" t="s">
        <v>118</v>
      </c>
      <c r="H798" s="56" t="s">
        <v>118</v>
      </c>
      <c r="I798" s="59">
        <v>19239.0</v>
      </c>
      <c r="J798" s="56">
        <f t="shared" si="56"/>
        <v>73</v>
      </c>
      <c r="K798" s="56" t="s">
        <v>223</v>
      </c>
      <c r="L798" s="60" t="s">
        <v>1882</v>
      </c>
      <c r="M798" s="59"/>
      <c r="N798" s="60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8.75" hidden="1" customHeight="1">
      <c r="A799" s="56">
        <f t="shared" si="37"/>
        <v>796</v>
      </c>
      <c r="B799" s="56" t="str">
        <f t="shared" si="55"/>
        <v>HB206</v>
      </c>
      <c r="C799" s="57" t="s">
        <v>1883</v>
      </c>
      <c r="D799" s="56" t="s">
        <v>117</v>
      </c>
      <c r="E799" s="56" t="s">
        <v>40</v>
      </c>
      <c r="F799" s="58" t="s">
        <v>7</v>
      </c>
      <c r="G799" s="56"/>
      <c r="H799" s="56" t="s">
        <v>118</v>
      </c>
      <c r="I799" s="59">
        <v>38920.0</v>
      </c>
      <c r="J799" s="56">
        <f t="shared" si="56"/>
        <v>19</v>
      </c>
      <c r="K799" s="56"/>
      <c r="L799" s="60" t="s">
        <v>1884</v>
      </c>
      <c r="M799" s="59">
        <v>38818.0</v>
      </c>
      <c r="N799" s="60" t="s">
        <v>218</v>
      </c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6.5" customHeight="1">
      <c r="A800" s="75">
        <f t="shared" si="37"/>
        <v>797</v>
      </c>
      <c r="B800" s="75" t="str">
        <f t="shared" si="55"/>
        <v>MJ55</v>
      </c>
      <c r="C800" s="76" t="s">
        <v>1885</v>
      </c>
      <c r="D800" s="77" t="s">
        <v>128</v>
      </c>
      <c r="E800" s="77" t="s">
        <v>40</v>
      </c>
      <c r="F800" s="77" t="s">
        <v>30</v>
      </c>
      <c r="G800" s="77" t="s">
        <v>118</v>
      </c>
      <c r="H800" s="77" t="s">
        <v>165</v>
      </c>
      <c r="I800" s="78"/>
      <c r="J800" s="75">
        <f t="shared" si="56"/>
        <v>126</v>
      </c>
      <c r="K800" s="77"/>
      <c r="L800" s="79"/>
      <c r="M800" s="80">
        <v>45870.0</v>
      </c>
      <c r="N800" s="71" t="s">
        <v>1886</v>
      </c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6.5" hidden="1" customHeight="1">
      <c r="A801" s="56">
        <f t="shared" si="37"/>
        <v>798</v>
      </c>
      <c r="B801" s="56" t="str">
        <f t="shared" si="55"/>
        <v>MB200</v>
      </c>
      <c r="C801" s="57" t="s">
        <v>1887</v>
      </c>
      <c r="D801" s="56" t="s">
        <v>128</v>
      </c>
      <c r="E801" s="56" t="s">
        <v>28</v>
      </c>
      <c r="F801" s="56" t="s">
        <v>7</v>
      </c>
      <c r="G801" s="56" t="s">
        <v>118</v>
      </c>
      <c r="H801" s="56" t="s">
        <v>118</v>
      </c>
      <c r="I801" s="59">
        <v>33619.0</v>
      </c>
      <c r="J801" s="56">
        <f t="shared" si="56"/>
        <v>34</v>
      </c>
      <c r="K801" s="56">
        <v>3.345938409E9</v>
      </c>
      <c r="L801" s="60" t="s">
        <v>1125</v>
      </c>
      <c r="M801" s="59">
        <v>43396.0</v>
      </c>
      <c r="N801" s="60" t="s">
        <v>486</v>
      </c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6.5" customHeight="1">
      <c r="A802" s="56">
        <f t="shared" si="37"/>
        <v>799</v>
      </c>
      <c r="B802" s="56" t="str">
        <f t="shared" si="55"/>
        <v>MD26</v>
      </c>
      <c r="C802" s="57" t="s">
        <v>1888</v>
      </c>
      <c r="D802" s="56" t="s">
        <v>128</v>
      </c>
      <c r="E802" s="56" t="s">
        <v>140</v>
      </c>
      <c r="F802" s="56" t="s">
        <v>49</v>
      </c>
      <c r="G802" s="56"/>
      <c r="H802" s="56" t="s">
        <v>118</v>
      </c>
      <c r="I802" s="59">
        <v>18676.0</v>
      </c>
      <c r="J802" s="56">
        <f t="shared" si="56"/>
        <v>75</v>
      </c>
      <c r="K802" s="56">
        <v>3.331594588E9</v>
      </c>
      <c r="L802" s="60" t="s">
        <v>1889</v>
      </c>
      <c r="M802" s="59"/>
      <c r="N802" s="60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6.5" customHeight="1">
      <c r="A803" s="56">
        <f t="shared" si="37"/>
        <v>800</v>
      </c>
      <c r="B803" s="56" t="str">
        <f t="shared" si="55"/>
        <v>HJ22</v>
      </c>
      <c r="C803" s="72" t="s">
        <v>1890</v>
      </c>
      <c r="D803" s="58" t="s">
        <v>117</v>
      </c>
      <c r="E803" s="58" t="s">
        <v>40</v>
      </c>
      <c r="F803" s="58" t="s">
        <v>30</v>
      </c>
      <c r="G803" s="58" t="s">
        <v>118</v>
      </c>
      <c r="H803" s="56" t="s">
        <v>118</v>
      </c>
      <c r="I803" s="73">
        <v>34231.0</v>
      </c>
      <c r="J803" s="56">
        <f t="shared" si="56"/>
        <v>32</v>
      </c>
      <c r="K803" s="58">
        <v>3.333883674E9</v>
      </c>
      <c r="L803" s="71" t="s">
        <v>1891</v>
      </c>
      <c r="M803" s="73">
        <v>45505.0</v>
      </c>
      <c r="N803" s="71" t="s">
        <v>1892</v>
      </c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6.5" hidden="1" customHeight="1">
      <c r="A804" s="56">
        <f t="shared" si="37"/>
        <v>801</v>
      </c>
      <c r="B804" s="56" t="str">
        <f t="shared" si="55"/>
        <v>MB201</v>
      </c>
      <c r="C804" s="57" t="s">
        <v>1893</v>
      </c>
      <c r="D804" s="56" t="s">
        <v>128</v>
      </c>
      <c r="E804" s="56" t="s">
        <v>40</v>
      </c>
      <c r="F804" s="56" t="s">
        <v>7</v>
      </c>
      <c r="G804" s="56" t="s">
        <v>118</v>
      </c>
      <c r="H804" s="56" t="s">
        <v>118</v>
      </c>
      <c r="I804" s="59">
        <v>37023.0</v>
      </c>
      <c r="J804" s="56">
        <f t="shared" si="56"/>
        <v>24</v>
      </c>
      <c r="K804" s="56">
        <v>3.320594992E9</v>
      </c>
      <c r="L804" s="60" t="s">
        <v>1894</v>
      </c>
      <c r="M804" s="59"/>
      <c r="N804" s="60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8.75" customHeight="1">
      <c r="A805" s="56">
        <f t="shared" si="37"/>
        <v>802</v>
      </c>
      <c r="B805" s="56" t="str">
        <f t="shared" si="55"/>
        <v>MMa38</v>
      </c>
      <c r="C805" s="81" t="s">
        <v>21</v>
      </c>
      <c r="D805" s="56" t="s">
        <v>128</v>
      </c>
      <c r="E805" s="56" t="s">
        <v>140</v>
      </c>
      <c r="F805" s="56" t="s">
        <v>18</v>
      </c>
      <c r="G805" s="58" t="s">
        <v>118</v>
      </c>
      <c r="H805" s="56" t="s">
        <v>118</v>
      </c>
      <c r="I805" s="59">
        <v>20309.0</v>
      </c>
      <c r="J805" s="56">
        <f t="shared" si="56"/>
        <v>70</v>
      </c>
      <c r="K805" s="56">
        <v>3.312979638E9</v>
      </c>
      <c r="L805" s="60" t="s">
        <v>1895</v>
      </c>
      <c r="M805" s="59"/>
      <c r="N805" s="60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8.75" hidden="1" customHeight="1">
      <c r="A806" s="56">
        <f t="shared" si="37"/>
        <v>803</v>
      </c>
      <c r="B806" s="56" t="str">
        <f t="shared" si="55"/>
        <v>HB207</v>
      </c>
      <c r="C806" s="57" t="s">
        <v>1896</v>
      </c>
      <c r="D806" s="56" t="s">
        <v>117</v>
      </c>
      <c r="E806" s="56" t="s">
        <v>22</v>
      </c>
      <c r="F806" s="58" t="s">
        <v>7</v>
      </c>
      <c r="G806" s="56" t="s">
        <v>118</v>
      </c>
      <c r="H806" s="56" t="s">
        <v>118</v>
      </c>
      <c r="I806" s="59">
        <v>30785.0</v>
      </c>
      <c r="J806" s="56">
        <f t="shared" si="56"/>
        <v>42</v>
      </c>
      <c r="K806" s="56">
        <v>3.33973431E9</v>
      </c>
      <c r="L806" s="60" t="s">
        <v>1897</v>
      </c>
      <c r="M806" s="59">
        <v>43963.0</v>
      </c>
      <c r="N806" s="60" t="s">
        <v>1898</v>
      </c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8.75" customHeight="1">
      <c r="A807" s="56">
        <f t="shared" si="37"/>
        <v>804</v>
      </c>
      <c r="B807" s="56" t="str">
        <f t="shared" si="55"/>
        <v>HJ23</v>
      </c>
      <c r="C807" s="57" t="s">
        <v>1899</v>
      </c>
      <c r="D807" s="56" t="s">
        <v>117</v>
      </c>
      <c r="E807" s="56" t="s">
        <v>140</v>
      </c>
      <c r="F807" s="56" t="s">
        <v>30</v>
      </c>
      <c r="G807" s="56"/>
      <c r="H807" s="56" t="s">
        <v>118</v>
      </c>
      <c r="I807" s="59">
        <v>14561.0</v>
      </c>
      <c r="J807" s="56">
        <f t="shared" si="56"/>
        <v>86</v>
      </c>
      <c r="K807" s="56">
        <v>3.314738846E9</v>
      </c>
      <c r="L807" s="60" t="s">
        <v>1900</v>
      </c>
      <c r="M807" s="59"/>
      <c r="N807" s="60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8.75" hidden="1" customHeight="1">
      <c r="A808" s="56">
        <f t="shared" si="37"/>
        <v>805</v>
      </c>
      <c r="B808" s="56" t="str">
        <f t="shared" si="55"/>
        <v>MB202</v>
      </c>
      <c r="C808" s="57" t="s">
        <v>1901</v>
      </c>
      <c r="D808" s="56" t="s">
        <v>128</v>
      </c>
      <c r="E808" s="56" t="s">
        <v>22</v>
      </c>
      <c r="F808" s="56" t="s">
        <v>7</v>
      </c>
      <c r="G808" s="56" t="s">
        <v>118</v>
      </c>
      <c r="H808" s="56" t="s">
        <v>118</v>
      </c>
      <c r="I808" s="59">
        <v>34463.0</v>
      </c>
      <c r="J808" s="56">
        <f t="shared" si="56"/>
        <v>31</v>
      </c>
      <c r="K808" s="56">
        <v>3.325380385E9</v>
      </c>
      <c r="L808" s="60" t="s">
        <v>1902</v>
      </c>
      <c r="M808" s="59">
        <v>43803.0</v>
      </c>
      <c r="N808" s="60" t="s">
        <v>1903</v>
      </c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8.75" customHeight="1">
      <c r="A809" s="56">
        <f t="shared" si="37"/>
        <v>806</v>
      </c>
      <c r="B809" s="56" t="str">
        <f t="shared" si="55"/>
        <v>HL24</v>
      </c>
      <c r="C809" s="57" t="s">
        <v>1904</v>
      </c>
      <c r="D809" s="56" t="s">
        <v>117</v>
      </c>
      <c r="E809" s="56" t="s">
        <v>40</v>
      </c>
      <c r="F809" s="56" t="s">
        <v>12</v>
      </c>
      <c r="G809" s="56"/>
      <c r="H809" s="56" t="s">
        <v>118</v>
      </c>
      <c r="I809" s="59">
        <v>39895.0</v>
      </c>
      <c r="J809" s="56">
        <f t="shared" si="56"/>
        <v>17</v>
      </c>
      <c r="K809" s="56"/>
      <c r="L809" s="60" t="s">
        <v>1905</v>
      </c>
      <c r="M809" s="59">
        <v>45335.0</v>
      </c>
      <c r="N809" s="60" t="s">
        <v>233</v>
      </c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8.75" customHeight="1">
      <c r="A810" s="56">
        <f t="shared" si="37"/>
        <v>807</v>
      </c>
      <c r="B810" s="56" t="str">
        <f t="shared" si="55"/>
        <v>MV38</v>
      </c>
      <c r="C810" s="72" t="s">
        <v>1906</v>
      </c>
      <c r="D810" s="58" t="s">
        <v>128</v>
      </c>
      <c r="E810" s="58" t="s">
        <v>40</v>
      </c>
      <c r="F810" s="58" t="s">
        <v>36</v>
      </c>
      <c r="G810" s="58" t="s">
        <v>118</v>
      </c>
      <c r="H810" s="56" t="s">
        <v>118</v>
      </c>
      <c r="I810" s="73">
        <v>40769.0</v>
      </c>
      <c r="J810" s="56">
        <f t="shared" si="56"/>
        <v>14</v>
      </c>
      <c r="K810" s="58">
        <v>3.342757635E9</v>
      </c>
      <c r="L810" s="71" t="s">
        <v>1907</v>
      </c>
      <c r="M810" s="82">
        <v>45573.0</v>
      </c>
      <c r="N810" s="71" t="s">
        <v>1494</v>
      </c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8.75" customHeight="1">
      <c r="A811" s="56">
        <f t="shared" si="37"/>
        <v>808</v>
      </c>
      <c r="B811" s="56" t="str">
        <f t="shared" si="55"/>
        <v>MMi25</v>
      </c>
      <c r="C811" s="57" t="s">
        <v>1908</v>
      </c>
      <c r="D811" s="56" t="s">
        <v>128</v>
      </c>
      <c r="E811" s="56" t="s">
        <v>22</v>
      </c>
      <c r="F811" s="56" t="s">
        <v>24</v>
      </c>
      <c r="G811" s="58" t="s">
        <v>118</v>
      </c>
      <c r="H811" s="56"/>
      <c r="I811" s="59">
        <v>30247.0</v>
      </c>
      <c r="J811" s="56">
        <f t="shared" si="56"/>
        <v>43</v>
      </c>
      <c r="K811" s="56">
        <v>3.816992806E9</v>
      </c>
      <c r="L811" s="60" t="s">
        <v>1909</v>
      </c>
      <c r="M811" s="59"/>
      <c r="N811" s="71" t="s">
        <v>1910</v>
      </c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8.75" customHeight="1">
      <c r="A812" s="56">
        <f t="shared" si="37"/>
        <v>809</v>
      </c>
      <c r="B812" s="56" t="str">
        <f t="shared" si="55"/>
        <v>ML35</v>
      </c>
      <c r="C812" s="57" t="s">
        <v>1911</v>
      </c>
      <c r="D812" s="56" t="s">
        <v>128</v>
      </c>
      <c r="E812" s="56" t="s">
        <v>140</v>
      </c>
      <c r="F812" s="56" t="s">
        <v>12</v>
      </c>
      <c r="G812" s="58" t="s">
        <v>118</v>
      </c>
      <c r="H812" s="56" t="s">
        <v>118</v>
      </c>
      <c r="I812" s="59">
        <v>22901.0</v>
      </c>
      <c r="J812" s="56">
        <f t="shared" si="56"/>
        <v>63</v>
      </c>
      <c r="K812" s="56">
        <v>3.339587967E9</v>
      </c>
      <c r="L812" s="60" t="s">
        <v>1912</v>
      </c>
      <c r="M812" s="59"/>
      <c r="N812" s="71" t="s">
        <v>433</v>
      </c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8.75" hidden="1" customHeight="1">
      <c r="A813" s="56">
        <f t="shared" si="37"/>
        <v>810</v>
      </c>
      <c r="B813" s="56" t="str">
        <f t="shared" si="55"/>
        <v>HB208</v>
      </c>
      <c r="C813" s="57" t="s">
        <v>1913</v>
      </c>
      <c r="D813" s="56" t="s">
        <v>117</v>
      </c>
      <c r="E813" s="56" t="s">
        <v>40</v>
      </c>
      <c r="F813" s="56" t="s">
        <v>7</v>
      </c>
      <c r="G813" s="56" t="s">
        <v>118</v>
      </c>
      <c r="H813" s="56" t="s">
        <v>118</v>
      </c>
      <c r="I813" s="59">
        <v>37591.0</v>
      </c>
      <c r="J813" s="56">
        <f t="shared" si="56"/>
        <v>23</v>
      </c>
      <c r="K813" s="56">
        <v>3.322593413E9</v>
      </c>
      <c r="L813" s="60" t="s">
        <v>1914</v>
      </c>
      <c r="M813" s="59">
        <v>43668.0</v>
      </c>
      <c r="N813" s="60" t="s">
        <v>1915</v>
      </c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8.75" hidden="1" customHeight="1">
      <c r="A814" s="56">
        <f t="shared" si="37"/>
        <v>811</v>
      </c>
      <c r="B814" s="56" t="str">
        <f t="shared" si="55"/>
        <v>MB203</v>
      </c>
      <c r="C814" s="57" t="s">
        <v>1916</v>
      </c>
      <c r="D814" s="56" t="s">
        <v>128</v>
      </c>
      <c r="E814" s="56" t="s">
        <v>16</v>
      </c>
      <c r="F814" s="56" t="s">
        <v>7</v>
      </c>
      <c r="G814" s="56" t="s">
        <v>118</v>
      </c>
      <c r="H814" s="56" t="s">
        <v>118</v>
      </c>
      <c r="I814" s="59">
        <v>24393.0</v>
      </c>
      <c r="J814" s="56">
        <f t="shared" si="56"/>
        <v>59</v>
      </c>
      <c r="K814" s="56">
        <v>3.319180281E9</v>
      </c>
      <c r="L814" s="60" t="s">
        <v>1917</v>
      </c>
      <c r="M814" s="59">
        <v>43865.0</v>
      </c>
      <c r="N814" s="60" t="s">
        <v>1918</v>
      </c>
      <c r="O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8.75" hidden="1" customHeight="1">
      <c r="A815" s="56">
        <f t="shared" si="37"/>
        <v>812</v>
      </c>
      <c r="B815" s="56" t="str">
        <f t="shared" si="55"/>
        <v>HB209</v>
      </c>
      <c r="C815" s="57" t="s">
        <v>1919</v>
      </c>
      <c r="D815" s="56" t="s">
        <v>117</v>
      </c>
      <c r="E815" s="56" t="s">
        <v>34</v>
      </c>
      <c r="F815" s="56" t="s">
        <v>7</v>
      </c>
      <c r="G815" s="56" t="s">
        <v>118</v>
      </c>
      <c r="H815" s="56" t="s">
        <v>118</v>
      </c>
      <c r="I815" s="59">
        <v>28237.0</v>
      </c>
      <c r="J815" s="56">
        <f t="shared" si="56"/>
        <v>49</v>
      </c>
      <c r="K815" s="56" t="s">
        <v>570</v>
      </c>
      <c r="L815" s="60"/>
      <c r="M815" s="59">
        <v>43223.0</v>
      </c>
      <c r="N815" s="60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8.75" customHeight="1">
      <c r="A816" s="56">
        <f t="shared" si="37"/>
        <v>813</v>
      </c>
      <c r="B816" s="56" t="str">
        <f t="shared" si="55"/>
        <v>MMa39</v>
      </c>
      <c r="C816" s="72" t="s">
        <v>1920</v>
      </c>
      <c r="D816" s="58" t="s">
        <v>128</v>
      </c>
      <c r="E816" s="58" t="s">
        <v>40</v>
      </c>
      <c r="F816" s="58" t="s">
        <v>18</v>
      </c>
      <c r="G816" s="56" t="s">
        <v>118</v>
      </c>
      <c r="H816" s="56" t="s">
        <v>118</v>
      </c>
      <c r="I816" s="73">
        <v>39044.0</v>
      </c>
      <c r="J816" s="56">
        <f t="shared" si="56"/>
        <v>19</v>
      </c>
      <c r="K816" s="58">
        <v>3.322954453E9</v>
      </c>
      <c r="L816" s="71" t="s">
        <v>1921</v>
      </c>
      <c r="M816" s="73">
        <v>45684.0</v>
      </c>
      <c r="N816" s="71" t="s">
        <v>1922</v>
      </c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8.75" hidden="1" customHeight="1">
      <c r="A817" s="56">
        <f t="shared" si="37"/>
        <v>814</v>
      </c>
      <c r="B817" s="56" t="str">
        <f t="shared" si="55"/>
        <v>HB210</v>
      </c>
      <c r="C817" s="72" t="s">
        <v>1923</v>
      </c>
      <c r="D817" s="58" t="s">
        <v>117</v>
      </c>
      <c r="E817" s="58" t="s">
        <v>40</v>
      </c>
      <c r="F817" s="58" t="s">
        <v>7</v>
      </c>
      <c r="G817" s="56" t="s">
        <v>118</v>
      </c>
      <c r="H817" s="56" t="s">
        <v>118</v>
      </c>
      <c r="I817" s="73">
        <v>40068.0</v>
      </c>
      <c r="J817" s="56">
        <f t="shared" si="56"/>
        <v>16</v>
      </c>
      <c r="K817" s="58">
        <v>3.334811674E9</v>
      </c>
      <c r="L817" s="71" t="s">
        <v>1924</v>
      </c>
      <c r="M817" s="73">
        <v>45511.0</v>
      </c>
      <c r="N817" s="71" t="s">
        <v>1925</v>
      </c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8.75" hidden="1" customHeight="1">
      <c r="A818" s="56">
        <f t="shared" si="37"/>
        <v>815</v>
      </c>
      <c r="B818" s="56" t="str">
        <f t="shared" si="55"/>
        <v>HB211</v>
      </c>
      <c r="C818" s="57" t="s">
        <v>1926</v>
      </c>
      <c r="D818" s="56" t="s">
        <v>117</v>
      </c>
      <c r="E818" s="56" t="s">
        <v>140</v>
      </c>
      <c r="F818" s="58" t="s">
        <v>7</v>
      </c>
      <c r="G818" s="58" t="s">
        <v>118</v>
      </c>
      <c r="H818" s="56" t="s">
        <v>118</v>
      </c>
      <c r="I818" s="59">
        <v>17889.0</v>
      </c>
      <c r="J818" s="56">
        <f t="shared" si="56"/>
        <v>77</v>
      </c>
      <c r="K818" s="56">
        <v>3.311420617E9</v>
      </c>
      <c r="L818" s="60" t="s">
        <v>1927</v>
      </c>
      <c r="M818" s="59"/>
      <c r="N818" s="60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8.75" hidden="1" customHeight="1">
      <c r="A819" s="56">
        <f t="shared" si="37"/>
        <v>816</v>
      </c>
      <c r="B819" s="56" t="str">
        <f t="shared" si="55"/>
        <v>HB212</v>
      </c>
      <c r="C819" s="57" t="s">
        <v>1928</v>
      </c>
      <c r="D819" s="56" t="s">
        <v>117</v>
      </c>
      <c r="E819" s="56" t="s">
        <v>22</v>
      </c>
      <c r="F819" s="58" t="s">
        <v>7</v>
      </c>
      <c r="G819" s="56" t="s">
        <v>118</v>
      </c>
      <c r="H819" s="56" t="s">
        <v>118</v>
      </c>
      <c r="I819" s="59">
        <v>33017.0</v>
      </c>
      <c r="J819" s="56">
        <f t="shared" si="56"/>
        <v>35</v>
      </c>
      <c r="K819" s="56">
        <v>3.317646052E9</v>
      </c>
      <c r="L819" s="60" t="s">
        <v>796</v>
      </c>
      <c r="M819" s="59"/>
      <c r="N819" s="60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8.75" customHeight="1">
      <c r="A820" s="56">
        <f t="shared" si="37"/>
        <v>817</v>
      </c>
      <c r="B820" s="56" t="str">
        <f t="shared" si="55"/>
        <v>ML36</v>
      </c>
      <c r="C820" s="57" t="s">
        <v>1929</v>
      </c>
      <c r="D820" s="56" t="s">
        <v>128</v>
      </c>
      <c r="E820" s="56" t="s">
        <v>34</v>
      </c>
      <c r="F820" s="56" t="s">
        <v>12</v>
      </c>
      <c r="G820" s="58" t="s">
        <v>118</v>
      </c>
      <c r="H820" s="56" t="s">
        <v>118</v>
      </c>
      <c r="I820" s="59">
        <v>15477.0</v>
      </c>
      <c r="J820" s="56">
        <f t="shared" si="56"/>
        <v>83</v>
      </c>
      <c r="K820" s="56">
        <v>3.339666431E9</v>
      </c>
      <c r="L820" s="60" t="s">
        <v>1930</v>
      </c>
      <c r="M820" s="59"/>
      <c r="N820" s="71" t="s">
        <v>1477</v>
      </c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8.75" customHeight="1">
      <c r="A821" s="56">
        <f t="shared" si="37"/>
        <v>818</v>
      </c>
      <c r="B821" s="56" t="str">
        <f t="shared" si="55"/>
        <v>MV39</v>
      </c>
      <c r="C821" s="72" t="s">
        <v>1931</v>
      </c>
      <c r="D821" s="56" t="s">
        <v>128</v>
      </c>
      <c r="E821" s="58" t="s">
        <v>40</v>
      </c>
      <c r="F821" s="58" t="s">
        <v>36</v>
      </c>
      <c r="G821" s="56"/>
      <c r="H821" s="56" t="s">
        <v>118</v>
      </c>
      <c r="I821" s="73">
        <v>40361.0</v>
      </c>
      <c r="J821" s="56">
        <f t="shared" si="56"/>
        <v>15</v>
      </c>
      <c r="K821" s="58">
        <v>3.328651047E9</v>
      </c>
      <c r="L821" s="71" t="s">
        <v>1932</v>
      </c>
      <c r="M821" s="73">
        <v>45496.0</v>
      </c>
      <c r="N821" s="71" t="s">
        <v>1933</v>
      </c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8.75" customHeight="1">
      <c r="A822" s="56">
        <f t="shared" si="37"/>
        <v>819</v>
      </c>
      <c r="B822" s="56" t="str">
        <f t="shared" si="55"/>
        <v>ML37</v>
      </c>
      <c r="C822" s="72" t="s">
        <v>1934</v>
      </c>
      <c r="D822" s="58" t="s">
        <v>128</v>
      </c>
      <c r="E822" s="58" t="s">
        <v>40</v>
      </c>
      <c r="F822" s="58" t="s">
        <v>12</v>
      </c>
      <c r="G822" s="58" t="s">
        <v>118</v>
      </c>
      <c r="H822" s="58" t="s">
        <v>118</v>
      </c>
      <c r="I822" s="73">
        <v>39709.0</v>
      </c>
      <c r="J822" s="56">
        <f>IF($C$761="","",DATEDIF(I822,TODAY(),"Y"))</f>
        <v>17</v>
      </c>
      <c r="K822" s="58">
        <v>3.325100724E9</v>
      </c>
      <c r="L822" s="60"/>
      <c r="M822" s="58" t="s">
        <v>1935</v>
      </c>
      <c r="N822" s="71" t="s">
        <v>300</v>
      </c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8.75" hidden="1" customHeight="1">
      <c r="A823" s="56">
        <f t="shared" si="37"/>
        <v>820</v>
      </c>
      <c r="B823" s="56" t="str">
        <f t="shared" si="55"/>
        <v>MB204</v>
      </c>
      <c r="C823" s="57" t="s">
        <v>1936</v>
      </c>
      <c r="D823" s="56" t="s">
        <v>128</v>
      </c>
      <c r="E823" s="56" t="s">
        <v>40</v>
      </c>
      <c r="F823" s="56" t="s">
        <v>7</v>
      </c>
      <c r="G823" s="56" t="s">
        <v>165</v>
      </c>
      <c r="H823" s="56" t="s">
        <v>118</v>
      </c>
      <c r="I823" s="59">
        <v>37217.0</v>
      </c>
      <c r="J823" s="56">
        <f t="shared" ref="J823:J832" si="57">IF(C823="","",DATEDIF(I823,TODAY(),"Y"))</f>
        <v>24</v>
      </c>
      <c r="K823" s="56">
        <v>3.6080847E7</v>
      </c>
      <c r="L823" s="60" t="s">
        <v>1937</v>
      </c>
      <c r="M823" s="59">
        <v>43193.0</v>
      </c>
      <c r="N823" s="60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8.75" hidden="1" customHeight="1">
      <c r="A824" s="56">
        <f t="shared" si="37"/>
        <v>821</v>
      </c>
      <c r="B824" s="56" t="str">
        <f t="shared" si="55"/>
        <v>MB205</v>
      </c>
      <c r="C824" s="57" t="s">
        <v>1938</v>
      </c>
      <c r="D824" s="56" t="s">
        <v>128</v>
      </c>
      <c r="E824" s="56" t="s">
        <v>22</v>
      </c>
      <c r="F824" s="58" t="s">
        <v>7</v>
      </c>
      <c r="G824" s="56" t="s">
        <v>118</v>
      </c>
      <c r="H824" s="56" t="s">
        <v>165</v>
      </c>
      <c r="I824" s="59">
        <v>30585.0</v>
      </c>
      <c r="J824" s="56">
        <f t="shared" si="57"/>
        <v>42</v>
      </c>
      <c r="K824" s="56">
        <v>3.312987565E9</v>
      </c>
      <c r="L824" s="60" t="s">
        <v>1939</v>
      </c>
      <c r="M824" s="59"/>
      <c r="N824" s="60" t="s">
        <v>346</v>
      </c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8.75" hidden="1" customHeight="1">
      <c r="A825" s="56">
        <f t="shared" si="37"/>
        <v>822</v>
      </c>
      <c r="B825" s="56" t="str">
        <f t="shared" si="55"/>
        <v>HB213</v>
      </c>
      <c r="C825" s="57" t="s">
        <v>1940</v>
      </c>
      <c r="D825" s="56" t="s">
        <v>117</v>
      </c>
      <c r="E825" s="56" t="s">
        <v>40</v>
      </c>
      <c r="F825" s="56" t="s">
        <v>7</v>
      </c>
      <c r="G825" s="56" t="s">
        <v>118</v>
      </c>
      <c r="H825" s="56" t="s">
        <v>118</v>
      </c>
      <c r="I825" s="59">
        <v>39342.0</v>
      </c>
      <c r="J825" s="56">
        <f t="shared" si="57"/>
        <v>18</v>
      </c>
      <c r="K825" s="56"/>
      <c r="L825" s="60" t="s">
        <v>1941</v>
      </c>
      <c r="M825" s="59">
        <v>44660.0</v>
      </c>
      <c r="N825" s="60" t="s">
        <v>218</v>
      </c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8.75" hidden="1" customHeight="1">
      <c r="A826" s="56">
        <f t="shared" si="37"/>
        <v>823</v>
      </c>
      <c r="B826" s="56" t="str">
        <f t="shared" si="55"/>
        <v>HB214</v>
      </c>
      <c r="C826" s="57" t="s">
        <v>1942</v>
      </c>
      <c r="D826" s="56" t="s">
        <v>117</v>
      </c>
      <c r="E826" s="56" t="s">
        <v>40</v>
      </c>
      <c r="F826" s="56" t="s">
        <v>7</v>
      </c>
      <c r="G826" s="56" t="s">
        <v>118</v>
      </c>
      <c r="H826" s="56" t="s">
        <v>118</v>
      </c>
      <c r="I826" s="73">
        <v>38331.0</v>
      </c>
      <c r="J826" s="56">
        <f t="shared" si="57"/>
        <v>21</v>
      </c>
      <c r="K826" s="56">
        <v>3.321295156E9</v>
      </c>
      <c r="L826" s="60" t="s">
        <v>1943</v>
      </c>
      <c r="M826" s="59">
        <v>44249.0</v>
      </c>
      <c r="N826" s="60" t="s">
        <v>1915</v>
      </c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8.75" customHeight="1">
      <c r="A827" s="56">
        <f t="shared" si="37"/>
        <v>824</v>
      </c>
      <c r="B827" s="56" t="str">
        <f t="shared" si="55"/>
        <v>ML38</v>
      </c>
      <c r="C827" s="72" t="s">
        <v>1944</v>
      </c>
      <c r="D827" s="56" t="s">
        <v>128</v>
      </c>
      <c r="E827" s="56" t="s">
        <v>40</v>
      </c>
      <c r="F827" s="56" t="s">
        <v>12</v>
      </c>
      <c r="G827" s="58" t="s">
        <v>118</v>
      </c>
      <c r="H827" s="56" t="s">
        <v>118</v>
      </c>
      <c r="I827" s="73">
        <v>40387.0</v>
      </c>
      <c r="J827" s="56">
        <f t="shared" si="57"/>
        <v>15</v>
      </c>
      <c r="K827" s="58">
        <v>3.326478663E9</v>
      </c>
      <c r="L827" s="71" t="s">
        <v>1945</v>
      </c>
      <c r="M827" s="73">
        <v>45488.0</v>
      </c>
      <c r="N827" s="71" t="s">
        <v>1494</v>
      </c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8.75" customHeight="1">
      <c r="A828" s="75">
        <f t="shared" si="37"/>
        <v>825</v>
      </c>
      <c r="B828" s="75" t="str">
        <f t="shared" si="55"/>
        <v>MMa40</v>
      </c>
      <c r="C828" s="76" t="s">
        <v>1946</v>
      </c>
      <c r="D828" s="75" t="s">
        <v>128</v>
      </c>
      <c r="E828" s="77" t="s">
        <v>40</v>
      </c>
      <c r="F828" s="77" t="s">
        <v>18</v>
      </c>
      <c r="G828" s="75" t="s">
        <v>118</v>
      </c>
      <c r="H828" s="75" t="s">
        <v>118</v>
      </c>
      <c r="I828" s="78">
        <v>39228.0</v>
      </c>
      <c r="J828" s="75">
        <f t="shared" si="57"/>
        <v>18</v>
      </c>
      <c r="K828" s="77">
        <v>3.325183126E9</v>
      </c>
      <c r="L828" s="79" t="s">
        <v>1947</v>
      </c>
      <c r="M828" s="78">
        <v>45687.0</v>
      </c>
      <c r="N828" s="71" t="s">
        <v>1031</v>
      </c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8.75" customHeight="1">
      <c r="A829" s="56">
        <f t="shared" si="37"/>
        <v>826</v>
      </c>
      <c r="B829" s="56" t="str">
        <f t="shared" si="55"/>
        <v>MJ56</v>
      </c>
      <c r="C829" s="57" t="s">
        <v>1948</v>
      </c>
      <c r="D829" s="56" t="s">
        <v>128</v>
      </c>
      <c r="E829" s="56" t="s">
        <v>34</v>
      </c>
      <c r="F829" s="56" t="s">
        <v>30</v>
      </c>
      <c r="G829" s="56"/>
      <c r="H829" s="56" t="s">
        <v>118</v>
      </c>
      <c r="I829" s="59">
        <v>25051.0</v>
      </c>
      <c r="J829" s="56">
        <f t="shared" si="57"/>
        <v>57</v>
      </c>
      <c r="K829" s="56">
        <v>3.312504161E9</v>
      </c>
      <c r="L829" s="60" t="s">
        <v>1949</v>
      </c>
      <c r="M829" s="59"/>
      <c r="N829" s="71" t="s">
        <v>1950</v>
      </c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8.75" customHeight="1">
      <c r="A830" s="75">
        <f t="shared" si="37"/>
        <v>827</v>
      </c>
      <c r="B830" s="75" t="str">
        <f t="shared" si="55"/>
        <v>HS37</v>
      </c>
      <c r="C830" s="76" t="s">
        <v>1951</v>
      </c>
      <c r="D830" s="77" t="s">
        <v>117</v>
      </c>
      <c r="E830" s="77" t="s">
        <v>22</v>
      </c>
      <c r="F830" s="77" t="s">
        <v>43</v>
      </c>
      <c r="G830" s="77" t="s">
        <v>165</v>
      </c>
      <c r="H830" s="75" t="s">
        <v>118</v>
      </c>
      <c r="I830" s="78">
        <v>32069.0</v>
      </c>
      <c r="J830" s="75">
        <f t="shared" si="57"/>
        <v>38</v>
      </c>
      <c r="K830" s="77">
        <v>9.621695912E9</v>
      </c>
      <c r="L830" s="79" t="s">
        <v>1952</v>
      </c>
      <c r="M830" s="80">
        <v>45924.0</v>
      </c>
      <c r="N830" s="7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8.75" hidden="1" customHeight="1">
      <c r="A831" s="56">
        <f t="shared" si="37"/>
        <v>828</v>
      </c>
      <c r="B831" s="56" t="str">
        <f t="shared" si="55"/>
        <v>MB206</v>
      </c>
      <c r="C831" s="81" t="s">
        <v>27</v>
      </c>
      <c r="D831" s="56" t="s">
        <v>128</v>
      </c>
      <c r="E831" s="56" t="s">
        <v>34</v>
      </c>
      <c r="F831" s="56" t="s">
        <v>7</v>
      </c>
      <c r="G831" s="56" t="s">
        <v>118</v>
      </c>
      <c r="H831" s="56" t="s">
        <v>118</v>
      </c>
      <c r="I831" s="59">
        <v>17644.0</v>
      </c>
      <c r="J831" s="56">
        <f t="shared" si="57"/>
        <v>78</v>
      </c>
      <c r="K831" s="56">
        <v>3.6980023E7</v>
      </c>
      <c r="L831" s="60" t="s">
        <v>1953</v>
      </c>
      <c r="M831" s="59">
        <v>43417.0</v>
      </c>
      <c r="N831" s="60" t="s">
        <v>1954</v>
      </c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8.75" hidden="1" customHeight="1">
      <c r="A832" s="56">
        <f t="shared" si="37"/>
        <v>829</v>
      </c>
      <c r="B832" s="56" t="str">
        <f t="shared" si="55"/>
        <v>MB207</v>
      </c>
      <c r="C832" s="57" t="s">
        <v>1955</v>
      </c>
      <c r="D832" s="56" t="s">
        <v>128</v>
      </c>
      <c r="E832" s="56" t="s">
        <v>22</v>
      </c>
      <c r="F832" s="56" t="s">
        <v>7</v>
      </c>
      <c r="G832" s="56" t="s">
        <v>118</v>
      </c>
      <c r="H832" s="56" t="s">
        <v>118</v>
      </c>
      <c r="I832" s="59">
        <v>28008.0</v>
      </c>
      <c r="J832" s="56">
        <f t="shared" si="57"/>
        <v>49</v>
      </c>
      <c r="K832" s="56">
        <v>3.311766639E9</v>
      </c>
      <c r="L832" s="60" t="s">
        <v>1956</v>
      </c>
      <c r="M832" s="59"/>
      <c r="N832" s="60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8.75" hidden="1" customHeight="1">
      <c r="A833" s="56">
        <f t="shared" si="37"/>
        <v>830</v>
      </c>
      <c r="B833" s="56" t="str">
        <f>IF(C833="","",D833&amp;$F$761&amp;COUNTIFS($D$4:D833,$D$761,$F$4:F833,$F$761))</f>
        <v>ML38</v>
      </c>
      <c r="C833" s="57" t="s">
        <v>1957</v>
      </c>
      <c r="D833" s="56" t="s">
        <v>128</v>
      </c>
      <c r="E833" s="56" t="s">
        <v>34</v>
      </c>
      <c r="F833" s="58" t="s">
        <v>7</v>
      </c>
      <c r="G833" s="56" t="s">
        <v>118</v>
      </c>
      <c r="H833" s="56" t="s">
        <v>118</v>
      </c>
      <c r="I833" s="59">
        <v>14801.0</v>
      </c>
      <c r="J833" s="56">
        <f>IF($C$761="","",DATEDIF(I833,TODAY(),"Y"))</f>
        <v>85</v>
      </c>
      <c r="K833" s="56">
        <v>3.330054178E9</v>
      </c>
      <c r="L833" s="60" t="s">
        <v>1958</v>
      </c>
      <c r="M833" s="59">
        <v>45357.0</v>
      </c>
      <c r="N833" s="60" t="s">
        <v>1519</v>
      </c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8.75" customHeight="1">
      <c r="A834" s="56">
        <f t="shared" si="37"/>
        <v>831</v>
      </c>
      <c r="B834" s="56" t="str">
        <f t="shared" ref="B834:B910" si="58">IF(C834="","",D834&amp;F834&amp;COUNTIFS($D$4:D834,D834,$F$4:F834,F834))</f>
        <v>MS44</v>
      </c>
      <c r="C834" s="57" t="s">
        <v>1959</v>
      </c>
      <c r="D834" s="56" t="s">
        <v>128</v>
      </c>
      <c r="E834" s="56" t="s">
        <v>34</v>
      </c>
      <c r="F834" s="56" t="s">
        <v>43</v>
      </c>
      <c r="G834" s="56"/>
      <c r="H834" s="56" t="s">
        <v>118</v>
      </c>
      <c r="I834" s="59">
        <v>21313.0</v>
      </c>
      <c r="J834" s="56">
        <f>IF(C834="","",DATEDIF(I834,TODAY(),"Y"))</f>
        <v>67</v>
      </c>
      <c r="K834" s="56">
        <v>3.331859582E9</v>
      </c>
      <c r="L834" s="60" t="s">
        <v>865</v>
      </c>
      <c r="M834" s="59"/>
      <c r="N834" s="60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8.75" customHeight="1">
      <c r="A835" s="43">
        <f t="shared" si="37"/>
        <v>832</v>
      </c>
      <c r="B835" s="43" t="str">
        <f t="shared" si="58"/>
        <v>HV20</v>
      </c>
      <c r="C835" s="44" t="s">
        <v>1960</v>
      </c>
      <c r="D835" s="45" t="s">
        <v>117</v>
      </c>
      <c r="E835" s="45" t="s">
        <v>40</v>
      </c>
      <c r="F835" s="45" t="s">
        <v>36</v>
      </c>
      <c r="G835" s="45"/>
      <c r="H835" s="45" t="s">
        <v>118</v>
      </c>
      <c r="I835" s="63">
        <v>40181.0</v>
      </c>
      <c r="J835" s="43">
        <f>IF($C$761="","",DATEDIF(I835,TODAY(),"Y"))</f>
        <v>16</v>
      </c>
      <c r="K835" s="45">
        <v>3.337855902E9</v>
      </c>
      <c r="L835" s="48" t="s">
        <v>1961</v>
      </c>
      <c r="M835" s="63">
        <v>45482.0</v>
      </c>
      <c r="N835" s="48" t="s">
        <v>1176</v>
      </c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8.75" customHeight="1">
      <c r="A836" s="56">
        <f t="shared" si="37"/>
        <v>833</v>
      </c>
      <c r="B836" s="56" t="str">
        <f t="shared" si="58"/>
        <v>HL25</v>
      </c>
      <c r="C836" s="72" t="s">
        <v>1962</v>
      </c>
      <c r="D836" s="58" t="s">
        <v>117</v>
      </c>
      <c r="E836" s="58" t="s">
        <v>28</v>
      </c>
      <c r="F836" s="56" t="s">
        <v>12</v>
      </c>
      <c r="G836" s="56"/>
      <c r="H836" s="56" t="s">
        <v>118</v>
      </c>
      <c r="I836" s="73">
        <v>34536.0</v>
      </c>
      <c r="J836" s="56">
        <f t="shared" ref="J836:J869" si="59">IF(C836="","",DATEDIF(I836,TODAY(),"Y"))</f>
        <v>31</v>
      </c>
      <c r="K836" s="58">
        <v>3.32665695E9</v>
      </c>
      <c r="L836" s="71" t="s">
        <v>1963</v>
      </c>
      <c r="M836" s="73">
        <v>45474.0</v>
      </c>
      <c r="N836" s="71" t="s">
        <v>1964</v>
      </c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8.75" customHeight="1">
      <c r="A837" s="56">
        <f t="shared" si="37"/>
        <v>834</v>
      </c>
      <c r="B837" s="56" t="str">
        <f t="shared" si="58"/>
        <v>MMa41</v>
      </c>
      <c r="C837" s="72" t="s">
        <v>1965</v>
      </c>
      <c r="D837" s="58" t="s">
        <v>128</v>
      </c>
      <c r="E837" s="58" t="s">
        <v>34</v>
      </c>
      <c r="F837" s="58" t="s">
        <v>18</v>
      </c>
      <c r="G837" s="58" t="s">
        <v>118</v>
      </c>
      <c r="H837" s="56" t="s">
        <v>118</v>
      </c>
      <c r="I837" s="73">
        <v>25134.0</v>
      </c>
      <c r="J837" s="56">
        <f t="shared" si="59"/>
        <v>57</v>
      </c>
      <c r="K837" s="58"/>
      <c r="L837" s="71" t="s">
        <v>1966</v>
      </c>
      <c r="M837" s="85">
        <v>45992.0</v>
      </c>
      <c r="N837" s="71" t="s">
        <v>1967</v>
      </c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8.75" customHeight="1">
      <c r="A838" s="56">
        <f t="shared" si="37"/>
        <v>835</v>
      </c>
      <c r="B838" s="56" t="str">
        <f t="shared" si="58"/>
        <v>MMi26</v>
      </c>
      <c r="C838" s="57" t="s">
        <v>1968</v>
      </c>
      <c r="D838" s="56" t="s">
        <v>128</v>
      </c>
      <c r="E838" s="56" t="s">
        <v>22</v>
      </c>
      <c r="F838" s="56" t="s">
        <v>24</v>
      </c>
      <c r="G838" s="56"/>
      <c r="H838" s="56" t="s">
        <v>118</v>
      </c>
      <c r="I838" s="59">
        <v>32168.0</v>
      </c>
      <c r="J838" s="56">
        <f t="shared" si="59"/>
        <v>38</v>
      </c>
      <c r="K838" s="56">
        <v>3.327813366E9</v>
      </c>
      <c r="L838" s="60" t="s">
        <v>334</v>
      </c>
      <c r="M838" s="59">
        <v>44777.0</v>
      </c>
      <c r="N838" s="60" t="s">
        <v>1969</v>
      </c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8.75" customHeight="1">
      <c r="A839" s="50">
        <f t="shared" si="37"/>
        <v>836</v>
      </c>
      <c r="B839" s="50" t="str">
        <f t="shared" si="58"/>
        <v>HV21</v>
      </c>
      <c r="C839" s="51" t="s">
        <v>1970</v>
      </c>
      <c r="D839" s="52" t="s">
        <v>117</v>
      </c>
      <c r="E839" s="52" t="s">
        <v>40</v>
      </c>
      <c r="F839" s="52" t="s">
        <v>36</v>
      </c>
      <c r="G839" s="52" t="s">
        <v>118</v>
      </c>
      <c r="H839" s="50" t="s">
        <v>118</v>
      </c>
      <c r="I839" s="53">
        <v>40307.0</v>
      </c>
      <c r="J839" s="50">
        <f t="shared" si="59"/>
        <v>15</v>
      </c>
      <c r="K839" s="52">
        <v>3.310037599E9</v>
      </c>
      <c r="L839" s="54" t="s">
        <v>1971</v>
      </c>
      <c r="M839" s="53">
        <v>45681.0</v>
      </c>
      <c r="N839" s="48" t="s">
        <v>215</v>
      </c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8.75" customHeight="1">
      <c r="A840" s="56">
        <f t="shared" si="37"/>
        <v>837</v>
      </c>
      <c r="B840" s="56" t="str">
        <f t="shared" si="58"/>
        <v>MJ57</v>
      </c>
      <c r="C840" s="72" t="s">
        <v>1972</v>
      </c>
      <c r="D840" s="58" t="s">
        <v>128</v>
      </c>
      <c r="E840" s="58" t="s">
        <v>40</v>
      </c>
      <c r="F840" s="58" t="s">
        <v>30</v>
      </c>
      <c r="G840" s="58" t="s">
        <v>118</v>
      </c>
      <c r="H840" s="56" t="s">
        <v>118</v>
      </c>
      <c r="I840" s="73">
        <v>40192.0</v>
      </c>
      <c r="J840" s="56">
        <f t="shared" si="59"/>
        <v>16</v>
      </c>
      <c r="K840" s="58">
        <v>3.315985343E9</v>
      </c>
      <c r="L840" s="71" t="s">
        <v>1973</v>
      </c>
      <c r="M840" s="85">
        <v>46040.0</v>
      </c>
      <c r="N840" s="71" t="s">
        <v>439</v>
      </c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8.75" hidden="1" customHeight="1">
      <c r="A841" s="56">
        <f t="shared" si="37"/>
        <v>838</v>
      </c>
      <c r="B841" s="56" t="str">
        <f t="shared" si="58"/>
        <v>HB215</v>
      </c>
      <c r="C841" s="57" t="s">
        <v>1974</v>
      </c>
      <c r="D841" s="56" t="s">
        <v>117</v>
      </c>
      <c r="E841" s="56" t="s">
        <v>40</v>
      </c>
      <c r="F841" s="58" t="s">
        <v>7</v>
      </c>
      <c r="G841" s="56" t="s">
        <v>118</v>
      </c>
      <c r="H841" s="56" t="s">
        <v>118</v>
      </c>
      <c r="I841" s="59">
        <v>37148.0</v>
      </c>
      <c r="J841" s="56">
        <f t="shared" si="59"/>
        <v>24</v>
      </c>
      <c r="K841" s="56">
        <v>3.322074491E9</v>
      </c>
      <c r="L841" s="60" t="s">
        <v>1975</v>
      </c>
      <c r="M841" s="59"/>
      <c r="N841" s="60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8.75" hidden="1" customHeight="1">
      <c r="A842" s="56">
        <f t="shared" si="37"/>
        <v>839</v>
      </c>
      <c r="B842" s="56" t="str">
        <f t="shared" si="58"/>
        <v>HB216</v>
      </c>
      <c r="C842" s="57" t="s">
        <v>1976</v>
      </c>
      <c r="D842" s="56" t="s">
        <v>117</v>
      </c>
      <c r="E842" s="56" t="s">
        <v>40</v>
      </c>
      <c r="F842" s="58" t="s">
        <v>7</v>
      </c>
      <c r="G842" s="56" t="s">
        <v>118</v>
      </c>
      <c r="H842" s="56" t="s">
        <v>118</v>
      </c>
      <c r="I842" s="59">
        <v>36710.0</v>
      </c>
      <c r="J842" s="56">
        <f t="shared" si="59"/>
        <v>25</v>
      </c>
      <c r="K842" s="56">
        <v>3.311329916E9</v>
      </c>
      <c r="L842" s="60" t="s">
        <v>1975</v>
      </c>
      <c r="M842" s="59"/>
      <c r="N842" s="60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8.75" customHeight="1">
      <c r="A843" s="56">
        <f t="shared" si="37"/>
        <v>840</v>
      </c>
      <c r="B843" s="56" t="str">
        <f t="shared" si="58"/>
        <v>MMi27</v>
      </c>
      <c r="C843" s="57" t="s">
        <v>1977</v>
      </c>
      <c r="D843" s="56" t="s">
        <v>128</v>
      </c>
      <c r="E843" s="56" t="s">
        <v>40</v>
      </c>
      <c r="F843" s="56" t="s">
        <v>24</v>
      </c>
      <c r="G843" s="58" t="s">
        <v>118</v>
      </c>
      <c r="H843" s="56" t="s">
        <v>118</v>
      </c>
      <c r="I843" s="59">
        <v>39172.0</v>
      </c>
      <c r="J843" s="56">
        <f t="shared" si="59"/>
        <v>19</v>
      </c>
      <c r="K843" s="56">
        <v>3.326551797E9</v>
      </c>
      <c r="L843" s="60" t="s">
        <v>1978</v>
      </c>
      <c r="M843" s="59">
        <v>44986.0</v>
      </c>
      <c r="N843" s="71" t="s">
        <v>1922</v>
      </c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8.75" customHeight="1">
      <c r="A844" s="56">
        <f t="shared" si="37"/>
        <v>841</v>
      </c>
      <c r="B844" s="56" t="str">
        <f t="shared" si="58"/>
        <v>MS45</v>
      </c>
      <c r="C844" s="81" t="s">
        <v>46</v>
      </c>
      <c r="D844" s="56" t="s">
        <v>128</v>
      </c>
      <c r="E844" s="56" t="s">
        <v>34</v>
      </c>
      <c r="F844" s="56" t="s">
        <v>43</v>
      </c>
      <c r="G844" s="56"/>
      <c r="H844" s="56" t="s">
        <v>118</v>
      </c>
      <c r="I844" s="59">
        <v>16984.0</v>
      </c>
      <c r="J844" s="56">
        <f t="shared" si="59"/>
        <v>79</v>
      </c>
      <c r="K844" s="56">
        <v>3.334091357E9</v>
      </c>
      <c r="L844" s="60" t="s">
        <v>1979</v>
      </c>
      <c r="M844" s="59"/>
      <c r="N844" s="60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8.75" hidden="1" customHeight="1">
      <c r="A845" s="56">
        <f t="shared" si="37"/>
        <v>842</v>
      </c>
      <c r="B845" s="56" t="str">
        <f t="shared" si="58"/>
        <v>HB217</v>
      </c>
      <c r="C845" s="57" t="s">
        <v>1980</v>
      </c>
      <c r="D845" s="56" t="s">
        <v>117</v>
      </c>
      <c r="E845" s="56" t="s">
        <v>16</v>
      </c>
      <c r="F845" s="58" t="s">
        <v>7</v>
      </c>
      <c r="G845" s="56" t="s">
        <v>118</v>
      </c>
      <c r="H845" s="56" t="s">
        <v>118</v>
      </c>
      <c r="I845" s="59">
        <v>19908.0</v>
      </c>
      <c r="J845" s="56">
        <f t="shared" si="59"/>
        <v>71</v>
      </c>
      <c r="K845" s="56">
        <v>3.311181687E9</v>
      </c>
      <c r="L845" s="60" t="s">
        <v>1981</v>
      </c>
      <c r="M845" s="59">
        <v>45173.0</v>
      </c>
      <c r="N845" s="60" t="s">
        <v>916</v>
      </c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8.75" customHeight="1">
      <c r="A846" s="56">
        <f t="shared" si="37"/>
        <v>843</v>
      </c>
      <c r="B846" s="56" t="str">
        <f t="shared" si="58"/>
        <v>MMa42</v>
      </c>
      <c r="C846" s="57" t="s">
        <v>1982</v>
      </c>
      <c r="D846" s="56" t="s">
        <v>128</v>
      </c>
      <c r="E846" s="56" t="s">
        <v>140</v>
      </c>
      <c r="F846" s="56" t="s">
        <v>18</v>
      </c>
      <c r="G846" s="58" t="s">
        <v>118</v>
      </c>
      <c r="H846" s="56" t="s">
        <v>118</v>
      </c>
      <c r="I846" s="59">
        <v>23735.0</v>
      </c>
      <c r="J846" s="56">
        <f t="shared" si="59"/>
        <v>61</v>
      </c>
      <c r="K846" s="56">
        <v>3.322197741E9</v>
      </c>
      <c r="L846" s="60" t="s">
        <v>1983</v>
      </c>
      <c r="M846" s="59"/>
      <c r="N846" s="60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8.75" customHeight="1">
      <c r="A847" s="56">
        <f t="shared" si="37"/>
        <v>844</v>
      </c>
      <c r="B847" s="56" t="str">
        <f t="shared" si="58"/>
        <v>MJ58</v>
      </c>
      <c r="C847" s="72" t="s">
        <v>1984</v>
      </c>
      <c r="D847" s="56" t="s">
        <v>128</v>
      </c>
      <c r="E847" s="58" t="s">
        <v>40</v>
      </c>
      <c r="F847" s="58" t="s">
        <v>30</v>
      </c>
      <c r="G847" s="58" t="s">
        <v>118</v>
      </c>
      <c r="H847" s="56" t="s">
        <v>118</v>
      </c>
      <c r="I847" s="73">
        <v>40365.0</v>
      </c>
      <c r="J847" s="56">
        <f t="shared" si="59"/>
        <v>15</v>
      </c>
      <c r="K847" s="58">
        <v>6.241181045E9</v>
      </c>
      <c r="L847" s="71" t="s">
        <v>1985</v>
      </c>
      <c r="M847" s="73">
        <v>46063.0</v>
      </c>
      <c r="N847" s="71" t="s">
        <v>439</v>
      </c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8.75" hidden="1" customHeight="1">
      <c r="A848" s="56">
        <f t="shared" si="37"/>
        <v>845</v>
      </c>
      <c r="B848" s="56" t="str">
        <f t="shared" si="58"/>
        <v>MB209</v>
      </c>
      <c r="C848" s="57" t="s">
        <v>1986</v>
      </c>
      <c r="D848" s="56" t="s">
        <v>128</v>
      </c>
      <c r="E848" s="56" t="s">
        <v>22</v>
      </c>
      <c r="F848" s="56" t="s">
        <v>7</v>
      </c>
      <c r="G848" s="56" t="s">
        <v>118</v>
      </c>
      <c r="H848" s="56" t="s">
        <v>118</v>
      </c>
      <c r="I848" s="59">
        <v>28377.0</v>
      </c>
      <c r="J848" s="56">
        <f t="shared" si="59"/>
        <v>48</v>
      </c>
      <c r="K848" s="56">
        <v>3.8013335E7</v>
      </c>
      <c r="L848" s="60" t="s">
        <v>1987</v>
      </c>
      <c r="M848" s="59">
        <v>43281.0</v>
      </c>
      <c r="N848" s="60" t="s">
        <v>1988</v>
      </c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8.75" hidden="1" customHeight="1">
      <c r="A849" s="56">
        <f t="shared" si="37"/>
        <v>846</v>
      </c>
      <c r="B849" s="56" t="str">
        <f t="shared" si="58"/>
        <v>HB218</v>
      </c>
      <c r="C849" s="57" t="s">
        <v>1989</v>
      </c>
      <c r="D849" s="56" t="s">
        <v>117</v>
      </c>
      <c r="E849" s="56" t="s">
        <v>16</v>
      </c>
      <c r="F849" s="56" t="s">
        <v>7</v>
      </c>
      <c r="G849" s="56" t="s">
        <v>118</v>
      </c>
      <c r="H849" s="56" t="s">
        <v>118</v>
      </c>
      <c r="I849" s="59">
        <v>25756.0</v>
      </c>
      <c r="J849" s="56">
        <f t="shared" si="59"/>
        <v>55</v>
      </c>
      <c r="K849" s="56">
        <v>3.323301058E9</v>
      </c>
      <c r="L849" s="60" t="s">
        <v>1990</v>
      </c>
      <c r="M849" s="59">
        <v>43770.0</v>
      </c>
      <c r="N849" s="60" t="s">
        <v>1991</v>
      </c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8.75" hidden="1" customHeight="1">
      <c r="A850" s="56">
        <f t="shared" si="37"/>
        <v>847</v>
      </c>
      <c r="B850" s="56" t="str">
        <f t="shared" si="58"/>
        <v>HB219</v>
      </c>
      <c r="C850" s="57" t="s">
        <v>1992</v>
      </c>
      <c r="D850" s="56" t="s">
        <v>117</v>
      </c>
      <c r="E850" s="56" t="s">
        <v>40</v>
      </c>
      <c r="F850" s="58" t="s">
        <v>7</v>
      </c>
      <c r="G850" s="56" t="s">
        <v>118</v>
      </c>
      <c r="H850" s="56" t="s">
        <v>118</v>
      </c>
      <c r="I850" s="59">
        <v>36525.0</v>
      </c>
      <c r="J850" s="56">
        <f t="shared" si="59"/>
        <v>26</v>
      </c>
      <c r="K850" s="56">
        <v>5.6170669E9</v>
      </c>
      <c r="L850" s="60" t="s">
        <v>1993</v>
      </c>
      <c r="M850" s="59">
        <v>44764.0</v>
      </c>
      <c r="N850" s="60" t="s">
        <v>1994</v>
      </c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8.75" customHeight="1">
      <c r="A851" s="56">
        <f t="shared" si="37"/>
        <v>848</v>
      </c>
      <c r="B851" s="56" t="str">
        <f t="shared" si="58"/>
        <v>HS38</v>
      </c>
      <c r="C851" s="57" t="s">
        <v>1995</v>
      </c>
      <c r="D851" s="56" t="s">
        <v>117</v>
      </c>
      <c r="E851" s="56" t="s">
        <v>40</v>
      </c>
      <c r="F851" s="56" t="s">
        <v>43</v>
      </c>
      <c r="G851" s="58" t="s">
        <v>118</v>
      </c>
      <c r="H851" s="56" t="s">
        <v>118</v>
      </c>
      <c r="I851" s="59">
        <v>34323.0</v>
      </c>
      <c r="J851" s="56">
        <f t="shared" si="59"/>
        <v>32</v>
      </c>
      <c r="K851" s="56">
        <v>3.312070604E9</v>
      </c>
      <c r="L851" s="60" t="s">
        <v>1996</v>
      </c>
      <c r="M851" s="59">
        <v>44670.0</v>
      </c>
      <c r="N851" s="71" t="s">
        <v>1997</v>
      </c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8.75" customHeight="1">
      <c r="A852" s="56">
        <f t="shared" si="37"/>
        <v>849</v>
      </c>
      <c r="B852" s="56" t="str">
        <f t="shared" si="58"/>
        <v>MJ59</v>
      </c>
      <c r="C852" s="57" t="s">
        <v>1998</v>
      </c>
      <c r="D852" s="56" t="s">
        <v>128</v>
      </c>
      <c r="E852" s="56" t="s">
        <v>34</v>
      </c>
      <c r="F852" s="56" t="s">
        <v>30</v>
      </c>
      <c r="G852" s="56"/>
      <c r="H852" s="56" t="s">
        <v>118</v>
      </c>
      <c r="I852" s="59">
        <v>13946.0</v>
      </c>
      <c r="J852" s="56">
        <f t="shared" si="59"/>
        <v>88</v>
      </c>
      <c r="K852" s="56">
        <v>3.698074E7</v>
      </c>
      <c r="L852" s="60" t="s">
        <v>1999</v>
      </c>
      <c r="M852" s="59"/>
      <c r="N852" s="60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8.75" hidden="1" customHeight="1">
      <c r="A853" s="56">
        <f t="shared" si="37"/>
        <v>850</v>
      </c>
      <c r="B853" s="56" t="str">
        <f t="shared" si="58"/>
        <v>HB220</v>
      </c>
      <c r="C853" s="57" t="s">
        <v>2000</v>
      </c>
      <c r="D853" s="56" t="s">
        <v>117</v>
      </c>
      <c r="E853" s="56" t="s">
        <v>40</v>
      </c>
      <c r="F853" s="56" t="s">
        <v>7</v>
      </c>
      <c r="G853" s="56" t="s">
        <v>118</v>
      </c>
      <c r="H853" s="56" t="s">
        <v>118</v>
      </c>
      <c r="I853" s="59">
        <v>36033.0</v>
      </c>
      <c r="J853" s="56">
        <f t="shared" si="59"/>
        <v>27</v>
      </c>
      <c r="K853" s="56">
        <v>3.321217407E9</v>
      </c>
      <c r="L853" s="60" t="s">
        <v>2001</v>
      </c>
      <c r="M853" s="59">
        <v>42979.0</v>
      </c>
      <c r="N853" s="60" t="s">
        <v>284</v>
      </c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8.75" customHeight="1">
      <c r="A854" s="56">
        <f t="shared" si="37"/>
        <v>851</v>
      </c>
      <c r="B854" s="56" t="str">
        <f t="shared" si="58"/>
        <v>MV40</v>
      </c>
      <c r="C854" s="72" t="s">
        <v>2002</v>
      </c>
      <c r="D854" s="56" t="s">
        <v>128</v>
      </c>
      <c r="E854" s="58" t="s">
        <v>16</v>
      </c>
      <c r="F854" s="58" t="s">
        <v>36</v>
      </c>
      <c r="G854" s="56" t="s">
        <v>118</v>
      </c>
      <c r="H854" s="56" t="s">
        <v>118</v>
      </c>
      <c r="I854" s="73">
        <v>27621.0</v>
      </c>
      <c r="J854" s="56">
        <f t="shared" si="59"/>
        <v>50</v>
      </c>
      <c r="K854" s="56"/>
      <c r="L854" s="71" t="s">
        <v>2003</v>
      </c>
      <c r="M854" s="73">
        <v>45292.0</v>
      </c>
      <c r="N854" s="71" t="s">
        <v>2004</v>
      </c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8.75" hidden="1" customHeight="1">
      <c r="A855" s="56">
        <f t="shared" si="37"/>
        <v>852</v>
      </c>
      <c r="B855" s="56" t="str">
        <f t="shared" si="58"/>
        <v>MB210</v>
      </c>
      <c r="C855" s="57" t="s">
        <v>2005</v>
      </c>
      <c r="D855" s="56" t="s">
        <v>128</v>
      </c>
      <c r="E855" s="56" t="s">
        <v>40</v>
      </c>
      <c r="F855" s="56" t="s">
        <v>7</v>
      </c>
      <c r="G855" s="56" t="s">
        <v>118</v>
      </c>
      <c r="H855" s="56" t="s">
        <v>118</v>
      </c>
      <c r="I855" s="59">
        <v>36127.0</v>
      </c>
      <c r="J855" s="56">
        <f t="shared" si="59"/>
        <v>27</v>
      </c>
      <c r="K855" s="56">
        <v>3.320919161E9</v>
      </c>
      <c r="L855" s="60" t="s">
        <v>2006</v>
      </c>
      <c r="M855" s="59"/>
      <c r="N855" s="60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8.75" hidden="1" customHeight="1">
      <c r="A856" s="56">
        <f t="shared" si="37"/>
        <v>853</v>
      </c>
      <c r="B856" s="56" t="str">
        <f t="shared" si="58"/>
        <v>MB211</v>
      </c>
      <c r="C856" s="57" t="s">
        <v>2007</v>
      </c>
      <c r="D856" s="56" t="s">
        <v>128</v>
      </c>
      <c r="E856" s="56" t="s">
        <v>22</v>
      </c>
      <c r="F856" s="58" t="s">
        <v>7</v>
      </c>
      <c r="G856" s="56" t="s">
        <v>118</v>
      </c>
      <c r="H856" s="56"/>
      <c r="I856" s="59">
        <v>32896.0</v>
      </c>
      <c r="J856" s="56">
        <f t="shared" si="59"/>
        <v>36</v>
      </c>
      <c r="K856" s="56">
        <v>3.319422219E9</v>
      </c>
      <c r="L856" s="60" t="s">
        <v>2008</v>
      </c>
      <c r="M856" s="59"/>
      <c r="N856" s="60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8.75" customHeight="1">
      <c r="A857" s="56">
        <f t="shared" si="37"/>
        <v>854</v>
      </c>
      <c r="B857" s="56" t="str">
        <f t="shared" si="58"/>
        <v>MMa43</v>
      </c>
      <c r="C857" s="57" t="s">
        <v>2009</v>
      </c>
      <c r="D857" s="56" t="s">
        <v>128</v>
      </c>
      <c r="E857" s="56" t="s">
        <v>40</v>
      </c>
      <c r="F857" s="58" t="s">
        <v>18</v>
      </c>
      <c r="G857" s="58" t="s">
        <v>118</v>
      </c>
      <c r="H857" s="56" t="s">
        <v>118</v>
      </c>
      <c r="I857" s="59">
        <v>39171.0</v>
      </c>
      <c r="J857" s="56">
        <f t="shared" si="59"/>
        <v>19</v>
      </c>
      <c r="K857" s="56">
        <v>3.6056103E7</v>
      </c>
      <c r="L857" s="60" t="s">
        <v>2010</v>
      </c>
      <c r="M857" s="59">
        <v>44935.0</v>
      </c>
      <c r="N857" s="60" t="s">
        <v>403</v>
      </c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8.75" hidden="1" customHeight="1">
      <c r="A858" s="56">
        <f t="shared" si="37"/>
        <v>855</v>
      </c>
      <c r="B858" s="56" t="str">
        <f t="shared" si="58"/>
        <v>HB221</v>
      </c>
      <c r="C858" s="57" t="s">
        <v>2011</v>
      </c>
      <c r="D858" s="56" t="s">
        <v>117</v>
      </c>
      <c r="E858" s="56" t="s">
        <v>40</v>
      </c>
      <c r="F858" s="58" t="s">
        <v>7</v>
      </c>
      <c r="G858" s="56"/>
      <c r="H858" s="56" t="s">
        <v>118</v>
      </c>
      <c r="I858" s="59">
        <v>36483.0</v>
      </c>
      <c r="J858" s="56">
        <f t="shared" si="59"/>
        <v>26</v>
      </c>
      <c r="K858" s="56">
        <v>3.6056103E7</v>
      </c>
      <c r="L858" s="60" t="s">
        <v>2012</v>
      </c>
      <c r="M858" s="59"/>
      <c r="N858" s="60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8.75" hidden="1" customHeight="1">
      <c r="A859" s="56">
        <f t="shared" si="37"/>
        <v>856</v>
      </c>
      <c r="B859" s="56" t="str">
        <f t="shared" si="58"/>
        <v>MB212</v>
      </c>
      <c r="C859" s="57" t="s">
        <v>2013</v>
      </c>
      <c r="D859" s="56" t="s">
        <v>128</v>
      </c>
      <c r="E859" s="56" t="s">
        <v>40</v>
      </c>
      <c r="F859" s="56" t="s">
        <v>7</v>
      </c>
      <c r="G859" s="56" t="s">
        <v>118</v>
      </c>
      <c r="H859" s="56" t="s">
        <v>118</v>
      </c>
      <c r="I859" s="59">
        <v>37203.0</v>
      </c>
      <c r="J859" s="56">
        <f t="shared" si="59"/>
        <v>24</v>
      </c>
      <c r="K859" s="56">
        <v>3.317512237E9</v>
      </c>
      <c r="L859" s="60" t="s">
        <v>2014</v>
      </c>
      <c r="M859" s="59"/>
      <c r="N859" s="60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8.75" hidden="1" customHeight="1">
      <c r="A860" s="56">
        <f t="shared" si="37"/>
        <v>857</v>
      </c>
      <c r="B860" s="56" t="str">
        <f t="shared" si="58"/>
        <v>MB213</v>
      </c>
      <c r="C860" s="57" t="s">
        <v>2013</v>
      </c>
      <c r="D860" s="56" t="s">
        <v>128</v>
      </c>
      <c r="E860" s="56" t="s">
        <v>28</v>
      </c>
      <c r="F860" s="56" t="s">
        <v>7</v>
      </c>
      <c r="G860" s="56" t="s">
        <v>118</v>
      </c>
      <c r="H860" s="56" t="s">
        <v>118</v>
      </c>
      <c r="I860" s="59">
        <v>37203.0</v>
      </c>
      <c r="J860" s="56">
        <f t="shared" si="59"/>
        <v>24</v>
      </c>
      <c r="K860" s="56">
        <v>3.334428943E9</v>
      </c>
      <c r="L860" s="60" t="s">
        <v>2015</v>
      </c>
      <c r="M860" s="59">
        <v>45275.0</v>
      </c>
      <c r="N860" s="60" t="s">
        <v>2016</v>
      </c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8.75" customHeight="1">
      <c r="A861" s="56">
        <f t="shared" si="37"/>
        <v>858</v>
      </c>
      <c r="B861" s="56" t="str">
        <f t="shared" si="58"/>
        <v>MMa44</v>
      </c>
      <c r="C861" s="57" t="s">
        <v>2017</v>
      </c>
      <c r="D861" s="56" t="s">
        <v>128</v>
      </c>
      <c r="E861" s="56" t="s">
        <v>40</v>
      </c>
      <c r="F861" s="56" t="s">
        <v>18</v>
      </c>
      <c r="G861" s="56"/>
      <c r="H861" s="56" t="s">
        <v>118</v>
      </c>
      <c r="I861" s="59">
        <v>39673.0</v>
      </c>
      <c r="J861" s="56">
        <f t="shared" si="59"/>
        <v>17</v>
      </c>
      <c r="K861" s="56">
        <v>3.6056403E7</v>
      </c>
      <c r="L861" s="60" t="s">
        <v>2018</v>
      </c>
      <c r="M861" s="59">
        <v>44760.0</v>
      </c>
      <c r="N861" s="60" t="s">
        <v>2019</v>
      </c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8.75" hidden="1" customHeight="1">
      <c r="A862" s="56">
        <f t="shared" si="37"/>
        <v>859</v>
      </c>
      <c r="B862" s="56" t="str">
        <f t="shared" si="58"/>
        <v>HB222</v>
      </c>
      <c r="C862" s="57" t="s">
        <v>2020</v>
      </c>
      <c r="D862" s="56" t="s">
        <v>117</v>
      </c>
      <c r="E862" s="56" t="s">
        <v>40</v>
      </c>
      <c r="F862" s="56" t="s">
        <v>7</v>
      </c>
      <c r="G862" s="56" t="s">
        <v>118</v>
      </c>
      <c r="H862" s="56" t="s">
        <v>118</v>
      </c>
      <c r="I862" s="59">
        <v>37388.0</v>
      </c>
      <c r="J862" s="56">
        <f t="shared" si="59"/>
        <v>23</v>
      </c>
      <c r="K862" s="56">
        <v>3.310942269E9</v>
      </c>
      <c r="L862" s="60" t="s">
        <v>1987</v>
      </c>
      <c r="M862" s="59">
        <v>43377.0</v>
      </c>
      <c r="N862" s="60" t="s">
        <v>1915</v>
      </c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8.75" customHeight="1">
      <c r="A863" s="75">
        <f t="shared" si="37"/>
        <v>860</v>
      </c>
      <c r="B863" s="75" t="str">
        <f t="shared" si="58"/>
        <v>HJ24</v>
      </c>
      <c r="C863" s="76" t="s">
        <v>2021</v>
      </c>
      <c r="D863" s="77" t="s">
        <v>117</v>
      </c>
      <c r="E863" s="77" t="s">
        <v>40</v>
      </c>
      <c r="F863" s="77" t="s">
        <v>30</v>
      </c>
      <c r="G863" s="77" t="s">
        <v>165</v>
      </c>
      <c r="H863" s="75" t="s">
        <v>118</v>
      </c>
      <c r="I863" s="78">
        <v>40583.0</v>
      </c>
      <c r="J863" s="75">
        <f t="shared" si="59"/>
        <v>15</v>
      </c>
      <c r="K863" s="77">
        <v>3.330610228E9</v>
      </c>
      <c r="L863" s="79" t="s">
        <v>2022</v>
      </c>
      <c r="M863" s="80">
        <v>45931.0</v>
      </c>
      <c r="N863" s="71" t="s">
        <v>1504</v>
      </c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8.75" customHeight="1">
      <c r="A864" s="56">
        <f t="shared" si="37"/>
        <v>861</v>
      </c>
      <c r="B864" s="56" t="str">
        <f t="shared" si="58"/>
        <v>MS46</v>
      </c>
      <c r="C864" s="57" t="s">
        <v>2023</v>
      </c>
      <c r="D864" s="56" t="s">
        <v>128</v>
      </c>
      <c r="E864" s="56" t="s">
        <v>140</v>
      </c>
      <c r="F864" s="56" t="s">
        <v>43</v>
      </c>
      <c r="G864" s="56"/>
      <c r="H864" s="56" t="s">
        <v>118</v>
      </c>
      <c r="I864" s="59">
        <v>19464.0</v>
      </c>
      <c r="J864" s="56">
        <f t="shared" si="59"/>
        <v>73</v>
      </c>
      <c r="K864" s="56">
        <v>3.310001134E9</v>
      </c>
      <c r="L864" s="60" t="s">
        <v>2024</v>
      </c>
      <c r="M864" s="59"/>
      <c r="N864" s="60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8.75" customHeight="1">
      <c r="A865" s="56">
        <f t="shared" si="37"/>
        <v>862</v>
      </c>
      <c r="B865" s="56" t="str">
        <f t="shared" si="58"/>
        <v>MV41</v>
      </c>
      <c r="C865" s="57" t="s">
        <v>2025</v>
      </c>
      <c r="D865" s="56" t="s">
        <v>128</v>
      </c>
      <c r="E865" s="56" t="s">
        <v>40</v>
      </c>
      <c r="F865" s="56" t="s">
        <v>36</v>
      </c>
      <c r="G865" s="56"/>
      <c r="H865" s="56" t="s">
        <v>118</v>
      </c>
      <c r="I865" s="59">
        <v>35070.0</v>
      </c>
      <c r="J865" s="56">
        <f t="shared" si="59"/>
        <v>30</v>
      </c>
      <c r="K865" s="56">
        <v>3.317083896E9</v>
      </c>
      <c r="L865" s="60" t="s">
        <v>2026</v>
      </c>
      <c r="M865" s="59">
        <v>43074.0</v>
      </c>
      <c r="N865" s="60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8.75" hidden="1" customHeight="1">
      <c r="A866" s="56">
        <f t="shared" si="37"/>
        <v>863</v>
      </c>
      <c r="B866" s="56" t="str">
        <f t="shared" si="58"/>
        <v>HB223</v>
      </c>
      <c r="C866" s="57" t="s">
        <v>2027</v>
      </c>
      <c r="D866" s="56" t="s">
        <v>117</v>
      </c>
      <c r="E866" s="56" t="s">
        <v>22</v>
      </c>
      <c r="F866" s="58" t="s">
        <v>7</v>
      </c>
      <c r="G866" s="56" t="s">
        <v>118</v>
      </c>
      <c r="H866" s="56" t="s">
        <v>118</v>
      </c>
      <c r="I866" s="59">
        <v>29027.0</v>
      </c>
      <c r="J866" s="56">
        <f t="shared" si="59"/>
        <v>46</v>
      </c>
      <c r="K866" s="56">
        <v>3.31337089E9</v>
      </c>
      <c r="L866" s="60" t="s">
        <v>2028</v>
      </c>
      <c r="M866" s="59"/>
      <c r="N866" s="60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8.75" customHeight="1">
      <c r="A867" s="56">
        <f t="shared" si="37"/>
        <v>864</v>
      </c>
      <c r="B867" s="56" t="str">
        <f t="shared" si="58"/>
        <v>MV42</v>
      </c>
      <c r="C867" s="57" t="s">
        <v>2029</v>
      </c>
      <c r="D867" s="56" t="s">
        <v>128</v>
      </c>
      <c r="E867" s="56" t="s">
        <v>16</v>
      </c>
      <c r="F867" s="58" t="s">
        <v>36</v>
      </c>
      <c r="G867" s="56"/>
      <c r="H867" s="56" t="s">
        <v>118</v>
      </c>
      <c r="I867" s="59">
        <v>16234.0</v>
      </c>
      <c r="J867" s="56">
        <f t="shared" si="59"/>
        <v>81</v>
      </c>
      <c r="K867" s="56">
        <v>5.578386106E9</v>
      </c>
      <c r="L867" s="60" t="s">
        <v>2030</v>
      </c>
      <c r="M867" s="59">
        <v>45028.0</v>
      </c>
      <c r="N867" s="60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8.75" customHeight="1">
      <c r="A868" s="75">
        <f t="shared" si="37"/>
        <v>865</v>
      </c>
      <c r="B868" s="75" t="str">
        <f t="shared" si="58"/>
        <v>HL26</v>
      </c>
      <c r="C868" s="76" t="s">
        <v>2031</v>
      </c>
      <c r="D868" s="77" t="s">
        <v>117</v>
      </c>
      <c r="E868" s="77" t="s">
        <v>22</v>
      </c>
      <c r="F868" s="77" t="s">
        <v>12</v>
      </c>
      <c r="G868" s="77" t="s">
        <v>118</v>
      </c>
      <c r="H868" s="75" t="s">
        <v>118</v>
      </c>
      <c r="I868" s="78">
        <v>28311.0</v>
      </c>
      <c r="J868" s="75">
        <f t="shared" si="59"/>
        <v>48</v>
      </c>
      <c r="K868" s="77">
        <v>3.312087469E9</v>
      </c>
      <c r="L868" s="79" t="s">
        <v>2032</v>
      </c>
      <c r="M868" s="80">
        <v>45958.0</v>
      </c>
      <c r="N868" s="71" t="s">
        <v>2033</v>
      </c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8.75" hidden="1" customHeight="1">
      <c r="A869" s="56">
        <f t="shared" si="37"/>
        <v>866</v>
      </c>
      <c r="B869" s="56" t="str">
        <f t="shared" si="58"/>
        <v>MB214</v>
      </c>
      <c r="C869" s="57" t="s">
        <v>2034</v>
      </c>
      <c r="D869" s="56" t="s">
        <v>128</v>
      </c>
      <c r="E869" s="56" t="s">
        <v>40</v>
      </c>
      <c r="F869" s="56" t="s">
        <v>7</v>
      </c>
      <c r="G869" s="56" t="s">
        <v>118</v>
      </c>
      <c r="H869" s="56" t="s">
        <v>118</v>
      </c>
      <c r="I869" s="59">
        <v>37018.0</v>
      </c>
      <c r="J869" s="56">
        <f t="shared" si="59"/>
        <v>24</v>
      </c>
      <c r="K869" s="56">
        <v>3.321441755E9</v>
      </c>
      <c r="L869" s="60" t="s">
        <v>2035</v>
      </c>
      <c r="M869" s="59">
        <v>42948.0</v>
      </c>
      <c r="N869" s="60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8.75" customHeight="1">
      <c r="A870" s="43">
        <f t="shared" si="37"/>
        <v>867</v>
      </c>
      <c r="B870" s="43" t="str">
        <f t="shared" si="58"/>
        <v>HV22</v>
      </c>
      <c r="C870" s="55" t="s">
        <v>2036</v>
      </c>
      <c r="D870" s="43" t="s">
        <v>117</v>
      </c>
      <c r="E870" s="43" t="s">
        <v>40</v>
      </c>
      <c r="F870" s="43" t="s">
        <v>36</v>
      </c>
      <c r="G870" s="43"/>
      <c r="H870" s="43" t="s">
        <v>118</v>
      </c>
      <c r="I870" s="46"/>
      <c r="J870" s="43"/>
      <c r="K870" s="43">
        <v>3.323547576E9</v>
      </c>
      <c r="L870" s="47" t="s">
        <v>2035</v>
      </c>
      <c r="M870" s="46">
        <v>44842.0</v>
      </c>
      <c r="N870" s="47" t="s">
        <v>543</v>
      </c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8.75" customHeight="1">
      <c r="A871" s="75">
        <f t="shared" si="37"/>
        <v>868</v>
      </c>
      <c r="B871" s="75" t="str">
        <f t="shared" si="58"/>
        <v>MV43</v>
      </c>
      <c r="C871" s="76" t="s">
        <v>2037</v>
      </c>
      <c r="D871" s="77" t="s">
        <v>128</v>
      </c>
      <c r="E871" s="77" t="s">
        <v>40</v>
      </c>
      <c r="F871" s="77" t="s">
        <v>36</v>
      </c>
      <c r="G871" s="75" t="s">
        <v>118</v>
      </c>
      <c r="H871" s="75" t="s">
        <v>118</v>
      </c>
      <c r="I871" s="78">
        <v>37018.0</v>
      </c>
      <c r="J871" s="75">
        <f t="shared" ref="J871:J910" si="60">IF(C871="","",DATEDIF(I871,TODAY(),"Y"))</f>
        <v>24</v>
      </c>
      <c r="K871" s="77">
        <v>3.312087469E9</v>
      </c>
      <c r="L871" s="79" t="s">
        <v>2035</v>
      </c>
      <c r="M871" s="78">
        <v>45705.0</v>
      </c>
      <c r="N871" s="71" t="s">
        <v>157</v>
      </c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8.75" customHeight="1">
      <c r="A872" s="75">
        <f t="shared" si="37"/>
        <v>869</v>
      </c>
      <c r="B872" s="75" t="str">
        <f t="shared" si="58"/>
        <v>HL27</v>
      </c>
      <c r="C872" s="76" t="s">
        <v>2038</v>
      </c>
      <c r="D872" s="77" t="s">
        <v>117</v>
      </c>
      <c r="E872" s="77" t="s">
        <v>40</v>
      </c>
      <c r="F872" s="77" t="s">
        <v>12</v>
      </c>
      <c r="G872" s="77" t="s">
        <v>118</v>
      </c>
      <c r="H872" s="75" t="s">
        <v>118</v>
      </c>
      <c r="I872" s="78">
        <v>39298.0</v>
      </c>
      <c r="J872" s="75">
        <f t="shared" si="60"/>
        <v>18</v>
      </c>
      <c r="K872" s="77">
        <v>3.327681578E9</v>
      </c>
      <c r="L872" s="79" t="s">
        <v>2032</v>
      </c>
      <c r="M872" s="80">
        <v>45971.0</v>
      </c>
      <c r="N872" s="71" t="s">
        <v>2039</v>
      </c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8.75" customHeight="1">
      <c r="A873" s="75">
        <f t="shared" si="37"/>
        <v>870</v>
      </c>
      <c r="B873" s="75" t="str">
        <f t="shared" si="58"/>
        <v>MJ60</v>
      </c>
      <c r="C873" s="76" t="s">
        <v>2040</v>
      </c>
      <c r="D873" s="77" t="s">
        <v>128</v>
      </c>
      <c r="E873" s="77" t="s">
        <v>22</v>
      </c>
      <c r="F873" s="77" t="s">
        <v>30</v>
      </c>
      <c r="G873" s="77" t="s">
        <v>118</v>
      </c>
      <c r="H873" s="75" t="s">
        <v>118</v>
      </c>
      <c r="I873" s="78">
        <v>33623.0</v>
      </c>
      <c r="J873" s="75">
        <f t="shared" si="60"/>
        <v>34</v>
      </c>
      <c r="K873" s="77">
        <v>3.311587163E9</v>
      </c>
      <c r="L873" s="79" t="s">
        <v>2041</v>
      </c>
      <c r="M873" s="80">
        <v>45986.0</v>
      </c>
      <c r="N873" s="71" t="s">
        <v>2042</v>
      </c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8.75" customHeight="1">
      <c r="A874" s="56">
        <f t="shared" si="37"/>
        <v>871</v>
      </c>
      <c r="B874" s="56" t="str">
        <f t="shared" si="58"/>
        <v>MV44</v>
      </c>
      <c r="C874" s="72" t="s">
        <v>2043</v>
      </c>
      <c r="D874" s="56" t="s">
        <v>128</v>
      </c>
      <c r="E874" s="58" t="s">
        <v>40</v>
      </c>
      <c r="F874" s="58" t="s">
        <v>36</v>
      </c>
      <c r="G874" s="58" t="s">
        <v>118</v>
      </c>
      <c r="H874" s="56" t="s">
        <v>118</v>
      </c>
      <c r="I874" s="73">
        <v>40445.0</v>
      </c>
      <c r="J874" s="56">
        <f t="shared" si="60"/>
        <v>15</v>
      </c>
      <c r="K874" s="58">
        <v>3.224570521E9</v>
      </c>
      <c r="L874" s="71" t="s">
        <v>2044</v>
      </c>
      <c r="M874" s="73">
        <v>46063.0</v>
      </c>
      <c r="N874" s="71" t="s">
        <v>1165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8.75" hidden="1" customHeight="1">
      <c r="A875" s="56">
        <f t="shared" si="37"/>
        <v>872</v>
      </c>
      <c r="B875" s="56" t="str">
        <f t="shared" si="58"/>
        <v>HB224</v>
      </c>
      <c r="C875" s="57" t="s">
        <v>2045</v>
      </c>
      <c r="D875" s="56" t="s">
        <v>117</v>
      </c>
      <c r="E875" s="56" t="s">
        <v>40</v>
      </c>
      <c r="F875" s="58" t="s">
        <v>7</v>
      </c>
      <c r="G875" s="56"/>
      <c r="H875" s="56" t="s">
        <v>118</v>
      </c>
      <c r="I875" s="59">
        <v>38212.0</v>
      </c>
      <c r="J875" s="56">
        <f t="shared" si="60"/>
        <v>21</v>
      </c>
      <c r="K875" s="56">
        <v>3.314476105E9</v>
      </c>
      <c r="L875" s="60" t="s">
        <v>2046</v>
      </c>
      <c r="M875" s="59">
        <v>43503.0</v>
      </c>
      <c r="N875" s="60" t="s">
        <v>233</v>
      </c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8.75" customHeight="1">
      <c r="A876" s="56">
        <f t="shared" si="37"/>
        <v>873</v>
      </c>
      <c r="B876" s="56" t="str">
        <f t="shared" si="58"/>
        <v>MMa45</v>
      </c>
      <c r="C876" s="57" t="s">
        <v>2047</v>
      </c>
      <c r="D876" s="56" t="s">
        <v>128</v>
      </c>
      <c r="E876" s="56" t="s">
        <v>34</v>
      </c>
      <c r="F876" s="56" t="s">
        <v>18</v>
      </c>
      <c r="G876" s="58" t="s">
        <v>118</v>
      </c>
      <c r="H876" s="56" t="s">
        <v>118</v>
      </c>
      <c r="I876" s="59">
        <v>19393.0</v>
      </c>
      <c r="J876" s="56">
        <f t="shared" si="60"/>
        <v>73</v>
      </c>
      <c r="K876" s="56">
        <v>3.319196425E9</v>
      </c>
      <c r="L876" s="60" t="s">
        <v>2048</v>
      </c>
      <c r="M876" s="59"/>
      <c r="N876" s="60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8.75" hidden="1" customHeight="1">
      <c r="A877" s="56">
        <f t="shared" si="37"/>
        <v>874</v>
      </c>
      <c r="B877" s="56" t="str">
        <f t="shared" si="58"/>
        <v>HB225</v>
      </c>
      <c r="C877" s="57" t="s">
        <v>2049</v>
      </c>
      <c r="D877" s="56" t="s">
        <v>117</v>
      </c>
      <c r="E877" s="56" t="s">
        <v>446</v>
      </c>
      <c r="F877" s="58" t="s">
        <v>7</v>
      </c>
      <c r="G877" s="56" t="s">
        <v>118</v>
      </c>
      <c r="H877" s="56" t="s">
        <v>118</v>
      </c>
      <c r="I877" s="59">
        <v>33844.0</v>
      </c>
      <c r="J877" s="56">
        <f t="shared" si="60"/>
        <v>33</v>
      </c>
      <c r="K877" s="56">
        <v>3.320847141E9</v>
      </c>
      <c r="L877" s="60" t="s">
        <v>2050</v>
      </c>
      <c r="M877" s="59"/>
      <c r="N877" s="60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8.75" hidden="1" customHeight="1">
      <c r="A878" s="56">
        <f t="shared" si="37"/>
        <v>875</v>
      </c>
      <c r="B878" s="56" t="str">
        <f t="shared" si="58"/>
        <v>HB226</v>
      </c>
      <c r="C878" s="57" t="s">
        <v>2051</v>
      </c>
      <c r="D878" s="56" t="s">
        <v>117</v>
      </c>
      <c r="E878" s="56" t="s">
        <v>40</v>
      </c>
      <c r="F878" s="56" t="s">
        <v>7</v>
      </c>
      <c r="G878" s="56" t="s">
        <v>118</v>
      </c>
      <c r="H878" s="56" t="s">
        <v>118</v>
      </c>
      <c r="I878" s="59">
        <v>39064.0</v>
      </c>
      <c r="J878" s="56">
        <f t="shared" si="60"/>
        <v>19</v>
      </c>
      <c r="K878" s="56"/>
      <c r="L878" s="60" t="s">
        <v>2052</v>
      </c>
      <c r="M878" s="59">
        <v>44199.0</v>
      </c>
      <c r="N878" s="60" t="s">
        <v>202</v>
      </c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8.75" customHeight="1">
      <c r="A879" s="56">
        <f t="shared" si="37"/>
        <v>876</v>
      </c>
      <c r="B879" s="56" t="str">
        <f t="shared" si="58"/>
        <v>MJ61</v>
      </c>
      <c r="C879" s="57" t="s">
        <v>2053</v>
      </c>
      <c r="D879" s="56" t="s">
        <v>128</v>
      </c>
      <c r="E879" s="56" t="s">
        <v>40</v>
      </c>
      <c r="F879" s="56" t="s">
        <v>30</v>
      </c>
      <c r="G879" s="56"/>
      <c r="H879" s="56" t="s">
        <v>118</v>
      </c>
      <c r="I879" s="59">
        <v>38641.0</v>
      </c>
      <c r="J879" s="56">
        <f t="shared" si="60"/>
        <v>20</v>
      </c>
      <c r="K879" s="56"/>
      <c r="L879" s="60" t="s">
        <v>2054</v>
      </c>
      <c r="M879" s="59">
        <v>43768.0</v>
      </c>
      <c r="N879" s="60" t="s">
        <v>2055</v>
      </c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8.75" hidden="1" customHeight="1">
      <c r="A880" s="56">
        <f t="shared" si="37"/>
        <v>877</v>
      </c>
      <c r="B880" s="56" t="str">
        <f t="shared" si="58"/>
        <v>HB227</v>
      </c>
      <c r="C880" s="57" t="s">
        <v>2056</v>
      </c>
      <c r="D880" s="56" t="s">
        <v>117</v>
      </c>
      <c r="E880" s="56" t="s">
        <v>40</v>
      </c>
      <c r="F880" s="58" t="s">
        <v>7</v>
      </c>
      <c r="G880" s="56" t="s">
        <v>118</v>
      </c>
      <c r="H880" s="56" t="s">
        <v>118</v>
      </c>
      <c r="I880" s="59">
        <v>38093.0</v>
      </c>
      <c r="J880" s="56">
        <f t="shared" si="60"/>
        <v>22</v>
      </c>
      <c r="K880" s="56">
        <v>3.331080997E9</v>
      </c>
      <c r="L880" s="60" t="s">
        <v>2057</v>
      </c>
      <c r="M880" s="59">
        <v>43221.0</v>
      </c>
      <c r="N880" s="60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8.75" hidden="1" customHeight="1">
      <c r="A881" s="56">
        <f t="shared" si="37"/>
        <v>878</v>
      </c>
      <c r="B881" s="56" t="str">
        <f t="shared" si="58"/>
        <v>MB215</v>
      </c>
      <c r="C881" s="57" t="s">
        <v>2058</v>
      </c>
      <c r="D881" s="56" t="s">
        <v>128</v>
      </c>
      <c r="E881" s="56" t="s">
        <v>34</v>
      </c>
      <c r="F881" s="56" t="s">
        <v>7</v>
      </c>
      <c r="G881" s="56" t="s">
        <v>118</v>
      </c>
      <c r="H881" s="56" t="s">
        <v>118</v>
      </c>
      <c r="I881" s="59">
        <v>31296.0</v>
      </c>
      <c r="J881" s="56">
        <f t="shared" si="60"/>
        <v>40</v>
      </c>
      <c r="K881" s="56">
        <v>3.6084801E7</v>
      </c>
      <c r="L881" s="60" t="s">
        <v>2059</v>
      </c>
      <c r="M881" s="59"/>
      <c r="N881" s="60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8.75" customHeight="1">
      <c r="A882" s="56">
        <f t="shared" si="37"/>
        <v>879</v>
      </c>
      <c r="B882" s="56" t="str">
        <f t="shared" si="58"/>
        <v>MJ62</v>
      </c>
      <c r="C882" s="57" t="s">
        <v>2060</v>
      </c>
      <c r="D882" s="56" t="s">
        <v>128</v>
      </c>
      <c r="E882" s="56" t="s">
        <v>40</v>
      </c>
      <c r="F882" s="56" t="s">
        <v>30</v>
      </c>
      <c r="G882" s="58" t="s">
        <v>118</v>
      </c>
      <c r="H882" s="56" t="s">
        <v>118</v>
      </c>
      <c r="I882" s="59">
        <v>40387.0</v>
      </c>
      <c r="J882" s="56">
        <f t="shared" si="60"/>
        <v>15</v>
      </c>
      <c r="K882" s="56">
        <v>3.333930369E9</v>
      </c>
      <c r="L882" s="60" t="s">
        <v>2061</v>
      </c>
      <c r="M882" s="59">
        <v>45317.0</v>
      </c>
      <c r="N882" s="60" t="s">
        <v>2062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8.75" customHeight="1">
      <c r="A883" s="56">
        <f t="shared" si="37"/>
        <v>880</v>
      </c>
      <c r="B883" s="56" t="str">
        <f t="shared" si="58"/>
        <v>HMa17</v>
      </c>
      <c r="C883" s="57" t="s">
        <v>2063</v>
      </c>
      <c r="D883" s="56" t="s">
        <v>117</v>
      </c>
      <c r="E883" s="56" t="s">
        <v>16</v>
      </c>
      <c r="F883" s="58" t="s">
        <v>18</v>
      </c>
      <c r="G883" s="56"/>
      <c r="H883" s="56" t="s">
        <v>118</v>
      </c>
      <c r="I883" s="59">
        <v>26457.0</v>
      </c>
      <c r="J883" s="56">
        <f t="shared" si="60"/>
        <v>53</v>
      </c>
      <c r="K883" s="56">
        <v>7.751146249E9</v>
      </c>
      <c r="L883" s="60" t="s">
        <v>2064</v>
      </c>
      <c r="M883" s="59">
        <v>43633.0</v>
      </c>
      <c r="N883" s="60" t="s">
        <v>1780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8.75" hidden="1" customHeight="1">
      <c r="A884" s="56">
        <f t="shared" si="37"/>
        <v>881</v>
      </c>
      <c r="B884" s="56" t="str">
        <f t="shared" si="58"/>
        <v>HB228</v>
      </c>
      <c r="C884" s="72" t="s">
        <v>2065</v>
      </c>
      <c r="D884" s="58" t="s">
        <v>117</v>
      </c>
      <c r="E884" s="58" t="s">
        <v>22</v>
      </c>
      <c r="F884" s="58" t="s">
        <v>7</v>
      </c>
      <c r="G884" s="58"/>
      <c r="H884" s="56" t="s">
        <v>118</v>
      </c>
      <c r="I884" s="73">
        <v>33879.0</v>
      </c>
      <c r="J884" s="56">
        <f t="shared" si="60"/>
        <v>33</v>
      </c>
      <c r="K884" s="58">
        <v>3.313017027E9</v>
      </c>
      <c r="L884" s="71" t="s">
        <v>2066</v>
      </c>
      <c r="M884" s="74">
        <v>45547.0</v>
      </c>
      <c r="N884" s="71" t="s">
        <v>1149</v>
      </c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8.75" hidden="1" customHeight="1">
      <c r="A885" s="56">
        <f t="shared" si="37"/>
        <v>882</v>
      </c>
      <c r="B885" s="56" t="str">
        <f t="shared" si="58"/>
        <v>MB216</v>
      </c>
      <c r="C885" s="57" t="s">
        <v>2067</v>
      </c>
      <c r="D885" s="56" t="s">
        <v>128</v>
      </c>
      <c r="E885" s="56" t="s">
        <v>40</v>
      </c>
      <c r="F885" s="56" t="s">
        <v>7</v>
      </c>
      <c r="G885" s="56" t="s">
        <v>118</v>
      </c>
      <c r="H885" s="56" t="s">
        <v>118</v>
      </c>
      <c r="I885" s="59">
        <v>35423.0</v>
      </c>
      <c r="J885" s="56">
        <f t="shared" si="60"/>
        <v>29</v>
      </c>
      <c r="K885" s="56">
        <v>4.851047832E9</v>
      </c>
      <c r="L885" s="60" t="s">
        <v>2068</v>
      </c>
      <c r="M885" s="59">
        <v>44161.0</v>
      </c>
      <c r="N885" s="60" t="s">
        <v>1370</v>
      </c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8.75" hidden="1" customHeight="1">
      <c r="A886" s="56">
        <f t="shared" si="37"/>
        <v>883</v>
      </c>
      <c r="B886" s="56" t="str">
        <f t="shared" si="58"/>
        <v>MB217</v>
      </c>
      <c r="C886" s="57" t="s">
        <v>2069</v>
      </c>
      <c r="D886" s="56" t="s">
        <v>128</v>
      </c>
      <c r="E886" s="56" t="s">
        <v>40</v>
      </c>
      <c r="F886" s="56" t="s">
        <v>7</v>
      </c>
      <c r="G886" s="56" t="s">
        <v>118</v>
      </c>
      <c r="H886" s="56" t="s">
        <v>118</v>
      </c>
      <c r="I886" s="59">
        <v>36378.0</v>
      </c>
      <c r="J886" s="56">
        <f t="shared" si="60"/>
        <v>26</v>
      </c>
      <c r="K886" s="56">
        <v>3.318298858E9</v>
      </c>
      <c r="L886" s="60" t="s">
        <v>2070</v>
      </c>
      <c r="M886" s="59"/>
      <c r="N886" s="60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8.75" hidden="1" customHeight="1">
      <c r="A887" s="56">
        <f t="shared" si="37"/>
        <v>884</v>
      </c>
      <c r="B887" s="56" t="str">
        <f t="shared" si="58"/>
        <v>HB229</v>
      </c>
      <c r="C887" s="57" t="s">
        <v>2071</v>
      </c>
      <c r="D887" s="56" t="s">
        <v>117</v>
      </c>
      <c r="E887" s="56" t="s">
        <v>16</v>
      </c>
      <c r="F887" s="58" t="s">
        <v>7</v>
      </c>
      <c r="G887" s="56" t="s">
        <v>118</v>
      </c>
      <c r="H887" s="56" t="s">
        <v>118</v>
      </c>
      <c r="I887" s="59">
        <v>26116.0</v>
      </c>
      <c r="J887" s="56">
        <f t="shared" si="60"/>
        <v>54</v>
      </c>
      <c r="K887" s="56">
        <v>3.334473816E9</v>
      </c>
      <c r="L887" s="60" t="s">
        <v>2070</v>
      </c>
      <c r="M887" s="59"/>
      <c r="N887" s="60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8.75" customHeight="1">
      <c r="A888" s="56">
        <f t="shared" si="37"/>
        <v>885</v>
      </c>
      <c r="B888" s="56" t="str">
        <f t="shared" si="58"/>
        <v>HMa18</v>
      </c>
      <c r="C888" s="57" t="s">
        <v>2072</v>
      </c>
      <c r="D888" s="56" t="s">
        <v>117</v>
      </c>
      <c r="E888" s="56" t="s">
        <v>140</v>
      </c>
      <c r="F888" s="56" t="s">
        <v>18</v>
      </c>
      <c r="G888" s="58" t="s">
        <v>118</v>
      </c>
      <c r="H888" s="56" t="s">
        <v>118</v>
      </c>
      <c r="I888" s="59">
        <v>17019.0</v>
      </c>
      <c r="J888" s="56">
        <f t="shared" si="60"/>
        <v>79</v>
      </c>
      <c r="K888" s="56">
        <v>3.317816627E9</v>
      </c>
      <c r="L888" s="60" t="s">
        <v>2073</v>
      </c>
      <c r="M888" s="59"/>
      <c r="N888" s="60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8.75" customHeight="1">
      <c r="A889" s="56">
        <f t="shared" si="37"/>
        <v>886</v>
      </c>
      <c r="B889" s="56" t="str">
        <f t="shared" si="58"/>
        <v>HJ25</v>
      </c>
      <c r="C889" s="57" t="s">
        <v>2074</v>
      </c>
      <c r="D889" s="56" t="s">
        <v>117</v>
      </c>
      <c r="E889" s="56" t="s">
        <v>40</v>
      </c>
      <c r="F889" s="58" t="s">
        <v>30</v>
      </c>
      <c r="G889" s="56"/>
      <c r="H889" s="56" t="s">
        <v>118</v>
      </c>
      <c r="I889" s="59">
        <v>40173.0</v>
      </c>
      <c r="J889" s="56">
        <f t="shared" si="60"/>
        <v>16</v>
      </c>
      <c r="K889" s="56">
        <v>3.327426056E9</v>
      </c>
      <c r="L889" s="60" t="s">
        <v>2075</v>
      </c>
      <c r="M889" s="59">
        <v>45334.0</v>
      </c>
      <c r="N889" s="60" t="s">
        <v>233</v>
      </c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8.75" hidden="1" customHeight="1">
      <c r="A890" s="56">
        <f t="shared" si="37"/>
        <v>887</v>
      </c>
      <c r="B890" s="56" t="str">
        <f t="shared" si="58"/>
        <v>HB230</v>
      </c>
      <c r="C890" s="57" t="s">
        <v>2076</v>
      </c>
      <c r="D890" s="56" t="s">
        <v>117</v>
      </c>
      <c r="E890" s="56" t="s">
        <v>40</v>
      </c>
      <c r="F890" s="56" t="s">
        <v>7</v>
      </c>
      <c r="G890" s="56" t="s">
        <v>118</v>
      </c>
      <c r="H890" s="56" t="s">
        <v>118</v>
      </c>
      <c r="I890" s="59">
        <v>37138.0</v>
      </c>
      <c r="J890" s="56">
        <f t="shared" si="60"/>
        <v>24</v>
      </c>
      <c r="K890" s="56" t="s">
        <v>2077</v>
      </c>
      <c r="L890" s="60" t="s">
        <v>2078</v>
      </c>
      <c r="M890" s="59">
        <v>42682.0</v>
      </c>
      <c r="N890" s="60" t="s">
        <v>2079</v>
      </c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8.75" hidden="1" customHeight="1">
      <c r="A891" s="56">
        <f t="shared" si="37"/>
        <v>888</v>
      </c>
      <c r="B891" s="56" t="str">
        <f t="shared" si="58"/>
        <v>HB231</v>
      </c>
      <c r="C891" s="57" t="s">
        <v>2080</v>
      </c>
      <c r="D891" s="56" t="s">
        <v>117</v>
      </c>
      <c r="E891" s="56" t="s">
        <v>140</v>
      </c>
      <c r="F891" s="56" t="s">
        <v>7</v>
      </c>
      <c r="G891" s="56" t="s">
        <v>118</v>
      </c>
      <c r="H891" s="56" t="s">
        <v>118</v>
      </c>
      <c r="I891" s="59">
        <v>19887.0</v>
      </c>
      <c r="J891" s="56">
        <f t="shared" si="60"/>
        <v>71</v>
      </c>
      <c r="K891" s="56">
        <v>3.316198167E9</v>
      </c>
      <c r="L891" s="60" t="s">
        <v>2081</v>
      </c>
      <c r="M891" s="59"/>
      <c r="N891" s="60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8.75" customHeight="1">
      <c r="A892" s="56">
        <f t="shared" si="37"/>
        <v>889</v>
      </c>
      <c r="B892" s="56" t="str">
        <f t="shared" si="58"/>
        <v>HS39</v>
      </c>
      <c r="C892" s="57" t="s">
        <v>2082</v>
      </c>
      <c r="D892" s="56" t="s">
        <v>117</v>
      </c>
      <c r="E892" s="56" t="s">
        <v>16</v>
      </c>
      <c r="F892" s="56" t="s">
        <v>43</v>
      </c>
      <c r="G892" s="56"/>
      <c r="H892" s="56" t="s">
        <v>118</v>
      </c>
      <c r="I892" s="59">
        <v>26348.0</v>
      </c>
      <c r="J892" s="56">
        <f t="shared" si="60"/>
        <v>54</v>
      </c>
      <c r="K892" s="56">
        <v>3.339468318E9</v>
      </c>
      <c r="L892" s="60" t="s">
        <v>2083</v>
      </c>
      <c r="M892" s="59"/>
      <c r="N892" s="60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8.75" hidden="1" customHeight="1">
      <c r="A893" s="56">
        <f t="shared" si="37"/>
        <v>890</v>
      </c>
      <c r="B893" s="56" t="str">
        <f t="shared" si="58"/>
        <v>MB218</v>
      </c>
      <c r="C893" s="57" t="s">
        <v>2084</v>
      </c>
      <c r="D893" s="56" t="s">
        <v>128</v>
      </c>
      <c r="E893" s="56" t="s">
        <v>40</v>
      </c>
      <c r="F893" s="58" t="s">
        <v>7</v>
      </c>
      <c r="G893" s="56" t="s">
        <v>118</v>
      </c>
      <c r="H893" s="56" t="s">
        <v>118</v>
      </c>
      <c r="I893" s="59">
        <v>38274.0</v>
      </c>
      <c r="J893" s="56">
        <f t="shared" si="60"/>
        <v>21</v>
      </c>
      <c r="K893" s="56">
        <v>3.32460681E9</v>
      </c>
      <c r="L893" s="60" t="s">
        <v>2085</v>
      </c>
      <c r="M893" s="59">
        <v>43428.0</v>
      </c>
      <c r="N893" s="60" t="s">
        <v>644</v>
      </c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8.75" hidden="1" customHeight="1">
      <c r="A894" s="56">
        <f t="shared" si="37"/>
        <v>891</v>
      </c>
      <c r="B894" s="56" t="str">
        <f t="shared" si="58"/>
        <v>HB232</v>
      </c>
      <c r="C894" s="57" t="s">
        <v>2086</v>
      </c>
      <c r="D894" s="56" t="s">
        <v>117</v>
      </c>
      <c r="E894" s="56" t="s">
        <v>16</v>
      </c>
      <c r="F894" s="58" t="s">
        <v>7</v>
      </c>
      <c r="G894" s="56" t="s">
        <v>118</v>
      </c>
      <c r="H894" s="56" t="s">
        <v>118</v>
      </c>
      <c r="I894" s="59">
        <v>26942.0</v>
      </c>
      <c r="J894" s="56">
        <f t="shared" si="60"/>
        <v>52</v>
      </c>
      <c r="K894" s="56">
        <v>3.314256375E9</v>
      </c>
      <c r="L894" s="60" t="s">
        <v>2087</v>
      </c>
      <c r="M894" s="59"/>
      <c r="N894" s="60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8.75" customHeight="1">
      <c r="A895" s="56">
        <f t="shared" si="37"/>
        <v>892</v>
      </c>
      <c r="B895" s="56" t="str">
        <f t="shared" si="58"/>
        <v>MMi28</v>
      </c>
      <c r="C895" s="57" t="s">
        <v>2088</v>
      </c>
      <c r="D895" s="56" t="s">
        <v>128</v>
      </c>
      <c r="E895" s="56" t="s">
        <v>34</v>
      </c>
      <c r="F895" s="56" t="s">
        <v>24</v>
      </c>
      <c r="G895" s="56"/>
      <c r="H895" s="56"/>
      <c r="I895" s="59">
        <v>19585.0</v>
      </c>
      <c r="J895" s="56">
        <f t="shared" si="60"/>
        <v>72</v>
      </c>
      <c r="K895" s="56">
        <v>3.321577754E9</v>
      </c>
      <c r="L895" s="60" t="s">
        <v>2089</v>
      </c>
      <c r="M895" s="59"/>
      <c r="N895" s="60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8.75" customHeight="1">
      <c r="A896" s="56">
        <f t="shared" si="37"/>
        <v>893</v>
      </c>
      <c r="B896" s="56" t="str">
        <f t="shared" si="58"/>
        <v>MS47</v>
      </c>
      <c r="C896" s="72" t="s">
        <v>2090</v>
      </c>
      <c r="D896" s="58" t="s">
        <v>128</v>
      </c>
      <c r="E896" s="58" t="s">
        <v>40</v>
      </c>
      <c r="F896" s="58" t="s">
        <v>43</v>
      </c>
      <c r="G896" s="58" t="s">
        <v>118</v>
      </c>
      <c r="H896" s="56" t="s">
        <v>118</v>
      </c>
      <c r="I896" s="73">
        <v>40485.0</v>
      </c>
      <c r="J896" s="56">
        <f t="shared" si="60"/>
        <v>15</v>
      </c>
      <c r="K896" s="58">
        <v>3.345172308E9</v>
      </c>
      <c r="L896" s="71" t="s">
        <v>2091</v>
      </c>
      <c r="M896" s="85">
        <v>46028.0</v>
      </c>
      <c r="N896" s="71" t="s">
        <v>2092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8.75" hidden="1" customHeight="1">
      <c r="A897" s="56">
        <f t="shared" si="37"/>
        <v>894</v>
      </c>
      <c r="B897" s="56" t="str">
        <f t="shared" si="58"/>
        <v>MB219</v>
      </c>
      <c r="C897" s="57" t="s">
        <v>2093</v>
      </c>
      <c r="D897" s="56" t="s">
        <v>128</v>
      </c>
      <c r="E897" s="56" t="s">
        <v>40</v>
      </c>
      <c r="F897" s="58" t="s">
        <v>7</v>
      </c>
      <c r="G897" s="56" t="s">
        <v>118</v>
      </c>
      <c r="H897" s="56" t="s">
        <v>118</v>
      </c>
      <c r="I897" s="59">
        <v>39247.0</v>
      </c>
      <c r="J897" s="56">
        <f t="shared" si="60"/>
        <v>18</v>
      </c>
      <c r="K897" s="56">
        <v>8.120138371E9</v>
      </c>
      <c r="L897" s="60" t="s">
        <v>2094</v>
      </c>
      <c r="M897" s="59">
        <v>45250.0</v>
      </c>
      <c r="N897" s="60" t="s">
        <v>740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8.75" hidden="1" customHeight="1">
      <c r="A898" s="56">
        <f t="shared" si="37"/>
        <v>895</v>
      </c>
      <c r="B898" s="56" t="str">
        <f t="shared" si="58"/>
        <v>HB233</v>
      </c>
      <c r="C898" s="57" t="s">
        <v>2095</v>
      </c>
      <c r="D898" s="56" t="s">
        <v>117</v>
      </c>
      <c r="E898" s="56" t="s">
        <v>40</v>
      </c>
      <c r="F898" s="56" t="s">
        <v>7</v>
      </c>
      <c r="G898" s="56" t="s">
        <v>118</v>
      </c>
      <c r="H898" s="56" t="s">
        <v>118</v>
      </c>
      <c r="I898" s="59">
        <v>36666.0</v>
      </c>
      <c r="J898" s="56">
        <f t="shared" si="60"/>
        <v>25</v>
      </c>
      <c r="K898" s="56">
        <v>3.335592703E9</v>
      </c>
      <c r="L898" s="60" t="s">
        <v>2096</v>
      </c>
      <c r="M898" s="59"/>
      <c r="N898" s="60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8.75" hidden="1" customHeight="1">
      <c r="A899" s="56">
        <f t="shared" si="37"/>
        <v>896</v>
      </c>
      <c r="B899" s="56" t="str">
        <f t="shared" si="58"/>
        <v>HB234</v>
      </c>
      <c r="C899" s="72" t="s">
        <v>2097</v>
      </c>
      <c r="D899" s="58" t="s">
        <v>117</v>
      </c>
      <c r="E899" s="58" t="s">
        <v>40</v>
      </c>
      <c r="F899" s="58" t="s">
        <v>7</v>
      </c>
      <c r="G899" s="58" t="s">
        <v>165</v>
      </c>
      <c r="H899" s="56" t="s">
        <v>118</v>
      </c>
      <c r="I899" s="73">
        <v>40173.0</v>
      </c>
      <c r="J899" s="56">
        <f t="shared" si="60"/>
        <v>16</v>
      </c>
      <c r="K899" s="58">
        <v>3.316537247E9</v>
      </c>
      <c r="L899" s="71" t="s">
        <v>2098</v>
      </c>
      <c r="M899" s="74">
        <v>45511.0</v>
      </c>
      <c r="N899" s="71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8.75" hidden="1" customHeight="1">
      <c r="A900" s="56">
        <f t="shared" si="37"/>
        <v>897</v>
      </c>
      <c r="B900" s="56" t="str">
        <f t="shared" si="58"/>
        <v>HB235</v>
      </c>
      <c r="C900" s="57" t="s">
        <v>2099</v>
      </c>
      <c r="D900" s="56" t="s">
        <v>117</v>
      </c>
      <c r="E900" s="56" t="s">
        <v>40</v>
      </c>
      <c r="F900" s="58" t="s">
        <v>7</v>
      </c>
      <c r="G900" s="56" t="s">
        <v>118</v>
      </c>
      <c r="H900" s="56" t="s">
        <v>118</v>
      </c>
      <c r="I900" s="59">
        <v>36506.0</v>
      </c>
      <c r="J900" s="56">
        <f t="shared" si="60"/>
        <v>26</v>
      </c>
      <c r="K900" s="56">
        <v>3.313147907E9</v>
      </c>
      <c r="L900" s="60" t="s">
        <v>2100</v>
      </c>
      <c r="M900" s="59"/>
      <c r="N900" s="60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8.75" hidden="1" customHeight="1">
      <c r="A901" s="56">
        <f t="shared" si="37"/>
        <v>898</v>
      </c>
      <c r="B901" s="56" t="str">
        <f t="shared" si="58"/>
        <v>MB220</v>
      </c>
      <c r="C901" s="57" t="s">
        <v>15</v>
      </c>
      <c r="D901" s="56" t="s">
        <v>128</v>
      </c>
      <c r="E901" s="56" t="s">
        <v>34</v>
      </c>
      <c r="F901" s="58" t="s">
        <v>7</v>
      </c>
      <c r="G901" s="56" t="s">
        <v>118</v>
      </c>
      <c r="H901" s="56" t="s">
        <v>118</v>
      </c>
      <c r="I901" s="59">
        <v>16685.0</v>
      </c>
      <c r="J901" s="56">
        <f t="shared" si="60"/>
        <v>80</v>
      </c>
      <c r="K901" s="56">
        <v>3.6089298E7</v>
      </c>
      <c r="L901" s="60" t="s">
        <v>2101</v>
      </c>
      <c r="M901" s="59"/>
      <c r="N901" s="60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8.75" hidden="1" customHeight="1">
      <c r="A902" s="56">
        <f t="shared" si="37"/>
        <v>899</v>
      </c>
      <c r="B902" s="56" t="str">
        <f t="shared" si="58"/>
        <v>HB236</v>
      </c>
      <c r="C902" s="57" t="s">
        <v>2102</v>
      </c>
      <c r="D902" s="56" t="s">
        <v>117</v>
      </c>
      <c r="E902" s="56" t="s">
        <v>40</v>
      </c>
      <c r="F902" s="58" t="s">
        <v>7</v>
      </c>
      <c r="G902" s="56"/>
      <c r="H902" s="56" t="s">
        <v>118</v>
      </c>
      <c r="I902" s="59">
        <v>36554.0</v>
      </c>
      <c r="J902" s="56">
        <f t="shared" si="60"/>
        <v>26</v>
      </c>
      <c r="K902" s="56">
        <v>3.339646225E9</v>
      </c>
      <c r="L902" s="60" t="s">
        <v>2103</v>
      </c>
      <c r="M902" s="59"/>
      <c r="N902" s="60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8.75" hidden="1" customHeight="1">
      <c r="A903" s="56">
        <f t="shared" si="37"/>
        <v>900</v>
      </c>
      <c r="B903" s="56" t="str">
        <f t="shared" si="58"/>
        <v>MB221</v>
      </c>
      <c r="C903" s="57" t="s">
        <v>2104</v>
      </c>
      <c r="D903" s="56" t="s">
        <v>128</v>
      </c>
      <c r="E903" s="56" t="s">
        <v>40</v>
      </c>
      <c r="F903" s="56" t="s">
        <v>7</v>
      </c>
      <c r="G903" s="56" t="s">
        <v>118</v>
      </c>
      <c r="H903" s="56"/>
      <c r="I903" s="59">
        <v>36063.0</v>
      </c>
      <c r="J903" s="56">
        <f t="shared" si="60"/>
        <v>27</v>
      </c>
      <c r="K903" s="56">
        <v>3.321675785E9</v>
      </c>
      <c r="L903" s="60" t="s">
        <v>2105</v>
      </c>
      <c r="M903" s="59"/>
      <c r="N903" s="60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8.75" hidden="1" customHeight="1">
      <c r="A904" s="56">
        <f t="shared" si="37"/>
        <v>901</v>
      </c>
      <c r="B904" s="56" t="str">
        <f t="shared" si="58"/>
        <v>HB237</v>
      </c>
      <c r="C904" s="57" t="s">
        <v>2106</v>
      </c>
      <c r="D904" s="56" t="s">
        <v>117</v>
      </c>
      <c r="E904" s="56" t="s">
        <v>140</v>
      </c>
      <c r="F904" s="56" t="s">
        <v>7</v>
      </c>
      <c r="G904" s="56" t="s">
        <v>118</v>
      </c>
      <c r="H904" s="56" t="s">
        <v>165</v>
      </c>
      <c r="I904" s="59">
        <v>18585.0</v>
      </c>
      <c r="J904" s="56">
        <f t="shared" si="60"/>
        <v>75</v>
      </c>
      <c r="K904" s="56">
        <v>3.315457573E9</v>
      </c>
      <c r="L904" s="60" t="s">
        <v>2107</v>
      </c>
      <c r="M904" s="59"/>
      <c r="N904" s="60" t="s">
        <v>346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8.75" customHeight="1">
      <c r="A905" s="56">
        <f t="shared" si="37"/>
        <v>902</v>
      </c>
      <c r="B905" s="56" t="str">
        <f t="shared" si="58"/>
        <v>MMi29</v>
      </c>
      <c r="C905" s="57" t="s">
        <v>2108</v>
      </c>
      <c r="D905" s="56" t="s">
        <v>128</v>
      </c>
      <c r="E905" s="56" t="s">
        <v>34</v>
      </c>
      <c r="F905" s="56" t="s">
        <v>24</v>
      </c>
      <c r="G905" s="58" t="s">
        <v>118</v>
      </c>
      <c r="H905" s="56" t="s">
        <v>118</v>
      </c>
      <c r="I905" s="59">
        <v>17172.0</v>
      </c>
      <c r="J905" s="56">
        <f t="shared" si="60"/>
        <v>79</v>
      </c>
      <c r="K905" s="56">
        <v>3.31635636E9</v>
      </c>
      <c r="L905" s="60" t="s">
        <v>2109</v>
      </c>
      <c r="M905" s="59"/>
      <c r="N905" s="60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8.75" customHeight="1">
      <c r="A906" s="56">
        <f t="shared" si="37"/>
        <v>903</v>
      </c>
      <c r="B906" s="56" t="str">
        <f t="shared" si="58"/>
        <v>HL28</v>
      </c>
      <c r="C906" s="57" t="s">
        <v>2110</v>
      </c>
      <c r="D906" s="56" t="s">
        <v>117</v>
      </c>
      <c r="E906" s="56" t="s">
        <v>40</v>
      </c>
      <c r="F906" s="56" t="s">
        <v>12</v>
      </c>
      <c r="G906" s="56"/>
      <c r="H906" s="56" t="s">
        <v>118</v>
      </c>
      <c r="I906" s="59">
        <v>39966.0</v>
      </c>
      <c r="J906" s="56">
        <f t="shared" si="60"/>
        <v>16</v>
      </c>
      <c r="K906" s="56">
        <v>3.9108347E8</v>
      </c>
      <c r="L906" s="60" t="s">
        <v>2111</v>
      </c>
      <c r="M906" s="59">
        <v>45334.0</v>
      </c>
      <c r="N906" s="60" t="s">
        <v>233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8.75" customHeight="1">
      <c r="A907" s="56">
        <f t="shared" si="37"/>
        <v>904</v>
      </c>
      <c r="B907" s="56" t="str">
        <f t="shared" si="58"/>
        <v>MV45</v>
      </c>
      <c r="C907" s="72" t="s">
        <v>2112</v>
      </c>
      <c r="D907" s="58" t="s">
        <v>128</v>
      </c>
      <c r="E907" s="58" t="s">
        <v>40</v>
      </c>
      <c r="F907" s="58" t="s">
        <v>36</v>
      </c>
      <c r="G907" s="58" t="s">
        <v>118</v>
      </c>
      <c r="H907" s="56" t="s">
        <v>118</v>
      </c>
      <c r="I907" s="73">
        <v>40586.0</v>
      </c>
      <c r="J907" s="56">
        <f t="shared" si="60"/>
        <v>15</v>
      </c>
      <c r="K907" s="58">
        <v>3.313409678E9</v>
      </c>
      <c r="L907" s="71" t="s">
        <v>2113</v>
      </c>
      <c r="M907" s="82">
        <v>45571.0</v>
      </c>
      <c r="N907" s="71" t="s">
        <v>439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8.75" customHeight="1">
      <c r="A908" s="56">
        <f t="shared" si="37"/>
        <v>905</v>
      </c>
      <c r="B908" s="56" t="str">
        <f t="shared" si="58"/>
        <v>MMa46</v>
      </c>
      <c r="C908" s="57" t="s">
        <v>2114</v>
      </c>
      <c r="D908" s="56" t="s">
        <v>128</v>
      </c>
      <c r="E908" s="56" t="s">
        <v>140</v>
      </c>
      <c r="F908" s="56" t="s">
        <v>18</v>
      </c>
      <c r="G908" s="58" t="s">
        <v>118</v>
      </c>
      <c r="H908" s="56" t="s">
        <v>118</v>
      </c>
      <c r="I908" s="59">
        <v>18953.0</v>
      </c>
      <c r="J908" s="56">
        <f t="shared" si="60"/>
        <v>74</v>
      </c>
      <c r="K908" s="56">
        <v>3.312073011E9</v>
      </c>
      <c r="L908" s="60" t="s">
        <v>2115</v>
      </c>
      <c r="M908" s="59"/>
      <c r="N908" s="60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8.75" hidden="1" customHeight="1">
      <c r="A909" s="56">
        <f t="shared" si="37"/>
        <v>906</v>
      </c>
      <c r="B909" s="56" t="str">
        <f t="shared" si="58"/>
        <v>HB238</v>
      </c>
      <c r="C909" s="57" t="s">
        <v>2116</v>
      </c>
      <c r="D909" s="56" t="s">
        <v>117</v>
      </c>
      <c r="E909" s="56" t="s">
        <v>34</v>
      </c>
      <c r="F909" s="58" t="s">
        <v>7</v>
      </c>
      <c r="G909" s="56" t="s">
        <v>118</v>
      </c>
      <c r="H909" s="56" t="s">
        <v>118</v>
      </c>
      <c r="I909" s="59">
        <v>28003.0</v>
      </c>
      <c r="J909" s="56">
        <f t="shared" si="60"/>
        <v>49</v>
      </c>
      <c r="K909" s="56">
        <v>3.328481934E9</v>
      </c>
      <c r="L909" s="60" t="s">
        <v>2117</v>
      </c>
      <c r="M909" s="59">
        <v>44805.0</v>
      </c>
      <c r="N909" s="60" t="s">
        <v>2118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8.75" customHeight="1">
      <c r="A910" s="56">
        <f t="shared" si="37"/>
        <v>907</v>
      </c>
      <c r="B910" s="56" t="str">
        <f t="shared" si="58"/>
        <v>HD17</v>
      </c>
      <c r="C910" s="57" t="s">
        <v>2119</v>
      </c>
      <c r="D910" s="56" t="s">
        <v>117</v>
      </c>
      <c r="E910" s="56" t="s">
        <v>140</v>
      </c>
      <c r="F910" s="58" t="s">
        <v>49</v>
      </c>
      <c r="G910" s="56"/>
      <c r="H910" s="56" t="s">
        <v>118</v>
      </c>
      <c r="I910" s="59">
        <v>21303.0</v>
      </c>
      <c r="J910" s="56">
        <f t="shared" si="60"/>
        <v>67</v>
      </c>
      <c r="K910" s="56">
        <v>3.310706592E9</v>
      </c>
      <c r="L910" s="60" t="s">
        <v>2120</v>
      </c>
      <c r="M910" s="59"/>
      <c r="N910" s="60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8.75" hidden="1" customHeight="1">
      <c r="A911" s="56">
        <f t="shared" si="37"/>
        <v>908</v>
      </c>
      <c r="B911" s="56" t="str">
        <f>IF(C911="","",D911&amp;$F$761&amp;COUNTIFS($D$4:D911,$D$761,$F$4:F911,$F$761))</f>
        <v>ML38</v>
      </c>
      <c r="C911" s="72" t="s">
        <v>2121</v>
      </c>
      <c r="D911" s="58" t="s">
        <v>128</v>
      </c>
      <c r="E911" s="58" t="s">
        <v>40</v>
      </c>
      <c r="F911" s="58" t="s">
        <v>7</v>
      </c>
      <c r="G911" s="58" t="s">
        <v>118</v>
      </c>
      <c r="H911" s="58" t="s">
        <v>118</v>
      </c>
      <c r="I911" s="73">
        <v>39329.0</v>
      </c>
      <c r="J911" s="56">
        <f>IF($C$761="","",DATEDIF(I911,TODAY(),"Y"))</f>
        <v>18</v>
      </c>
      <c r="K911" s="58">
        <v>3.322050381E9</v>
      </c>
      <c r="L911" s="71" t="s">
        <v>2122</v>
      </c>
      <c r="M911" s="73">
        <v>45483.0</v>
      </c>
      <c r="N911" s="71" t="s">
        <v>1031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8.75" customHeight="1">
      <c r="A912" s="56">
        <f t="shared" si="37"/>
        <v>909</v>
      </c>
      <c r="B912" s="56" t="str">
        <f t="shared" ref="B912:B940" si="61">IF(C912="","",D912&amp;F912&amp;COUNTIFS($D$4:D912,D912,$F$4:F912,F912))</f>
        <v>MJ63</v>
      </c>
      <c r="C912" s="72" t="s">
        <v>2123</v>
      </c>
      <c r="D912" s="56" t="s">
        <v>128</v>
      </c>
      <c r="E912" s="58" t="s">
        <v>16</v>
      </c>
      <c r="F912" s="58" t="s">
        <v>30</v>
      </c>
      <c r="G912" s="56"/>
      <c r="H912" s="56" t="s">
        <v>118</v>
      </c>
      <c r="I912" s="73">
        <v>24462.0</v>
      </c>
      <c r="J912" s="56">
        <f t="shared" ref="J912:J933" si="62">IF(C912="","",DATEDIF(I912,TODAY(),"Y"))</f>
        <v>59</v>
      </c>
      <c r="K912" s="58">
        <v>3.312886439E9</v>
      </c>
      <c r="L912" s="71" t="s">
        <v>2124</v>
      </c>
      <c r="M912" s="73">
        <v>45509.0</v>
      </c>
      <c r="N912" s="71" t="s">
        <v>2125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8.75" customHeight="1">
      <c r="A913" s="56">
        <f t="shared" si="37"/>
        <v>910</v>
      </c>
      <c r="B913" s="56" t="str">
        <f t="shared" si="61"/>
        <v>HD18</v>
      </c>
      <c r="C913" s="57" t="s">
        <v>2126</v>
      </c>
      <c r="D913" s="56" t="s">
        <v>117</v>
      </c>
      <c r="E913" s="56" t="s">
        <v>16</v>
      </c>
      <c r="F913" s="58" t="s">
        <v>49</v>
      </c>
      <c r="G913" s="56"/>
      <c r="H913" s="56" t="s">
        <v>118</v>
      </c>
      <c r="I913" s="59">
        <v>19315.0</v>
      </c>
      <c r="J913" s="56">
        <f t="shared" si="62"/>
        <v>73</v>
      </c>
      <c r="K913" s="56">
        <v>3.315635314E9</v>
      </c>
      <c r="L913" s="60" t="s">
        <v>2127</v>
      </c>
      <c r="M913" s="59">
        <v>44635.0</v>
      </c>
      <c r="N913" s="60" t="s">
        <v>916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8.75" hidden="1" customHeight="1">
      <c r="A914" s="56">
        <f t="shared" si="37"/>
        <v>911</v>
      </c>
      <c r="B914" s="56" t="str">
        <f t="shared" si="61"/>
        <v>HB239</v>
      </c>
      <c r="C914" s="57" t="s">
        <v>2128</v>
      </c>
      <c r="D914" s="56" t="s">
        <v>117</v>
      </c>
      <c r="E914" s="56" t="s">
        <v>140</v>
      </c>
      <c r="F914" s="56" t="s">
        <v>7</v>
      </c>
      <c r="G914" s="56" t="s">
        <v>165</v>
      </c>
      <c r="H914" s="56" t="s">
        <v>118</v>
      </c>
      <c r="I914" s="59">
        <v>19315.0</v>
      </c>
      <c r="J914" s="56">
        <f t="shared" si="62"/>
        <v>73</v>
      </c>
      <c r="K914" s="56">
        <v>3.310550947E9</v>
      </c>
      <c r="L914" s="60" t="s">
        <v>2129</v>
      </c>
      <c r="M914" s="59"/>
      <c r="N914" s="60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8.75" customHeight="1">
      <c r="A915" s="56">
        <f t="shared" si="37"/>
        <v>912</v>
      </c>
      <c r="B915" s="56" t="str">
        <f t="shared" si="61"/>
        <v>HD19</v>
      </c>
      <c r="C915" s="72" t="s">
        <v>2130</v>
      </c>
      <c r="D915" s="58" t="s">
        <v>117</v>
      </c>
      <c r="E915" s="58" t="s">
        <v>16</v>
      </c>
      <c r="F915" s="58" t="s">
        <v>49</v>
      </c>
      <c r="G915" s="58"/>
      <c r="H915" s="56" t="s">
        <v>118</v>
      </c>
      <c r="I915" s="73">
        <v>25479.0</v>
      </c>
      <c r="J915" s="56">
        <f t="shared" si="62"/>
        <v>56</v>
      </c>
      <c r="K915" s="58">
        <v>3.323386419E9</v>
      </c>
      <c r="L915" s="71" t="s">
        <v>2131</v>
      </c>
      <c r="M915" s="73">
        <v>45580.0</v>
      </c>
      <c r="N915" s="71" t="s">
        <v>2132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8.75" customHeight="1">
      <c r="A916" s="56">
        <f t="shared" si="37"/>
        <v>913</v>
      </c>
      <c r="B916" s="56" t="str">
        <f t="shared" si="61"/>
        <v>MMa47</v>
      </c>
      <c r="C916" s="57" t="s">
        <v>2133</v>
      </c>
      <c r="D916" s="56" t="s">
        <v>128</v>
      </c>
      <c r="E916" s="56" t="s">
        <v>140</v>
      </c>
      <c r="F916" s="56" t="s">
        <v>18</v>
      </c>
      <c r="G916" s="58" t="s">
        <v>118</v>
      </c>
      <c r="H916" s="56" t="s">
        <v>118</v>
      </c>
      <c r="I916" s="59">
        <v>19884.0</v>
      </c>
      <c r="J916" s="56">
        <f t="shared" si="62"/>
        <v>71</v>
      </c>
      <c r="K916" s="56">
        <v>3.317010988E9</v>
      </c>
      <c r="L916" s="60" t="s">
        <v>2134</v>
      </c>
      <c r="M916" s="59"/>
      <c r="N916" s="60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8.75" customHeight="1">
      <c r="A917" s="56">
        <f t="shared" si="37"/>
        <v>914</v>
      </c>
      <c r="B917" s="56" t="str">
        <f t="shared" si="61"/>
        <v>MJ64</v>
      </c>
      <c r="C917" s="57" t="s">
        <v>2135</v>
      </c>
      <c r="D917" s="56" t="s">
        <v>128</v>
      </c>
      <c r="E917" s="56" t="s">
        <v>140</v>
      </c>
      <c r="F917" s="56" t="s">
        <v>30</v>
      </c>
      <c r="G917" s="56"/>
      <c r="H917" s="56" t="s">
        <v>118</v>
      </c>
      <c r="I917" s="59">
        <v>19935.0</v>
      </c>
      <c r="J917" s="56">
        <f t="shared" si="62"/>
        <v>71</v>
      </c>
      <c r="K917" s="56">
        <v>3.312954295E9</v>
      </c>
      <c r="L917" s="60" t="s">
        <v>2136</v>
      </c>
      <c r="M917" s="59"/>
      <c r="N917" s="60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8.75" hidden="1" customHeight="1">
      <c r="A918" s="56">
        <f t="shared" si="37"/>
        <v>915</v>
      </c>
      <c r="B918" s="56" t="str">
        <f t="shared" si="61"/>
        <v>HB240</v>
      </c>
      <c r="C918" s="57" t="s">
        <v>2137</v>
      </c>
      <c r="D918" s="56" t="s">
        <v>117</v>
      </c>
      <c r="E918" s="56" t="s">
        <v>16</v>
      </c>
      <c r="F918" s="56" t="s">
        <v>7</v>
      </c>
      <c r="G918" s="56" t="s">
        <v>118</v>
      </c>
      <c r="H918" s="56" t="s">
        <v>118</v>
      </c>
      <c r="I918" s="59">
        <v>16742.0</v>
      </c>
      <c r="J918" s="56">
        <f t="shared" si="62"/>
        <v>80</v>
      </c>
      <c r="K918" s="56">
        <v>3.314989868E9</v>
      </c>
      <c r="L918" s="60" t="s">
        <v>2138</v>
      </c>
      <c r="M918" s="59">
        <v>43002.0</v>
      </c>
      <c r="N918" s="60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8.75" hidden="1" customHeight="1">
      <c r="A919" s="56">
        <f t="shared" si="37"/>
        <v>916</v>
      </c>
      <c r="B919" s="56" t="str">
        <f t="shared" si="61"/>
        <v>HB241</v>
      </c>
      <c r="C919" s="57" t="s">
        <v>2139</v>
      </c>
      <c r="D919" s="56" t="s">
        <v>117</v>
      </c>
      <c r="E919" s="56" t="s">
        <v>22</v>
      </c>
      <c r="F919" s="56" t="s">
        <v>7</v>
      </c>
      <c r="G919" s="56" t="s">
        <v>118</v>
      </c>
      <c r="H919" s="56" t="s">
        <v>118</v>
      </c>
      <c r="I919" s="59">
        <v>29963.0</v>
      </c>
      <c r="J919" s="56">
        <f t="shared" si="62"/>
        <v>44</v>
      </c>
      <c r="K919" s="56">
        <v>3.33157202E9</v>
      </c>
      <c r="L919" s="60" t="s">
        <v>2140</v>
      </c>
      <c r="M919" s="59">
        <v>43340.0</v>
      </c>
      <c r="N919" s="60" t="s">
        <v>2141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8.75" customHeight="1">
      <c r="A920" s="56">
        <f t="shared" si="37"/>
        <v>917</v>
      </c>
      <c r="B920" s="56" t="str">
        <f t="shared" si="61"/>
        <v>MJ65</v>
      </c>
      <c r="C920" s="57" t="s">
        <v>2142</v>
      </c>
      <c r="D920" s="56" t="s">
        <v>128</v>
      </c>
      <c r="E920" s="56" t="s">
        <v>34</v>
      </c>
      <c r="F920" s="58" t="s">
        <v>30</v>
      </c>
      <c r="G920" s="56"/>
      <c r="H920" s="56" t="s">
        <v>118</v>
      </c>
      <c r="I920" s="59">
        <v>22881.0</v>
      </c>
      <c r="J920" s="56">
        <f t="shared" si="62"/>
        <v>63</v>
      </c>
      <c r="K920" s="56">
        <v>3.316333155E9</v>
      </c>
      <c r="L920" s="60" t="s">
        <v>2143</v>
      </c>
      <c r="M920" s="59">
        <v>43376.0</v>
      </c>
      <c r="N920" s="60" t="s">
        <v>2144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8.75" customHeight="1">
      <c r="A921" s="56">
        <f t="shared" si="37"/>
        <v>918</v>
      </c>
      <c r="B921" s="56" t="str">
        <f t="shared" si="61"/>
        <v>MS48</v>
      </c>
      <c r="C921" s="57" t="s">
        <v>2145</v>
      </c>
      <c r="D921" s="56" t="s">
        <v>128</v>
      </c>
      <c r="E921" s="56" t="s">
        <v>34</v>
      </c>
      <c r="F921" s="56" t="s">
        <v>43</v>
      </c>
      <c r="G921" s="58" t="s">
        <v>118</v>
      </c>
      <c r="H921" s="56" t="s">
        <v>118</v>
      </c>
      <c r="I921" s="59">
        <v>19234.0</v>
      </c>
      <c r="J921" s="56">
        <f t="shared" si="62"/>
        <v>73</v>
      </c>
      <c r="K921" s="56">
        <v>5.568608903E9</v>
      </c>
      <c r="L921" s="60" t="s">
        <v>1447</v>
      </c>
      <c r="M921" s="59"/>
      <c r="N921" s="71" t="s">
        <v>1844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8.75" customHeight="1">
      <c r="A922" s="43">
        <f t="shared" si="37"/>
        <v>919</v>
      </c>
      <c r="B922" s="43" t="str">
        <f t="shared" si="61"/>
        <v>HV23</v>
      </c>
      <c r="C922" s="55" t="s">
        <v>2146</v>
      </c>
      <c r="D922" s="43" t="s">
        <v>117</v>
      </c>
      <c r="E922" s="43" t="s">
        <v>40</v>
      </c>
      <c r="F922" s="43" t="s">
        <v>36</v>
      </c>
      <c r="G922" s="43"/>
      <c r="H922" s="43" t="s">
        <v>118</v>
      </c>
      <c r="I922" s="46">
        <v>40017.0</v>
      </c>
      <c r="J922" s="43">
        <f t="shared" si="62"/>
        <v>16</v>
      </c>
      <c r="K922" s="43">
        <v>3.312793605E9</v>
      </c>
      <c r="L922" s="47" t="s">
        <v>2147</v>
      </c>
      <c r="M922" s="46">
        <v>45135.0</v>
      </c>
      <c r="N922" s="47" t="s">
        <v>543</v>
      </c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ht="18.75" hidden="1" customHeight="1">
      <c r="A923" s="56">
        <f t="shared" si="37"/>
        <v>920</v>
      </c>
      <c r="B923" s="56" t="str">
        <f t="shared" si="61"/>
        <v>HB242</v>
      </c>
      <c r="C923" s="57" t="s">
        <v>2148</v>
      </c>
      <c r="D923" s="56" t="s">
        <v>117</v>
      </c>
      <c r="E923" s="56" t="s">
        <v>34</v>
      </c>
      <c r="F923" s="58" t="s">
        <v>7</v>
      </c>
      <c r="G923" s="56" t="s">
        <v>118</v>
      </c>
      <c r="H923" s="56" t="s">
        <v>118</v>
      </c>
      <c r="I923" s="59">
        <v>33726.0</v>
      </c>
      <c r="J923" s="56">
        <f t="shared" si="62"/>
        <v>33</v>
      </c>
      <c r="K923" s="56">
        <v>3.331477408E9</v>
      </c>
      <c r="L923" s="60" t="s">
        <v>2149</v>
      </c>
      <c r="M923" s="59"/>
      <c r="N923" s="60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8.75" customHeight="1">
      <c r="A924" s="56">
        <f t="shared" si="37"/>
        <v>921</v>
      </c>
      <c r="B924" s="56" t="str">
        <f t="shared" si="61"/>
        <v>MS49</v>
      </c>
      <c r="C924" s="57" t="s">
        <v>2150</v>
      </c>
      <c r="D924" s="56" t="s">
        <v>128</v>
      </c>
      <c r="E924" s="56" t="s">
        <v>40</v>
      </c>
      <c r="F924" s="56" t="s">
        <v>43</v>
      </c>
      <c r="G924" s="56"/>
      <c r="H924" s="56" t="s">
        <v>118</v>
      </c>
      <c r="I924" s="59">
        <v>38212.0</v>
      </c>
      <c r="J924" s="56">
        <f t="shared" si="62"/>
        <v>21</v>
      </c>
      <c r="K924" s="56"/>
      <c r="L924" s="60" t="s">
        <v>2151</v>
      </c>
      <c r="M924" s="59">
        <v>43600.0</v>
      </c>
      <c r="N924" s="60" t="s">
        <v>2152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8.75" hidden="1" customHeight="1">
      <c r="A925" s="56">
        <f t="shared" si="37"/>
        <v>922</v>
      </c>
      <c r="B925" s="56" t="str">
        <f t="shared" si="61"/>
        <v>HB243</v>
      </c>
      <c r="C925" s="57" t="s">
        <v>2153</v>
      </c>
      <c r="D925" s="56" t="s">
        <v>117</v>
      </c>
      <c r="E925" s="56" t="s">
        <v>16</v>
      </c>
      <c r="F925" s="56" t="s">
        <v>7</v>
      </c>
      <c r="G925" s="56" t="s">
        <v>118</v>
      </c>
      <c r="H925" s="56" t="s">
        <v>118</v>
      </c>
      <c r="I925" s="59">
        <v>30829.0</v>
      </c>
      <c r="J925" s="56">
        <f t="shared" si="62"/>
        <v>41</v>
      </c>
      <c r="K925" s="56">
        <v>3.323794666E9</v>
      </c>
      <c r="L925" s="60" t="s">
        <v>2154</v>
      </c>
      <c r="M925" s="59">
        <v>43621.0</v>
      </c>
      <c r="N925" s="60" t="s">
        <v>486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8.75" customHeight="1">
      <c r="A926" s="56">
        <f t="shared" si="37"/>
        <v>923</v>
      </c>
      <c r="B926" s="56" t="str">
        <f t="shared" si="61"/>
        <v>MS50</v>
      </c>
      <c r="C926" s="72" t="s">
        <v>2155</v>
      </c>
      <c r="D926" s="58" t="s">
        <v>128</v>
      </c>
      <c r="E926" s="58" t="s">
        <v>40</v>
      </c>
      <c r="F926" s="58" t="s">
        <v>43</v>
      </c>
      <c r="G926" s="58" t="s">
        <v>118</v>
      </c>
      <c r="H926" s="56" t="s">
        <v>118</v>
      </c>
      <c r="I926" s="73">
        <v>40655.0</v>
      </c>
      <c r="J926" s="56">
        <f t="shared" si="62"/>
        <v>15</v>
      </c>
      <c r="K926" s="58">
        <v>3.343496883E9</v>
      </c>
      <c r="L926" s="71" t="s">
        <v>2156</v>
      </c>
      <c r="M926" s="85">
        <v>46028.0</v>
      </c>
      <c r="N926" s="71" t="s">
        <v>439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8.75" customHeight="1">
      <c r="A927" s="56">
        <f t="shared" si="37"/>
        <v>924</v>
      </c>
      <c r="B927" s="56" t="str">
        <f t="shared" si="61"/>
        <v>MS51</v>
      </c>
      <c r="C927" s="72" t="s">
        <v>2157</v>
      </c>
      <c r="D927" s="58" t="s">
        <v>128</v>
      </c>
      <c r="E927" s="58" t="s">
        <v>40</v>
      </c>
      <c r="F927" s="58" t="s">
        <v>43</v>
      </c>
      <c r="G927" s="58" t="s">
        <v>118</v>
      </c>
      <c r="H927" s="56" t="s">
        <v>118</v>
      </c>
      <c r="I927" s="73">
        <v>40154.0</v>
      </c>
      <c r="J927" s="56">
        <f t="shared" si="62"/>
        <v>16</v>
      </c>
      <c r="K927" s="58">
        <v>3.343496883E9</v>
      </c>
      <c r="L927" s="71" t="s">
        <v>2156</v>
      </c>
      <c r="M927" s="85">
        <v>46028.0</v>
      </c>
      <c r="N927" s="71" t="s">
        <v>439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8.75" hidden="1" customHeight="1">
      <c r="A928" s="56">
        <f t="shared" si="37"/>
        <v>925</v>
      </c>
      <c r="B928" s="56" t="str">
        <f t="shared" si="61"/>
        <v>HB244</v>
      </c>
      <c r="C928" s="57" t="s">
        <v>2158</v>
      </c>
      <c r="D928" s="56" t="s">
        <v>117</v>
      </c>
      <c r="E928" s="56" t="s">
        <v>16</v>
      </c>
      <c r="F928" s="56" t="s">
        <v>7</v>
      </c>
      <c r="G928" s="56" t="s">
        <v>118</v>
      </c>
      <c r="H928" s="56" t="s">
        <v>118</v>
      </c>
      <c r="I928" s="59">
        <v>26626.0</v>
      </c>
      <c r="J928" s="56">
        <f t="shared" si="62"/>
        <v>53</v>
      </c>
      <c r="K928" s="56">
        <v>3.319937268E9</v>
      </c>
      <c r="L928" s="60" t="s">
        <v>2159</v>
      </c>
      <c r="M928" s="59">
        <v>43373.0</v>
      </c>
      <c r="N928" s="60" t="s">
        <v>2160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8.75" customHeight="1">
      <c r="A929" s="56">
        <f t="shared" si="37"/>
        <v>926</v>
      </c>
      <c r="B929" s="56" t="str">
        <f t="shared" si="61"/>
        <v>MD27</v>
      </c>
      <c r="C929" s="57" t="s">
        <v>2161</v>
      </c>
      <c r="D929" s="56" t="s">
        <v>128</v>
      </c>
      <c r="E929" s="56" t="s">
        <v>140</v>
      </c>
      <c r="F929" s="56" t="s">
        <v>49</v>
      </c>
      <c r="G929" s="58" t="s">
        <v>118</v>
      </c>
      <c r="H929" s="56"/>
      <c r="I929" s="59">
        <v>18475.0</v>
      </c>
      <c r="J929" s="56">
        <f t="shared" si="62"/>
        <v>75</v>
      </c>
      <c r="K929" s="56" t="s">
        <v>165</v>
      </c>
      <c r="L929" s="60" t="s">
        <v>2162</v>
      </c>
      <c r="M929" s="59"/>
      <c r="N929" s="71" t="s">
        <v>1758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8.75" hidden="1" customHeight="1">
      <c r="A930" s="56">
        <f t="shared" si="37"/>
        <v>927</v>
      </c>
      <c r="B930" s="56" t="str">
        <f t="shared" si="61"/>
        <v>HB245</v>
      </c>
      <c r="C930" s="57" t="s">
        <v>2163</v>
      </c>
      <c r="D930" s="56" t="s">
        <v>117</v>
      </c>
      <c r="E930" s="56" t="s">
        <v>40</v>
      </c>
      <c r="F930" s="58" t="s">
        <v>7</v>
      </c>
      <c r="G930" s="56" t="s">
        <v>118</v>
      </c>
      <c r="H930" s="56" t="s">
        <v>118</v>
      </c>
      <c r="I930" s="59">
        <v>38519.0</v>
      </c>
      <c r="J930" s="56">
        <f t="shared" si="62"/>
        <v>20</v>
      </c>
      <c r="K930" s="56"/>
      <c r="L930" s="60" t="s">
        <v>2164</v>
      </c>
      <c r="M930" s="59">
        <v>43662.0</v>
      </c>
      <c r="N930" s="71" t="s">
        <v>215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8.75" customHeight="1">
      <c r="A931" s="56">
        <f t="shared" si="37"/>
        <v>928</v>
      </c>
      <c r="B931" s="56" t="str">
        <f t="shared" si="61"/>
        <v>HS40</v>
      </c>
      <c r="C931" s="57" t="s">
        <v>2165</v>
      </c>
      <c r="D931" s="56" t="s">
        <v>117</v>
      </c>
      <c r="E931" s="56" t="s">
        <v>40</v>
      </c>
      <c r="F931" s="56" t="s">
        <v>43</v>
      </c>
      <c r="G931" s="56"/>
      <c r="H931" s="56" t="s">
        <v>118</v>
      </c>
      <c r="I931" s="59">
        <v>39351.0</v>
      </c>
      <c r="J931" s="56">
        <f t="shared" si="62"/>
        <v>18</v>
      </c>
      <c r="K931" s="56">
        <v>3.334936229E9</v>
      </c>
      <c r="L931" s="60" t="s">
        <v>2166</v>
      </c>
      <c r="M931" s="59">
        <v>44547.0</v>
      </c>
      <c r="N931" s="71" t="s">
        <v>574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8.75" hidden="1" customHeight="1">
      <c r="A932" s="56">
        <f t="shared" si="37"/>
        <v>929</v>
      </c>
      <c r="B932" s="56" t="str">
        <f t="shared" si="61"/>
        <v>HB246</v>
      </c>
      <c r="C932" s="57" t="s">
        <v>2167</v>
      </c>
      <c r="D932" s="56" t="s">
        <v>117</v>
      </c>
      <c r="E932" s="56" t="s">
        <v>40</v>
      </c>
      <c r="F932" s="58" t="s">
        <v>7</v>
      </c>
      <c r="G932" s="56" t="s">
        <v>118</v>
      </c>
      <c r="H932" s="56" t="s">
        <v>118</v>
      </c>
      <c r="I932" s="59">
        <v>34722.0</v>
      </c>
      <c r="J932" s="56">
        <f t="shared" si="62"/>
        <v>31</v>
      </c>
      <c r="K932" s="93">
        <v>3.326712411E9</v>
      </c>
      <c r="L932" s="60" t="s">
        <v>2168</v>
      </c>
      <c r="M932" s="59">
        <v>43441.0</v>
      </c>
      <c r="N932" s="60" t="s">
        <v>486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8.75" hidden="1" customHeight="1">
      <c r="A933" s="56">
        <f t="shared" si="37"/>
        <v>930</v>
      </c>
      <c r="B933" s="56" t="str">
        <f t="shared" si="61"/>
        <v>HB247</v>
      </c>
      <c r="C933" s="57" t="s">
        <v>2169</v>
      </c>
      <c r="D933" s="56" t="s">
        <v>117</v>
      </c>
      <c r="E933" s="56" t="s">
        <v>34</v>
      </c>
      <c r="F933" s="58" t="s">
        <v>7</v>
      </c>
      <c r="G933" s="56" t="s">
        <v>118</v>
      </c>
      <c r="H933" s="56" t="s">
        <v>118</v>
      </c>
      <c r="I933" s="59">
        <v>18112.0</v>
      </c>
      <c r="J933" s="56">
        <f t="shared" si="62"/>
        <v>76</v>
      </c>
      <c r="K933" s="56">
        <v>3.314393948E9</v>
      </c>
      <c r="L933" s="60" t="s">
        <v>2168</v>
      </c>
      <c r="M933" s="59"/>
      <c r="N933" s="60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8.75" customHeight="1">
      <c r="A934" s="43">
        <f t="shared" si="37"/>
        <v>931</v>
      </c>
      <c r="B934" s="43" t="str">
        <f t="shared" si="61"/>
        <v>HV24</v>
      </c>
      <c r="C934" s="55" t="s">
        <v>2170</v>
      </c>
      <c r="D934" s="43" t="s">
        <v>117</v>
      </c>
      <c r="E934" s="43" t="s">
        <v>40</v>
      </c>
      <c r="F934" s="43" t="s">
        <v>36</v>
      </c>
      <c r="G934" s="43"/>
      <c r="H934" s="43" t="s">
        <v>118</v>
      </c>
      <c r="I934" s="46">
        <v>40137.0</v>
      </c>
      <c r="J934" s="43">
        <f>IF($C$761="","",DATEDIF(I934,TODAY(),"Y"))</f>
        <v>16</v>
      </c>
      <c r="K934" s="43">
        <v>3.339692418E9</v>
      </c>
      <c r="L934" s="47" t="s">
        <v>2171</v>
      </c>
      <c r="M934" s="46">
        <v>45332.0</v>
      </c>
      <c r="N934" s="48" t="s">
        <v>574</v>
      </c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ht="18.75" hidden="1" customHeight="1">
      <c r="A935" s="56">
        <f t="shared" si="37"/>
        <v>932</v>
      </c>
      <c r="B935" s="56" t="str">
        <f t="shared" si="61"/>
        <v>MB223</v>
      </c>
      <c r="C935" s="72" t="s">
        <v>2172</v>
      </c>
      <c r="D935" s="56" t="s">
        <v>128</v>
      </c>
      <c r="E935" s="56" t="s">
        <v>34</v>
      </c>
      <c r="F935" s="58" t="s">
        <v>7</v>
      </c>
      <c r="G935" s="56" t="s">
        <v>118</v>
      </c>
      <c r="H935" s="56" t="s">
        <v>118</v>
      </c>
      <c r="I935" s="59">
        <v>25294.0</v>
      </c>
      <c r="J935" s="56">
        <f t="shared" ref="J935:J940" si="63">IF(C935="","",DATEDIF(I935,TODAY(),"Y"))</f>
        <v>57</v>
      </c>
      <c r="K935" s="56">
        <v>3.312523111E9</v>
      </c>
      <c r="L935" s="60" t="s">
        <v>2173</v>
      </c>
      <c r="M935" s="59">
        <v>43479.0</v>
      </c>
      <c r="N935" s="60" t="s">
        <v>2174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8.75" customHeight="1">
      <c r="A936" s="56">
        <f t="shared" si="37"/>
        <v>933</v>
      </c>
      <c r="B936" s="56" t="str">
        <f t="shared" si="61"/>
        <v>ML39</v>
      </c>
      <c r="C936" s="57" t="s">
        <v>2175</v>
      </c>
      <c r="D936" s="56" t="s">
        <v>128</v>
      </c>
      <c r="E936" s="56" t="s">
        <v>40</v>
      </c>
      <c r="F936" s="56" t="s">
        <v>12</v>
      </c>
      <c r="G936" s="56"/>
      <c r="H936" s="56" t="s">
        <v>118</v>
      </c>
      <c r="I936" s="59">
        <v>39472.0</v>
      </c>
      <c r="J936" s="56">
        <f t="shared" si="63"/>
        <v>18</v>
      </c>
      <c r="K936" s="56">
        <v>3.32205718E8</v>
      </c>
      <c r="L936" s="60" t="s">
        <v>2176</v>
      </c>
      <c r="M936" s="73">
        <v>45228.0</v>
      </c>
      <c r="N936" s="60" t="s">
        <v>300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8.75" customHeight="1">
      <c r="A937" s="56">
        <f t="shared" si="37"/>
        <v>934</v>
      </c>
      <c r="B937" s="56" t="str">
        <f t="shared" si="61"/>
        <v>HD20</v>
      </c>
      <c r="C937" s="57" t="s">
        <v>2177</v>
      </c>
      <c r="D937" s="56" t="s">
        <v>117</v>
      </c>
      <c r="E937" s="56" t="s">
        <v>16</v>
      </c>
      <c r="F937" s="56" t="s">
        <v>49</v>
      </c>
      <c r="G937" s="56"/>
      <c r="H937" s="56" t="s">
        <v>118</v>
      </c>
      <c r="I937" s="59">
        <v>28032.0</v>
      </c>
      <c r="J937" s="56">
        <f t="shared" si="63"/>
        <v>49</v>
      </c>
      <c r="K937" s="56">
        <v>3.311477498E9</v>
      </c>
      <c r="L937" s="60" t="s">
        <v>2178</v>
      </c>
      <c r="M937" s="59"/>
      <c r="N937" s="60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8.75" customHeight="1">
      <c r="A938" s="43">
        <f t="shared" si="37"/>
        <v>935</v>
      </c>
      <c r="B938" s="43" t="str">
        <f t="shared" si="61"/>
        <v>HV25</v>
      </c>
      <c r="C938" s="44" t="s">
        <v>2179</v>
      </c>
      <c r="D938" s="45" t="s">
        <v>117</v>
      </c>
      <c r="E938" s="45" t="s">
        <v>40</v>
      </c>
      <c r="F938" s="45" t="s">
        <v>36</v>
      </c>
      <c r="G938" s="45" t="s">
        <v>118</v>
      </c>
      <c r="H938" s="43" t="s">
        <v>118</v>
      </c>
      <c r="I938" s="63">
        <v>40437.0</v>
      </c>
      <c r="J938" s="43">
        <f t="shared" si="63"/>
        <v>15</v>
      </c>
      <c r="K938" s="45">
        <v>3.335050614E9</v>
      </c>
      <c r="L938" s="48" t="s">
        <v>2180</v>
      </c>
      <c r="M938" s="65">
        <v>45680.0</v>
      </c>
      <c r="N938" s="48" t="s">
        <v>574</v>
      </c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ht="18.75" hidden="1" customHeight="1">
      <c r="A939" s="56">
        <f t="shared" si="37"/>
        <v>936</v>
      </c>
      <c r="B939" s="56" t="str">
        <f t="shared" si="61"/>
        <v>MB224</v>
      </c>
      <c r="C939" s="57" t="s">
        <v>2181</v>
      </c>
      <c r="D939" s="56" t="s">
        <v>128</v>
      </c>
      <c r="E939" s="56" t="s">
        <v>40</v>
      </c>
      <c r="F939" s="56" t="s">
        <v>7</v>
      </c>
      <c r="G939" s="56" t="s">
        <v>118</v>
      </c>
      <c r="H939" s="56" t="s">
        <v>118</v>
      </c>
      <c r="I939" s="59">
        <v>32928.0</v>
      </c>
      <c r="J939" s="56">
        <f t="shared" si="63"/>
        <v>36</v>
      </c>
      <c r="K939" s="56">
        <v>3.311230381E9</v>
      </c>
      <c r="L939" s="60" t="s">
        <v>2182</v>
      </c>
      <c r="M939" s="59">
        <v>42979.0</v>
      </c>
      <c r="N939" s="60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8.75" customHeight="1">
      <c r="A940" s="56">
        <f t="shared" si="37"/>
        <v>937</v>
      </c>
      <c r="B940" s="56" t="str">
        <f t="shared" si="61"/>
        <v>MV46</v>
      </c>
      <c r="C940" s="57" t="s">
        <v>2183</v>
      </c>
      <c r="D940" s="56" t="s">
        <v>128</v>
      </c>
      <c r="E940" s="56" t="s">
        <v>34</v>
      </c>
      <c r="F940" s="56" t="s">
        <v>36</v>
      </c>
      <c r="G940" s="58" t="s">
        <v>118</v>
      </c>
      <c r="H940" s="56" t="s">
        <v>118</v>
      </c>
      <c r="I940" s="59">
        <v>23672.0</v>
      </c>
      <c r="J940" s="56">
        <f t="shared" si="63"/>
        <v>61</v>
      </c>
      <c r="K940" s="56">
        <v>3.331016036E9</v>
      </c>
      <c r="L940" s="60"/>
      <c r="M940" s="59"/>
      <c r="N940" s="71" t="s">
        <v>537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8.75" customHeight="1">
      <c r="A941" s="31"/>
      <c r="B941" s="31"/>
      <c r="C941" s="36"/>
      <c r="D941" s="31"/>
      <c r="E941" s="31"/>
      <c r="F941" s="31"/>
      <c r="G941" s="31"/>
      <c r="H941" s="31"/>
      <c r="I941" s="34"/>
      <c r="J941" s="31"/>
      <c r="K941" s="31"/>
      <c r="L941" s="35"/>
      <c r="M941" s="34"/>
      <c r="N941" s="35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8.75" customHeight="1">
      <c r="A942" s="31"/>
      <c r="B942" s="31"/>
      <c r="C942" s="36"/>
      <c r="D942" s="31"/>
      <c r="E942" s="31"/>
      <c r="F942" s="31"/>
      <c r="G942" s="31"/>
      <c r="H942" s="31"/>
      <c r="I942" s="34"/>
      <c r="J942" s="31"/>
      <c r="K942" s="31"/>
      <c r="L942" s="35"/>
      <c r="M942" s="34"/>
      <c r="N942" s="35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8.75" customHeight="1">
      <c r="A943" s="31"/>
      <c r="B943" s="31"/>
      <c r="C943" s="36"/>
      <c r="D943" s="31"/>
      <c r="E943" s="31"/>
      <c r="F943" s="31"/>
      <c r="G943" s="31"/>
      <c r="H943" s="31"/>
      <c r="I943" s="34"/>
      <c r="J943" s="31"/>
      <c r="K943" s="31"/>
      <c r="L943" s="35"/>
      <c r="M943" s="34"/>
      <c r="N943" s="35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8.75" customHeight="1">
      <c r="A944" s="31"/>
      <c r="B944" s="31"/>
      <c r="C944" s="36"/>
      <c r="D944" s="31"/>
      <c r="E944" s="31"/>
      <c r="F944" s="31"/>
      <c r="G944" s="31"/>
      <c r="H944" s="31"/>
      <c r="I944" s="34"/>
      <c r="J944" s="31"/>
      <c r="K944" s="31"/>
      <c r="L944" s="35"/>
      <c r="M944" s="34"/>
      <c r="N944" s="35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8.75" customHeight="1">
      <c r="A945" s="31"/>
      <c r="B945" s="31"/>
      <c r="C945" s="36"/>
      <c r="D945" s="31"/>
      <c r="E945" s="31"/>
      <c r="F945" s="31"/>
      <c r="G945" s="31"/>
      <c r="H945" s="31"/>
      <c r="I945" s="34"/>
      <c r="J945" s="31"/>
      <c r="K945" s="31"/>
      <c r="L945" s="35"/>
      <c r="M945" s="34"/>
      <c r="N945" s="35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8.75" customHeight="1">
      <c r="A946" s="31"/>
      <c r="B946" s="31"/>
      <c r="C946" s="36"/>
      <c r="D946" s="31"/>
      <c r="E946" s="31"/>
      <c r="F946" s="31"/>
      <c r="G946" s="31"/>
      <c r="H946" s="31"/>
      <c r="I946" s="34"/>
      <c r="J946" s="31"/>
      <c r="K946" s="31"/>
      <c r="L946" s="35"/>
      <c r="M946" s="34"/>
      <c r="N946" s="35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8.75" customHeight="1">
      <c r="A947" s="31"/>
      <c r="B947" s="31"/>
      <c r="C947" s="36"/>
      <c r="D947" s="31"/>
      <c r="E947" s="31"/>
      <c r="F947" s="31"/>
      <c r="G947" s="31"/>
      <c r="H947" s="31"/>
      <c r="I947" s="34"/>
      <c r="J947" s="31"/>
      <c r="K947" s="31"/>
      <c r="L947" s="35"/>
      <c r="M947" s="34"/>
      <c r="N947" s="35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8.75" customHeight="1">
      <c r="A948" s="31"/>
      <c r="B948" s="31"/>
      <c r="C948" s="36"/>
      <c r="D948" s="31"/>
      <c r="E948" s="31"/>
      <c r="F948" s="31"/>
      <c r="G948" s="31"/>
      <c r="H948" s="31"/>
      <c r="I948" s="34"/>
      <c r="J948" s="31"/>
      <c r="K948" s="31"/>
      <c r="L948" s="35"/>
      <c r="M948" s="34"/>
      <c r="N948" s="35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8.75" customHeight="1">
      <c r="A949" s="31"/>
      <c r="B949" s="31"/>
      <c r="C949" s="36"/>
      <c r="D949" s="31"/>
      <c r="E949" s="31"/>
      <c r="F949" s="31"/>
      <c r="G949" s="31"/>
      <c r="H949" s="31"/>
      <c r="I949" s="34"/>
      <c r="J949" s="31"/>
      <c r="K949" s="31"/>
      <c r="L949" s="35"/>
      <c r="M949" s="34"/>
      <c r="N949" s="35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8.75" customHeight="1">
      <c r="A950" s="31"/>
      <c r="B950" s="31"/>
      <c r="C950" s="36"/>
      <c r="D950" s="31"/>
      <c r="E950" s="31"/>
      <c r="F950" s="31"/>
      <c r="G950" s="31"/>
      <c r="H950" s="31"/>
      <c r="I950" s="34"/>
      <c r="J950" s="31"/>
      <c r="K950" s="31"/>
      <c r="L950" s="35"/>
      <c r="M950" s="34"/>
      <c r="N950" s="35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8.75" customHeight="1">
      <c r="A951" s="31"/>
      <c r="B951" s="31"/>
      <c r="C951" s="36"/>
      <c r="D951" s="31"/>
      <c r="E951" s="31"/>
      <c r="F951" s="31"/>
      <c r="G951" s="31"/>
      <c r="H951" s="31"/>
      <c r="I951" s="34"/>
      <c r="J951" s="31"/>
      <c r="K951" s="31"/>
      <c r="L951" s="35"/>
      <c r="M951" s="34"/>
      <c r="N951" s="35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8.75" customHeight="1">
      <c r="A952" s="31"/>
      <c r="B952" s="31"/>
      <c r="C952" s="36"/>
      <c r="D952" s="31"/>
      <c r="E952" s="31"/>
      <c r="F952" s="31"/>
      <c r="G952" s="31"/>
      <c r="H952" s="31"/>
      <c r="I952" s="34"/>
      <c r="J952" s="31"/>
      <c r="K952" s="31"/>
      <c r="L952" s="35"/>
      <c r="M952" s="34"/>
      <c r="N952" s="35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8.75" customHeight="1">
      <c r="A953" s="31"/>
      <c r="B953" s="31"/>
      <c r="C953" s="36"/>
      <c r="D953" s="31"/>
      <c r="E953" s="31"/>
      <c r="F953" s="31"/>
      <c r="G953" s="31"/>
      <c r="H953" s="31"/>
      <c r="I953" s="34"/>
      <c r="J953" s="31"/>
      <c r="K953" s="31"/>
      <c r="L953" s="35"/>
      <c r="M953" s="34"/>
      <c r="N953" s="35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8.75" customHeight="1">
      <c r="A954" s="31"/>
      <c r="B954" s="31"/>
      <c r="C954" s="36"/>
      <c r="D954" s="31"/>
      <c r="E954" s="31"/>
      <c r="F954" s="31"/>
      <c r="G954" s="31"/>
      <c r="H954" s="31"/>
      <c r="I954" s="34"/>
      <c r="J954" s="31"/>
      <c r="K954" s="31"/>
      <c r="L954" s="35"/>
      <c r="M954" s="34"/>
      <c r="N954" s="35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8.75" customHeight="1">
      <c r="A955" s="31"/>
      <c r="B955" s="31"/>
      <c r="C955" s="36"/>
      <c r="D955" s="31"/>
      <c r="E955" s="31"/>
      <c r="F955" s="31"/>
      <c r="G955" s="31"/>
      <c r="H955" s="31"/>
      <c r="I955" s="34"/>
      <c r="J955" s="31"/>
      <c r="K955" s="31"/>
      <c r="L955" s="35"/>
      <c r="M955" s="34"/>
      <c r="N955" s="35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8.75" customHeight="1">
      <c r="A956" s="31"/>
      <c r="B956" s="31"/>
      <c r="C956" s="36"/>
      <c r="D956" s="31"/>
      <c r="E956" s="31"/>
      <c r="F956" s="31"/>
      <c r="G956" s="31"/>
      <c r="H956" s="31"/>
      <c r="I956" s="34"/>
      <c r="J956" s="31"/>
      <c r="K956" s="31"/>
      <c r="L956" s="35"/>
      <c r="M956" s="34"/>
      <c r="N956" s="35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8.75" customHeight="1">
      <c r="A957" s="31"/>
      <c r="B957" s="31"/>
      <c r="C957" s="36"/>
      <c r="D957" s="31"/>
      <c r="E957" s="31"/>
      <c r="F957" s="31"/>
      <c r="G957" s="31"/>
      <c r="H957" s="31"/>
      <c r="I957" s="34"/>
      <c r="J957" s="31"/>
      <c r="K957" s="31"/>
      <c r="L957" s="35"/>
      <c r="M957" s="34"/>
      <c r="N957" s="35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8.75" customHeight="1">
      <c r="A958" s="31"/>
      <c r="B958" s="31"/>
      <c r="C958" s="36"/>
      <c r="D958" s="31"/>
      <c r="E958" s="31"/>
      <c r="F958" s="31"/>
      <c r="G958" s="31"/>
      <c r="H958" s="31"/>
      <c r="I958" s="34"/>
      <c r="J958" s="31"/>
      <c r="K958" s="31"/>
      <c r="L958" s="35"/>
      <c r="M958" s="34"/>
      <c r="N958" s="35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8.75" customHeight="1">
      <c r="A959" s="31"/>
      <c r="B959" s="31"/>
      <c r="C959" s="36"/>
      <c r="D959" s="31"/>
      <c r="E959" s="31"/>
      <c r="F959" s="31"/>
      <c r="G959" s="31"/>
      <c r="H959" s="31"/>
      <c r="I959" s="34"/>
      <c r="J959" s="31"/>
      <c r="K959" s="31"/>
      <c r="L959" s="35"/>
      <c r="M959" s="34"/>
      <c r="N959" s="35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8.75" customHeight="1">
      <c r="A960" s="31"/>
      <c r="B960" s="31"/>
      <c r="C960" s="36"/>
      <c r="D960" s="31"/>
      <c r="E960" s="31"/>
      <c r="F960" s="31"/>
      <c r="G960" s="31"/>
      <c r="H960" s="31"/>
      <c r="I960" s="34"/>
      <c r="J960" s="31"/>
      <c r="K960" s="31"/>
      <c r="L960" s="35"/>
      <c r="M960" s="34"/>
      <c r="N960" s="35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8.75" customHeight="1">
      <c r="A961" s="31"/>
      <c r="B961" s="31"/>
      <c r="C961" s="36"/>
      <c r="D961" s="31"/>
      <c r="E961" s="31"/>
      <c r="F961" s="31"/>
      <c r="G961" s="31"/>
      <c r="H961" s="31"/>
      <c r="I961" s="34"/>
      <c r="J961" s="31"/>
      <c r="K961" s="31"/>
      <c r="L961" s="35"/>
      <c r="M961" s="34"/>
      <c r="N961" s="35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8.75" customHeight="1">
      <c r="A962" s="31"/>
      <c r="B962" s="31"/>
      <c r="C962" s="36"/>
      <c r="D962" s="31"/>
      <c r="E962" s="31"/>
      <c r="F962" s="31"/>
      <c r="G962" s="31"/>
      <c r="H962" s="31"/>
      <c r="I962" s="34"/>
      <c r="J962" s="31"/>
      <c r="K962" s="31"/>
      <c r="L962" s="35"/>
      <c r="M962" s="34"/>
      <c r="N962" s="35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8.75" customHeight="1">
      <c r="A963" s="31"/>
      <c r="B963" s="31"/>
      <c r="C963" s="36"/>
      <c r="D963" s="31"/>
      <c r="E963" s="31"/>
      <c r="F963" s="31"/>
      <c r="G963" s="31"/>
      <c r="H963" s="31"/>
      <c r="I963" s="34"/>
      <c r="J963" s="31"/>
      <c r="K963" s="31"/>
      <c r="L963" s="35"/>
      <c r="M963" s="34"/>
      <c r="N963" s="35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8.75" customHeight="1">
      <c r="A964" s="31"/>
      <c r="B964" s="31"/>
      <c r="C964" s="36"/>
      <c r="D964" s="31"/>
      <c r="E964" s="31"/>
      <c r="F964" s="31"/>
      <c r="G964" s="31"/>
      <c r="H964" s="31"/>
      <c r="I964" s="34"/>
      <c r="J964" s="31"/>
      <c r="K964" s="31"/>
      <c r="L964" s="35"/>
      <c r="M964" s="34"/>
      <c r="N964" s="35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8.75" customHeight="1">
      <c r="A965" s="31"/>
      <c r="B965" s="31"/>
      <c r="C965" s="36"/>
      <c r="D965" s="31"/>
      <c r="E965" s="31"/>
      <c r="F965" s="31"/>
      <c r="G965" s="31"/>
      <c r="H965" s="31"/>
      <c r="I965" s="34"/>
      <c r="J965" s="31"/>
      <c r="K965" s="31"/>
      <c r="L965" s="35"/>
      <c r="M965" s="34"/>
      <c r="N965" s="35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8.75" customHeight="1">
      <c r="A966" s="31"/>
      <c r="B966" s="31"/>
      <c r="C966" s="36"/>
      <c r="D966" s="31"/>
      <c r="E966" s="31"/>
      <c r="F966" s="31"/>
      <c r="G966" s="31"/>
      <c r="H966" s="31"/>
      <c r="I966" s="34"/>
      <c r="J966" s="31"/>
      <c r="K966" s="31"/>
      <c r="L966" s="35"/>
      <c r="M966" s="34"/>
      <c r="N966" s="35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8.75" customHeight="1">
      <c r="A967" s="31"/>
      <c r="B967" s="31"/>
      <c r="C967" s="36"/>
      <c r="D967" s="31"/>
      <c r="E967" s="31"/>
      <c r="F967" s="31"/>
      <c r="G967" s="31"/>
      <c r="H967" s="31"/>
      <c r="I967" s="34"/>
      <c r="J967" s="31"/>
      <c r="K967" s="31"/>
      <c r="L967" s="35"/>
      <c r="M967" s="34"/>
      <c r="N967" s="35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8.75" customHeight="1">
      <c r="A968" s="31"/>
      <c r="B968" s="31"/>
      <c r="C968" s="36"/>
      <c r="D968" s="31"/>
      <c r="E968" s="31"/>
      <c r="F968" s="31"/>
      <c r="G968" s="31"/>
      <c r="H968" s="31"/>
      <c r="I968" s="34"/>
      <c r="J968" s="31"/>
      <c r="K968" s="31"/>
      <c r="L968" s="35"/>
      <c r="M968" s="34"/>
      <c r="N968" s="35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8.75" customHeight="1">
      <c r="A969" s="31"/>
      <c r="B969" s="31"/>
      <c r="C969" s="36"/>
      <c r="D969" s="31"/>
      <c r="E969" s="31"/>
      <c r="F969" s="31"/>
      <c r="G969" s="31"/>
      <c r="H969" s="31"/>
      <c r="I969" s="34"/>
      <c r="J969" s="31"/>
      <c r="K969" s="31"/>
      <c r="L969" s="35"/>
      <c r="M969" s="34"/>
      <c r="N969" s="35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8.75" customHeight="1">
      <c r="A970" s="31"/>
      <c r="B970" s="31"/>
      <c r="C970" s="36"/>
      <c r="D970" s="31"/>
      <c r="E970" s="31"/>
      <c r="F970" s="31"/>
      <c r="G970" s="31"/>
      <c r="H970" s="31"/>
      <c r="I970" s="34"/>
      <c r="J970" s="31"/>
      <c r="K970" s="31"/>
      <c r="L970" s="35"/>
      <c r="M970" s="34"/>
      <c r="N970" s="35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8.75" customHeight="1">
      <c r="A971" s="31"/>
      <c r="B971" s="31"/>
      <c r="C971" s="36"/>
      <c r="D971" s="31"/>
      <c r="E971" s="31"/>
      <c r="F971" s="31"/>
      <c r="G971" s="31"/>
      <c r="H971" s="31"/>
      <c r="I971" s="34"/>
      <c r="J971" s="31"/>
      <c r="K971" s="31"/>
      <c r="L971" s="35"/>
      <c r="M971" s="34"/>
      <c r="N971" s="35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8.75" customHeight="1">
      <c r="A972" s="31"/>
      <c r="B972" s="31"/>
      <c r="C972" s="36"/>
      <c r="D972" s="31"/>
      <c r="E972" s="31"/>
      <c r="F972" s="31"/>
      <c r="G972" s="31"/>
      <c r="H972" s="31"/>
      <c r="I972" s="34"/>
      <c r="J972" s="31"/>
      <c r="K972" s="31"/>
      <c r="L972" s="35"/>
      <c r="M972" s="34"/>
      <c r="N972" s="35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8.75" customHeight="1">
      <c r="A973" s="31"/>
      <c r="B973" s="31"/>
      <c r="C973" s="36"/>
      <c r="D973" s="31"/>
      <c r="E973" s="31"/>
      <c r="F973" s="31"/>
      <c r="G973" s="31"/>
      <c r="H973" s="31"/>
      <c r="I973" s="34"/>
      <c r="J973" s="31"/>
      <c r="K973" s="31"/>
      <c r="L973" s="35"/>
      <c r="M973" s="34"/>
      <c r="N973" s="35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8.75" customHeight="1">
      <c r="A974" s="31"/>
      <c r="B974" s="31"/>
      <c r="C974" s="36"/>
      <c r="D974" s="31"/>
      <c r="E974" s="31"/>
      <c r="F974" s="31"/>
      <c r="G974" s="31"/>
      <c r="H974" s="31"/>
      <c r="I974" s="34"/>
      <c r="J974" s="31"/>
      <c r="K974" s="31"/>
      <c r="L974" s="35"/>
      <c r="M974" s="34"/>
      <c r="N974" s="35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8.75" customHeight="1">
      <c r="A975" s="31"/>
      <c r="B975" s="31"/>
      <c r="C975" s="36"/>
      <c r="D975" s="31"/>
      <c r="E975" s="31"/>
      <c r="F975" s="31"/>
      <c r="G975" s="31"/>
      <c r="H975" s="31"/>
      <c r="I975" s="34"/>
      <c r="J975" s="31"/>
      <c r="K975" s="31"/>
      <c r="L975" s="35"/>
      <c r="M975" s="34"/>
      <c r="N975" s="35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8.75" customHeight="1">
      <c r="A976" s="31"/>
      <c r="B976" s="31"/>
      <c r="C976" s="36"/>
      <c r="D976" s="31"/>
      <c r="E976" s="31"/>
      <c r="F976" s="31"/>
      <c r="G976" s="31"/>
      <c r="H976" s="31"/>
      <c r="I976" s="34"/>
      <c r="J976" s="31"/>
      <c r="K976" s="31"/>
      <c r="L976" s="35"/>
      <c r="M976" s="34"/>
      <c r="N976" s="35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8.75" customHeight="1">
      <c r="A977" s="31"/>
      <c r="B977" s="31"/>
      <c r="C977" s="36"/>
      <c r="D977" s="31"/>
      <c r="E977" s="31"/>
      <c r="F977" s="31"/>
      <c r="G977" s="31"/>
      <c r="H977" s="31"/>
      <c r="I977" s="34"/>
      <c r="J977" s="31"/>
      <c r="K977" s="31"/>
      <c r="L977" s="35"/>
      <c r="M977" s="34"/>
      <c r="N977" s="35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8.75" customHeight="1">
      <c r="A978" s="31"/>
      <c r="B978" s="31"/>
      <c r="C978" s="36"/>
      <c r="D978" s="31"/>
      <c r="E978" s="31"/>
      <c r="F978" s="31"/>
      <c r="G978" s="31"/>
      <c r="H978" s="31"/>
      <c r="I978" s="34"/>
      <c r="J978" s="31"/>
      <c r="K978" s="31"/>
      <c r="L978" s="35"/>
      <c r="M978" s="34"/>
      <c r="N978" s="35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8.75" customHeight="1">
      <c r="A979" s="31"/>
      <c r="B979" s="31"/>
      <c r="C979" s="36"/>
      <c r="D979" s="31"/>
      <c r="E979" s="31"/>
      <c r="F979" s="31"/>
      <c r="G979" s="31"/>
      <c r="H979" s="31"/>
      <c r="I979" s="34"/>
      <c r="J979" s="31"/>
      <c r="K979" s="31"/>
      <c r="L979" s="35"/>
      <c r="M979" s="34"/>
      <c r="N979" s="35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8.75" customHeight="1">
      <c r="A980" s="31"/>
      <c r="B980" s="31"/>
      <c r="C980" s="36"/>
      <c r="D980" s="31"/>
      <c r="E980" s="31"/>
      <c r="F980" s="31"/>
      <c r="G980" s="31"/>
      <c r="H980" s="31"/>
      <c r="I980" s="34"/>
      <c r="J980" s="31"/>
      <c r="K980" s="31"/>
      <c r="L980" s="35"/>
      <c r="M980" s="34"/>
      <c r="N980" s="35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8.75" customHeight="1">
      <c r="A981" s="31"/>
      <c r="B981" s="31"/>
      <c r="C981" s="36"/>
      <c r="D981" s="31"/>
      <c r="E981" s="31"/>
      <c r="F981" s="31"/>
      <c r="G981" s="31"/>
      <c r="H981" s="31"/>
      <c r="I981" s="34"/>
      <c r="J981" s="31"/>
      <c r="K981" s="31"/>
      <c r="L981" s="35"/>
      <c r="M981" s="34"/>
      <c r="N981" s="35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8.75" customHeight="1">
      <c r="A982" s="31"/>
      <c r="B982" s="31"/>
      <c r="C982" s="36"/>
      <c r="D982" s="31"/>
      <c r="E982" s="31"/>
      <c r="F982" s="31"/>
      <c r="G982" s="31"/>
      <c r="H982" s="31"/>
      <c r="I982" s="34"/>
      <c r="J982" s="31"/>
      <c r="K982" s="31"/>
      <c r="L982" s="35"/>
      <c r="M982" s="34"/>
      <c r="N982" s="35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8.75" customHeight="1">
      <c r="A983" s="31"/>
      <c r="B983" s="31"/>
      <c r="C983" s="36"/>
      <c r="D983" s="31"/>
      <c r="E983" s="31"/>
      <c r="F983" s="31"/>
      <c r="G983" s="31"/>
      <c r="H983" s="31"/>
      <c r="I983" s="34"/>
      <c r="J983" s="31"/>
      <c r="K983" s="31"/>
      <c r="L983" s="35"/>
      <c r="M983" s="34"/>
      <c r="N983" s="35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8.75" customHeight="1">
      <c r="A984" s="31"/>
      <c r="B984" s="31"/>
      <c r="C984" s="36"/>
      <c r="D984" s="31"/>
      <c r="E984" s="31"/>
      <c r="F984" s="31"/>
      <c r="G984" s="31"/>
      <c r="H984" s="31"/>
      <c r="I984" s="34"/>
      <c r="J984" s="31"/>
      <c r="K984" s="31"/>
      <c r="L984" s="35"/>
      <c r="M984" s="34"/>
      <c r="N984" s="35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8.75" customHeight="1">
      <c r="A985" s="31"/>
      <c r="B985" s="31"/>
      <c r="C985" s="36"/>
      <c r="D985" s="31"/>
      <c r="E985" s="31"/>
      <c r="F985" s="31"/>
      <c r="G985" s="31"/>
      <c r="H985" s="31"/>
      <c r="I985" s="34"/>
      <c r="J985" s="31"/>
      <c r="K985" s="31"/>
      <c r="L985" s="35"/>
      <c r="M985" s="34"/>
      <c r="N985" s="35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8.75" customHeight="1">
      <c r="A986" s="31"/>
      <c r="B986" s="31"/>
      <c r="C986" s="36"/>
      <c r="D986" s="31"/>
      <c r="E986" s="31"/>
      <c r="F986" s="31"/>
      <c r="G986" s="31"/>
      <c r="H986" s="31"/>
      <c r="I986" s="34"/>
      <c r="J986" s="31"/>
      <c r="K986" s="31"/>
      <c r="L986" s="35"/>
      <c r="M986" s="34"/>
      <c r="N986" s="35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8.75" customHeight="1">
      <c r="A987" s="31"/>
      <c r="B987" s="31"/>
      <c r="C987" s="36"/>
      <c r="D987" s="31"/>
      <c r="E987" s="31"/>
      <c r="F987" s="31"/>
      <c r="G987" s="31"/>
      <c r="H987" s="31"/>
      <c r="I987" s="34"/>
      <c r="J987" s="31"/>
      <c r="K987" s="31"/>
      <c r="L987" s="35"/>
      <c r="M987" s="34"/>
      <c r="N987" s="35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8.75" customHeight="1">
      <c r="A988" s="31"/>
      <c r="B988" s="31"/>
      <c r="C988" s="36"/>
      <c r="D988" s="31"/>
      <c r="E988" s="31"/>
      <c r="F988" s="31"/>
      <c r="G988" s="31"/>
      <c r="H988" s="31"/>
      <c r="I988" s="34"/>
      <c r="J988" s="31"/>
      <c r="K988" s="31"/>
      <c r="L988" s="35"/>
      <c r="M988" s="34"/>
      <c r="N988" s="35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8.75" customHeight="1">
      <c r="A989" s="31"/>
      <c r="B989" s="31"/>
      <c r="C989" s="36"/>
      <c r="D989" s="31"/>
      <c r="E989" s="31"/>
      <c r="F989" s="31"/>
      <c r="G989" s="31"/>
      <c r="H989" s="31"/>
      <c r="I989" s="34"/>
      <c r="J989" s="31"/>
      <c r="K989" s="31"/>
      <c r="L989" s="35"/>
      <c r="M989" s="34"/>
      <c r="N989" s="35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8.75" customHeight="1">
      <c r="A990" s="31"/>
      <c r="B990" s="31"/>
      <c r="C990" s="36"/>
      <c r="D990" s="31"/>
      <c r="E990" s="31"/>
      <c r="F990" s="31"/>
      <c r="G990" s="31"/>
      <c r="H990" s="31"/>
      <c r="I990" s="34"/>
      <c r="J990" s="31"/>
      <c r="K990" s="31"/>
      <c r="L990" s="35"/>
      <c r="M990" s="34"/>
      <c r="N990" s="35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8.75" customHeight="1">
      <c r="A991" s="31"/>
      <c r="B991" s="31"/>
      <c r="C991" s="36"/>
      <c r="D991" s="31"/>
      <c r="E991" s="31"/>
      <c r="F991" s="31"/>
      <c r="G991" s="31"/>
      <c r="H991" s="31"/>
      <c r="I991" s="34"/>
      <c r="J991" s="31"/>
      <c r="K991" s="31"/>
      <c r="L991" s="35"/>
      <c r="M991" s="34"/>
      <c r="N991" s="35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8.75" customHeight="1">
      <c r="A992" s="31"/>
      <c r="B992" s="31"/>
      <c r="C992" s="36"/>
      <c r="D992" s="31"/>
      <c r="E992" s="31"/>
      <c r="F992" s="31"/>
      <c r="G992" s="31"/>
      <c r="H992" s="31"/>
      <c r="I992" s="34"/>
      <c r="J992" s="31"/>
      <c r="K992" s="31"/>
      <c r="L992" s="35"/>
      <c r="M992" s="34"/>
      <c r="N992" s="35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8.75" customHeight="1">
      <c r="A993" s="31"/>
      <c r="B993" s="31"/>
      <c r="C993" s="36"/>
      <c r="D993" s="31"/>
      <c r="E993" s="31"/>
      <c r="F993" s="31"/>
      <c r="G993" s="31"/>
      <c r="H993" s="31"/>
      <c r="I993" s="34"/>
      <c r="J993" s="31"/>
      <c r="K993" s="31"/>
      <c r="L993" s="35"/>
      <c r="M993" s="34"/>
      <c r="N993" s="35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8.75" customHeight="1">
      <c r="A994" s="31"/>
      <c r="B994" s="31"/>
      <c r="C994" s="36"/>
      <c r="D994" s="31"/>
      <c r="E994" s="31"/>
      <c r="F994" s="31"/>
      <c r="G994" s="31"/>
      <c r="H994" s="31"/>
      <c r="I994" s="34"/>
      <c r="J994" s="31"/>
      <c r="K994" s="31"/>
      <c r="L994" s="35"/>
      <c r="M994" s="34"/>
      <c r="N994" s="35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8.75" customHeight="1">
      <c r="A995" s="31"/>
      <c r="B995" s="31"/>
      <c r="C995" s="36"/>
      <c r="D995" s="31"/>
      <c r="E995" s="31"/>
      <c r="F995" s="31"/>
      <c r="G995" s="31"/>
      <c r="H995" s="31"/>
      <c r="I995" s="34"/>
      <c r="J995" s="31"/>
      <c r="K995" s="31"/>
      <c r="L995" s="35"/>
      <c r="M995" s="34"/>
      <c r="N995" s="35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8.75" customHeight="1">
      <c r="A996" s="31"/>
      <c r="B996" s="31"/>
      <c r="C996" s="36"/>
      <c r="D996" s="31"/>
      <c r="E996" s="31"/>
      <c r="F996" s="31"/>
      <c r="G996" s="31"/>
      <c r="H996" s="31"/>
      <c r="I996" s="34"/>
      <c r="J996" s="31"/>
      <c r="K996" s="31"/>
      <c r="L996" s="35"/>
      <c r="M996" s="34"/>
      <c r="N996" s="35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8.75" customHeight="1">
      <c r="A997" s="31"/>
      <c r="B997" s="31"/>
      <c r="C997" s="36"/>
      <c r="D997" s="31"/>
      <c r="E997" s="31"/>
      <c r="F997" s="31"/>
      <c r="G997" s="31"/>
      <c r="H997" s="31"/>
      <c r="I997" s="34"/>
      <c r="J997" s="31"/>
      <c r="K997" s="31"/>
      <c r="L997" s="35"/>
      <c r="M997" s="34"/>
      <c r="N997" s="35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8.75" customHeight="1">
      <c r="A998" s="31"/>
      <c r="B998" s="31"/>
      <c r="C998" s="36"/>
      <c r="D998" s="31"/>
      <c r="E998" s="31"/>
      <c r="F998" s="31"/>
      <c r="G998" s="31"/>
      <c r="H998" s="31"/>
      <c r="I998" s="34"/>
      <c r="J998" s="31"/>
      <c r="K998" s="31"/>
      <c r="L998" s="35"/>
      <c r="M998" s="34"/>
      <c r="N998" s="35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8.75" customHeight="1">
      <c r="A999" s="31"/>
      <c r="B999" s="31"/>
      <c r="C999" s="36"/>
      <c r="D999" s="31"/>
      <c r="E999" s="31"/>
      <c r="F999" s="31"/>
      <c r="G999" s="31"/>
      <c r="H999" s="31"/>
      <c r="I999" s="34"/>
      <c r="J999" s="31"/>
      <c r="K999" s="31"/>
      <c r="L999" s="35"/>
      <c r="M999" s="34"/>
      <c r="N999" s="35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8.75" customHeight="1">
      <c r="A1000" s="31"/>
      <c r="B1000" s="31"/>
      <c r="C1000" s="36"/>
      <c r="D1000" s="31"/>
      <c r="E1000" s="31"/>
      <c r="F1000" s="31"/>
      <c r="G1000" s="31"/>
      <c r="H1000" s="31"/>
      <c r="I1000" s="34"/>
      <c r="J1000" s="31"/>
      <c r="K1000" s="31"/>
      <c r="L1000" s="35"/>
      <c r="M1000" s="34"/>
      <c r="N1000" s="35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8.75" customHeight="1">
      <c r="A1001" s="31"/>
      <c r="B1001" s="31"/>
      <c r="C1001" s="36"/>
      <c r="D1001" s="31"/>
      <c r="E1001" s="31"/>
      <c r="F1001" s="31"/>
      <c r="G1001" s="31"/>
      <c r="H1001" s="31"/>
      <c r="I1001" s="34"/>
      <c r="J1001" s="31"/>
      <c r="K1001" s="31"/>
      <c r="L1001" s="35"/>
      <c r="M1001" s="34"/>
      <c r="N1001" s="35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8.75" customHeight="1">
      <c r="A1002" s="31"/>
      <c r="B1002" s="31"/>
      <c r="C1002" s="36"/>
      <c r="D1002" s="31"/>
      <c r="E1002" s="31"/>
      <c r="F1002" s="31"/>
      <c r="G1002" s="31"/>
      <c r="H1002" s="31"/>
      <c r="I1002" s="34"/>
      <c r="J1002" s="31"/>
      <c r="K1002" s="31"/>
      <c r="L1002" s="35"/>
      <c r="M1002" s="34"/>
      <c r="N1002" s="35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8.75" customHeight="1">
      <c r="A1003" s="31"/>
      <c r="B1003" s="31"/>
      <c r="C1003" s="36"/>
      <c r="D1003" s="31"/>
      <c r="E1003" s="31"/>
      <c r="F1003" s="31"/>
      <c r="G1003" s="31"/>
      <c r="H1003" s="31"/>
      <c r="I1003" s="34"/>
      <c r="J1003" s="31"/>
      <c r="K1003" s="31"/>
      <c r="L1003" s="35"/>
      <c r="M1003" s="34"/>
      <c r="N1003" s="35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8.75" customHeight="1">
      <c r="A1004" s="31"/>
      <c r="B1004" s="31"/>
      <c r="C1004" s="36"/>
      <c r="D1004" s="31"/>
      <c r="E1004" s="31"/>
      <c r="F1004" s="31"/>
      <c r="G1004" s="31"/>
      <c r="H1004" s="31"/>
      <c r="I1004" s="34"/>
      <c r="J1004" s="31"/>
      <c r="K1004" s="31"/>
      <c r="L1004" s="35"/>
      <c r="M1004" s="34"/>
      <c r="N1004" s="35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ht="18.75" customHeight="1">
      <c r="A1005" s="31"/>
      <c r="B1005" s="31"/>
      <c r="C1005" s="36"/>
      <c r="D1005" s="31"/>
      <c r="E1005" s="31"/>
      <c r="F1005" s="31"/>
      <c r="G1005" s="31"/>
      <c r="H1005" s="31"/>
      <c r="I1005" s="34"/>
      <c r="J1005" s="31"/>
      <c r="K1005" s="31"/>
      <c r="L1005" s="35"/>
      <c r="M1005" s="34"/>
      <c r="N1005" s="35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ht="18.75" customHeight="1">
      <c r="A1006" s="31"/>
      <c r="B1006" s="31"/>
      <c r="C1006" s="36"/>
      <c r="D1006" s="31"/>
      <c r="E1006" s="31"/>
      <c r="F1006" s="31"/>
      <c r="G1006" s="31"/>
      <c r="H1006" s="31"/>
      <c r="I1006" s="34"/>
      <c r="J1006" s="31"/>
      <c r="K1006" s="31"/>
      <c r="L1006" s="35"/>
      <c r="M1006" s="34"/>
      <c r="N1006" s="35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ht="18.75" customHeight="1">
      <c r="A1007" s="31"/>
      <c r="B1007" s="31"/>
      <c r="C1007" s="36"/>
      <c r="D1007" s="31"/>
      <c r="E1007" s="31"/>
      <c r="F1007" s="31"/>
      <c r="G1007" s="31"/>
      <c r="H1007" s="31"/>
      <c r="I1007" s="34"/>
      <c r="J1007" s="31"/>
      <c r="K1007" s="31"/>
      <c r="L1007" s="35"/>
      <c r="M1007" s="34"/>
      <c r="N1007" s="35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ht="18.75" customHeight="1">
      <c r="A1008" s="31"/>
      <c r="B1008" s="31"/>
      <c r="C1008" s="36"/>
      <c r="D1008" s="31"/>
      <c r="E1008" s="31"/>
      <c r="F1008" s="31"/>
      <c r="G1008" s="31"/>
      <c r="H1008" s="31"/>
      <c r="I1008" s="34"/>
      <c r="J1008" s="31"/>
      <c r="K1008" s="31"/>
      <c r="L1008" s="35"/>
      <c r="M1008" s="34"/>
      <c r="N1008" s="35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ht="18.75" customHeight="1">
      <c r="A1009" s="31"/>
      <c r="B1009" s="31"/>
      <c r="C1009" s="36"/>
      <c r="D1009" s="31"/>
      <c r="E1009" s="31"/>
      <c r="F1009" s="31"/>
      <c r="G1009" s="31"/>
      <c r="H1009" s="31"/>
      <c r="I1009" s="34"/>
      <c r="J1009" s="31"/>
      <c r="K1009" s="31"/>
      <c r="L1009" s="35"/>
      <c r="M1009" s="34"/>
      <c r="N1009" s="35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ht="18.75" customHeight="1">
      <c r="A1010" s="31"/>
      <c r="B1010" s="31"/>
      <c r="C1010" s="36"/>
      <c r="D1010" s="31"/>
      <c r="E1010" s="31"/>
      <c r="F1010" s="31"/>
      <c r="G1010" s="31"/>
      <c r="H1010" s="31"/>
      <c r="I1010" s="34"/>
      <c r="J1010" s="31"/>
      <c r="K1010" s="31"/>
      <c r="L1010" s="35"/>
      <c r="M1010" s="34"/>
      <c r="N1010" s="35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ht="18.75" customHeight="1">
      <c r="A1011" s="31"/>
      <c r="B1011" s="31"/>
      <c r="C1011" s="36"/>
      <c r="D1011" s="31"/>
      <c r="E1011" s="31"/>
      <c r="F1011" s="31"/>
      <c r="G1011" s="31"/>
      <c r="H1011" s="31"/>
      <c r="I1011" s="34"/>
      <c r="J1011" s="31"/>
      <c r="K1011" s="31"/>
      <c r="L1011" s="35"/>
      <c r="M1011" s="34"/>
      <c r="N1011" s="35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ht="18.75" customHeight="1">
      <c r="A1012" s="31"/>
      <c r="B1012" s="31"/>
      <c r="C1012" s="36"/>
      <c r="D1012" s="31"/>
      <c r="E1012" s="31"/>
      <c r="F1012" s="31"/>
      <c r="G1012" s="31"/>
      <c r="H1012" s="31"/>
      <c r="I1012" s="34"/>
      <c r="J1012" s="31"/>
      <c r="K1012" s="31"/>
      <c r="L1012" s="35"/>
      <c r="M1012" s="34"/>
      <c r="N1012" s="35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ht="18.75" customHeight="1">
      <c r="A1013" s="31"/>
      <c r="B1013" s="31"/>
      <c r="C1013" s="36"/>
      <c r="D1013" s="31"/>
      <c r="E1013" s="31"/>
      <c r="F1013" s="31"/>
      <c r="G1013" s="31"/>
      <c r="H1013" s="31"/>
      <c r="I1013" s="34"/>
      <c r="J1013" s="31"/>
      <c r="K1013" s="31"/>
      <c r="L1013" s="35"/>
      <c r="M1013" s="34"/>
      <c r="N1013" s="35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ht="18.75" customHeight="1">
      <c r="A1014" s="31"/>
      <c r="B1014" s="31"/>
      <c r="C1014" s="36"/>
      <c r="D1014" s="31"/>
      <c r="E1014" s="31"/>
      <c r="F1014" s="31"/>
      <c r="G1014" s="31"/>
      <c r="H1014" s="31"/>
      <c r="I1014" s="34"/>
      <c r="J1014" s="31"/>
      <c r="K1014" s="31"/>
      <c r="L1014" s="35"/>
      <c r="M1014" s="34"/>
      <c r="N1014" s="35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ht="18.75" customHeight="1">
      <c r="A1015" s="31"/>
      <c r="B1015" s="31"/>
      <c r="C1015" s="36"/>
      <c r="D1015" s="31"/>
      <c r="E1015" s="31"/>
      <c r="F1015" s="31"/>
      <c r="G1015" s="31"/>
      <c r="H1015" s="31"/>
      <c r="I1015" s="34"/>
      <c r="J1015" s="31"/>
      <c r="K1015" s="31"/>
      <c r="L1015" s="35"/>
      <c r="M1015" s="34"/>
      <c r="N1015" s="35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ht="18.75" customHeight="1">
      <c r="A1016" s="31"/>
      <c r="B1016" s="31"/>
      <c r="C1016" s="36"/>
      <c r="D1016" s="31"/>
      <c r="E1016" s="31"/>
      <c r="F1016" s="31"/>
      <c r="G1016" s="31"/>
      <c r="H1016" s="31"/>
      <c r="I1016" s="34"/>
      <c r="J1016" s="31"/>
      <c r="K1016" s="31"/>
      <c r="L1016" s="35"/>
      <c r="M1016" s="34"/>
      <c r="N1016" s="35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ht="18.75" customHeight="1">
      <c r="A1017" s="31"/>
      <c r="B1017" s="31"/>
      <c r="C1017" s="36"/>
      <c r="D1017" s="31"/>
      <c r="E1017" s="31"/>
      <c r="F1017" s="31"/>
      <c r="G1017" s="31"/>
      <c r="H1017" s="31"/>
      <c r="I1017" s="34"/>
      <c r="J1017" s="31"/>
      <c r="K1017" s="31"/>
      <c r="L1017" s="35"/>
      <c r="M1017" s="34"/>
      <c r="N1017" s="35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ht="18.75" customHeight="1">
      <c r="A1018" s="31"/>
      <c r="B1018" s="31"/>
      <c r="C1018" s="36"/>
      <c r="D1018" s="31"/>
      <c r="E1018" s="31"/>
      <c r="F1018" s="31"/>
      <c r="G1018" s="31"/>
      <c r="H1018" s="31"/>
      <c r="I1018" s="34"/>
      <c r="J1018" s="31"/>
      <c r="K1018" s="31"/>
      <c r="L1018" s="35"/>
      <c r="M1018" s="34"/>
      <c r="N1018" s="35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ht="18.75" customHeight="1">
      <c r="A1019" s="31"/>
      <c r="B1019" s="31"/>
      <c r="C1019" s="36"/>
      <c r="D1019" s="31"/>
      <c r="E1019" s="31"/>
      <c r="F1019" s="31"/>
      <c r="G1019" s="31"/>
      <c r="H1019" s="31"/>
      <c r="I1019" s="34"/>
      <c r="J1019" s="31"/>
      <c r="K1019" s="31"/>
      <c r="L1019" s="35"/>
      <c r="M1019" s="34"/>
      <c r="N1019" s="35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ht="18.75" customHeight="1">
      <c r="A1020" s="31"/>
      <c r="B1020" s="31"/>
      <c r="C1020" s="36"/>
      <c r="D1020" s="31"/>
      <c r="E1020" s="31"/>
      <c r="F1020" s="31"/>
      <c r="G1020" s="31"/>
      <c r="H1020" s="31"/>
      <c r="I1020" s="34"/>
      <c r="J1020" s="31"/>
      <c r="K1020" s="31"/>
      <c r="L1020" s="35"/>
      <c r="M1020" s="34"/>
      <c r="N1020" s="35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ht="18.75" customHeight="1">
      <c r="A1021" s="31"/>
      <c r="B1021" s="31"/>
      <c r="C1021" s="36"/>
      <c r="D1021" s="31"/>
      <c r="E1021" s="31"/>
      <c r="F1021" s="31"/>
      <c r="G1021" s="31"/>
      <c r="H1021" s="31"/>
      <c r="I1021" s="34"/>
      <c r="J1021" s="31"/>
      <c r="K1021" s="31"/>
      <c r="L1021" s="35"/>
      <c r="M1021" s="34"/>
      <c r="N1021" s="35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ht="18.75" customHeight="1">
      <c r="A1022" s="31"/>
      <c r="B1022" s="31"/>
      <c r="C1022" s="36"/>
      <c r="D1022" s="31"/>
      <c r="E1022" s="31"/>
      <c r="F1022" s="31"/>
      <c r="G1022" s="31"/>
      <c r="H1022" s="31"/>
      <c r="I1022" s="34"/>
      <c r="J1022" s="31"/>
      <c r="K1022" s="31"/>
      <c r="L1022" s="35"/>
      <c r="M1022" s="34"/>
      <c r="N1022" s="35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ht="18.75" customHeight="1">
      <c r="A1023" s="31"/>
      <c r="B1023" s="31"/>
      <c r="C1023" s="36"/>
      <c r="D1023" s="31"/>
      <c r="E1023" s="31"/>
      <c r="F1023" s="31"/>
      <c r="G1023" s="31"/>
      <c r="H1023" s="31"/>
      <c r="I1023" s="34"/>
      <c r="J1023" s="31"/>
      <c r="K1023" s="31"/>
      <c r="L1023" s="35"/>
      <c r="M1023" s="34"/>
      <c r="N1023" s="35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ht="18.75" customHeight="1">
      <c r="A1024" s="31"/>
      <c r="B1024" s="31"/>
      <c r="C1024" s="36"/>
      <c r="D1024" s="31"/>
      <c r="E1024" s="31"/>
      <c r="F1024" s="31"/>
      <c r="G1024" s="31"/>
      <c r="H1024" s="31"/>
      <c r="I1024" s="34"/>
      <c r="J1024" s="31"/>
      <c r="K1024" s="31"/>
      <c r="L1024" s="35"/>
      <c r="M1024" s="34"/>
      <c r="N1024" s="35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ht="18.75" customHeight="1">
      <c r="A1025" s="31"/>
      <c r="B1025" s="31"/>
      <c r="C1025" s="36"/>
      <c r="D1025" s="31"/>
      <c r="E1025" s="31"/>
      <c r="F1025" s="31"/>
      <c r="G1025" s="31"/>
      <c r="H1025" s="31"/>
      <c r="I1025" s="34"/>
      <c r="J1025" s="31"/>
      <c r="K1025" s="31"/>
      <c r="L1025" s="35"/>
      <c r="M1025" s="34"/>
      <c r="N1025" s="35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ht="18.75" customHeight="1">
      <c r="A1026" s="31"/>
      <c r="B1026" s="31"/>
      <c r="C1026" s="36"/>
      <c r="D1026" s="31"/>
      <c r="E1026" s="31"/>
      <c r="F1026" s="31"/>
      <c r="G1026" s="31"/>
      <c r="H1026" s="31"/>
      <c r="I1026" s="34"/>
      <c r="J1026" s="31"/>
      <c r="K1026" s="31"/>
      <c r="L1026" s="35"/>
      <c r="M1026" s="34"/>
      <c r="N1026" s="35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ht="18.75" customHeight="1">
      <c r="A1027" s="31"/>
      <c r="B1027" s="31"/>
      <c r="C1027" s="36"/>
      <c r="D1027" s="31"/>
      <c r="E1027" s="31"/>
      <c r="F1027" s="31"/>
      <c r="G1027" s="31"/>
      <c r="H1027" s="31"/>
      <c r="I1027" s="34"/>
      <c r="J1027" s="31"/>
      <c r="K1027" s="31"/>
      <c r="L1027" s="35"/>
      <c r="M1027" s="34"/>
      <c r="N1027" s="35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ht="18.75" customHeight="1">
      <c r="A1028" s="31"/>
      <c r="B1028" s="31"/>
      <c r="C1028" s="36"/>
      <c r="D1028" s="31"/>
      <c r="E1028" s="31"/>
      <c r="F1028" s="31"/>
      <c r="G1028" s="31"/>
      <c r="H1028" s="31"/>
      <c r="I1028" s="34"/>
      <c r="J1028" s="31"/>
      <c r="K1028" s="31"/>
      <c r="L1028" s="35"/>
      <c r="M1028" s="34"/>
      <c r="N1028" s="35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ht="18.75" customHeight="1">
      <c r="A1029" s="31"/>
      <c r="B1029" s="31"/>
      <c r="C1029" s="36"/>
      <c r="D1029" s="31"/>
      <c r="E1029" s="31"/>
      <c r="F1029" s="31"/>
      <c r="G1029" s="31"/>
      <c r="H1029" s="31"/>
      <c r="I1029" s="34"/>
      <c r="J1029" s="31"/>
      <c r="K1029" s="31"/>
      <c r="L1029" s="35"/>
      <c r="M1029" s="34"/>
      <c r="N1029" s="35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ht="18.75" customHeight="1">
      <c r="A1030" s="31"/>
      <c r="B1030" s="31"/>
      <c r="C1030" s="36"/>
      <c r="D1030" s="31"/>
      <c r="E1030" s="31"/>
      <c r="F1030" s="31"/>
      <c r="G1030" s="31"/>
      <c r="H1030" s="31"/>
      <c r="I1030" s="34"/>
      <c r="J1030" s="31"/>
      <c r="K1030" s="31"/>
      <c r="L1030" s="35"/>
      <c r="M1030" s="34"/>
      <c r="N1030" s="35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ht="18.75" customHeight="1">
      <c r="A1031" s="31"/>
      <c r="B1031" s="31"/>
      <c r="C1031" s="36"/>
      <c r="D1031" s="31"/>
      <c r="E1031" s="31"/>
      <c r="F1031" s="31"/>
      <c r="G1031" s="31"/>
      <c r="H1031" s="31"/>
      <c r="I1031" s="34"/>
      <c r="J1031" s="31"/>
      <c r="K1031" s="31"/>
      <c r="L1031" s="35"/>
      <c r="M1031" s="34"/>
      <c r="N1031" s="35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ht="18.75" customHeight="1">
      <c r="A1032" s="31"/>
      <c r="B1032" s="31"/>
      <c r="C1032" s="36"/>
      <c r="D1032" s="31"/>
      <c r="E1032" s="31"/>
      <c r="F1032" s="31"/>
      <c r="G1032" s="31"/>
      <c r="H1032" s="31"/>
      <c r="I1032" s="34"/>
      <c r="J1032" s="31"/>
      <c r="K1032" s="31"/>
      <c r="L1032" s="35"/>
      <c r="M1032" s="34"/>
      <c r="N1032" s="35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ht="18.75" customHeight="1">
      <c r="A1033" s="31"/>
      <c r="B1033" s="31"/>
      <c r="C1033" s="36"/>
      <c r="D1033" s="31"/>
      <c r="E1033" s="31"/>
      <c r="F1033" s="31"/>
      <c r="G1033" s="31"/>
      <c r="H1033" s="31"/>
      <c r="I1033" s="34"/>
      <c r="J1033" s="31"/>
      <c r="K1033" s="31"/>
      <c r="L1033" s="35"/>
      <c r="M1033" s="34"/>
      <c r="N1033" s="35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ht="18.75" customHeight="1">
      <c r="A1034" s="31"/>
      <c r="B1034" s="31"/>
      <c r="C1034" s="36"/>
      <c r="D1034" s="31"/>
      <c r="E1034" s="31"/>
      <c r="F1034" s="31"/>
      <c r="G1034" s="31"/>
      <c r="H1034" s="31"/>
      <c r="I1034" s="34"/>
      <c r="J1034" s="31"/>
      <c r="K1034" s="31"/>
      <c r="L1034" s="35"/>
      <c r="M1034" s="34"/>
      <c r="N1034" s="35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ht="18.75" customHeight="1">
      <c r="A1035" s="31"/>
      <c r="B1035" s="31"/>
      <c r="C1035" s="36"/>
      <c r="D1035" s="31"/>
      <c r="E1035" s="31"/>
      <c r="F1035" s="31"/>
      <c r="G1035" s="31"/>
      <c r="H1035" s="31"/>
      <c r="I1035" s="34"/>
      <c r="J1035" s="31"/>
      <c r="K1035" s="31"/>
      <c r="L1035" s="35"/>
      <c r="M1035" s="34"/>
      <c r="N1035" s="35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ht="18.75" customHeight="1">
      <c r="A1036" s="31"/>
      <c r="B1036" s="31"/>
      <c r="C1036" s="36"/>
      <c r="D1036" s="31"/>
      <c r="E1036" s="31"/>
      <c r="F1036" s="31"/>
      <c r="G1036" s="31"/>
      <c r="H1036" s="31"/>
      <c r="I1036" s="34"/>
      <c r="J1036" s="31"/>
      <c r="K1036" s="31"/>
      <c r="L1036" s="35"/>
      <c r="M1036" s="34"/>
      <c r="N1036" s="35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ht="18.75" customHeight="1">
      <c r="A1037" s="31"/>
      <c r="B1037" s="31"/>
      <c r="C1037" s="36"/>
      <c r="D1037" s="31"/>
      <c r="E1037" s="31"/>
      <c r="F1037" s="31"/>
      <c r="G1037" s="31"/>
      <c r="H1037" s="31"/>
      <c r="I1037" s="34"/>
      <c r="J1037" s="31"/>
      <c r="K1037" s="31"/>
      <c r="L1037" s="35"/>
      <c r="M1037" s="34"/>
      <c r="N1037" s="35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ht="18.75" customHeight="1">
      <c r="A1038" s="31"/>
      <c r="B1038" s="31"/>
      <c r="C1038" s="36"/>
      <c r="D1038" s="31"/>
      <c r="E1038" s="31"/>
      <c r="F1038" s="31"/>
      <c r="G1038" s="31"/>
      <c r="H1038" s="31"/>
      <c r="I1038" s="34"/>
      <c r="J1038" s="31"/>
      <c r="K1038" s="31"/>
      <c r="L1038" s="35"/>
      <c r="M1038" s="34"/>
      <c r="N1038" s="35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ht="18.75" customHeight="1">
      <c r="A1039" s="31"/>
      <c r="B1039" s="31"/>
      <c r="C1039" s="36"/>
      <c r="D1039" s="31"/>
      <c r="E1039" s="31"/>
      <c r="F1039" s="31"/>
      <c r="G1039" s="31"/>
      <c r="H1039" s="31"/>
      <c r="I1039" s="34"/>
      <c r="J1039" s="31"/>
      <c r="K1039" s="31"/>
      <c r="L1039" s="35"/>
      <c r="M1039" s="34"/>
      <c r="N1039" s="35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ht="18.75" customHeight="1">
      <c r="A1040" s="31"/>
      <c r="B1040" s="31"/>
      <c r="C1040" s="36"/>
      <c r="D1040" s="31"/>
      <c r="E1040" s="31"/>
      <c r="F1040" s="31"/>
      <c r="G1040" s="31"/>
      <c r="H1040" s="31"/>
      <c r="I1040" s="34"/>
      <c r="J1040" s="31"/>
      <c r="K1040" s="31"/>
      <c r="L1040" s="35"/>
      <c r="M1040" s="34"/>
      <c r="N1040" s="35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ht="18.75" customHeight="1">
      <c r="A1041" s="31"/>
      <c r="B1041" s="31"/>
      <c r="C1041" s="36"/>
      <c r="D1041" s="31"/>
      <c r="E1041" s="31"/>
      <c r="F1041" s="31"/>
      <c r="G1041" s="31"/>
      <c r="H1041" s="31"/>
      <c r="I1041" s="34"/>
      <c r="J1041" s="31"/>
      <c r="K1041" s="31"/>
      <c r="L1041" s="35"/>
      <c r="M1041" s="34"/>
      <c r="N1041" s="35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ht="18.75" customHeight="1">
      <c r="A1042" s="31"/>
      <c r="B1042" s="31"/>
      <c r="C1042" s="36"/>
      <c r="D1042" s="31"/>
      <c r="E1042" s="31"/>
      <c r="F1042" s="31"/>
      <c r="G1042" s="31"/>
      <c r="H1042" s="31"/>
      <c r="I1042" s="34"/>
      <c r="J1042" s="31"/>
      <c r="K1042" s="31"/>
      <c r="L1042" s="35"/>
      <c r="M1042" s="34"/>
      <c r="N1042" s="35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ht="18.75" customHeight="1">
      <c r="A1043" s="31"/>
      <c r="B1043" s="31"/>
      <c r="C1043" s="36"/>
      <c r="D1043" s="31"/>
      <c r="E1043" s="31"/>
      <c r="F1043" s="31"/>
      <c r="G1043" s="31"/>
      <c r="H1043" s="31"/>
      <c r="I1043" s="34"/>
      <c r="J1043" s="31"/>
      <c r="K1043" s="31"/>
      <c r="L1043" s="35"/>
      <c r="M1043" s="34"/>
      <c r="N1043" s="35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ht="18.75" customHeight="1">
      <c r="A1044" s="31"/>
      <c r="B1044" s="31"/>
      <c r="C1044" s="36"/>
      <c r="D1044" s="31"/>
      <c r="E1044" s="31"/>
      <c r="F1044" s="31"/>
      <c r="G1044" s="31"/>
      <c r="H1044" s="31"/>
      <c r="I1044" s="34"/>
      <c r="J1044" s="31"/>
      <c r="K1044" s="31"/>
      <c r="L1044" s="35"/>
      <c r="M1044" s="34"/>
      <c r="N1044" s="35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ht="18.75" customHeight="1">
      <c r="A1045" s="31"/>
      <c r="B1045" s="31"/>
      <c r="C1045" s="36"/>
      <c r="D1045" s="31"/>
      <c r="E1045" s="31"/>
      <c r="F1045" s="31"/>
      <c r="G1045" s="31"/>
      <c r="H1045" s="31"/>
      <c r="I1045" s="34"/>
      <c r="J1045" s="31"/>
      <c r="K1045" s="31"/>
      <c r="L1045" s="35"/>
      <c r="M1045" s="34"/>
      <c r="N1045" s="35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ht="18.75" customHeight="1">
      <c r="A1046" s="31"/>
      <c r="B1046" s="31"/>
      <c r="C1046" s="36"/>
      <c r="D1046" s="31"/>
      <c r="E1046" s="31"/>
      <c r="F1046" s="31"/>
      <c r="G1046" s="31"/>
      <c r="H1046" s="31"/>
      <c r="I1046" s="34"/>
      <c r="J1046" s="31"/>
      <c r="K1046" s="31"/>
      <c r="L1046" s="35"/>
      <c r="M1046" s="34"/>
      <c r="N1046" s="35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ht="18.75" customHeight="1">
      <c r="A1047" s="31"/>
      <c r="B1047" s="31"/>
      <c r="C1047" s="36"/>
      <c r="D1047" s="31"/>
      <c r="E1047" s="31"/>
      <c r="F1047" s="31"/>
      <c r="G1047" s="31"/>
      <c r="H1047" s="31"/>
      <c r="I1047" s="34"/>
      <c r="J1047" s="31"/>
      <c r="K1047" s="31"/>
      <c r="L1047" s="35"/>
      <c r="M1047" s="34"/>
      <c r="N1047" s="35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ht="18.75" customHeight="1">
      <c r="A1048" s="31"/>
      <c r="B1048" s="31"/>
      <c r="C1048" s="36"/>
      <c r="D1048" s="31"/>
      <c r="E1048" s="31"/>
      <c r="F1048" s="31"/>
      <c r="G1048" s="31"/>
      <c r="H1048" s="31"/>
      <c r="I1048" s="34"/>
      <c r="J1048" s="31"/>
      <c r="K1048" s="31"/>
      <c r="L1048" s="35"/>
      <c r="M1048" s="34"/>
      <c r="N1048" s="35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ht="18.75" customHeight="1">
      <c r="A1049" s="31"/>
      <c r="B1049" s="31"/>
      <c r="C1049" s="36"/>
      <c r="D1049" s="31"/>
      <c r="E1049" s="31"/>
      <c r="F1049" s="31"/>
      <c r="G1049" s="31"/>
      <c r="H1049" s="31"/>
      <c r="I1049" s="34"/>
      <c r="J1049" s="31"/>
      <c r="K1049" s="31"/>
      <c r="L1049" s="35"/>
      <c r="M1049" s="34"/>
      <c r="N1049" s="35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ht="18.75" customHeight="1">
      <c r="A1050" s="31"/>
      <c r="B1050" s="31"/>
      <c r="C1050" s="36"/>
      <c r="D1050" s="31"/>
      <c r="E1050" s="31"/>
      <c r="F1050" s="31"/>
      <c r="G1050" s="31"/>
      <c r="H1050" s="31"/>
      <c r="I1050" s="34"/>
      <c r="J1050" s="31"/>
      <c r="K1050" s="31"/>
      <c r="L1050" s="35"/>
      <c r="M1050" s="34"/>
      <c r="N1050" s="35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ht="18.75" customHeight="1">
      <c r="A1051" s="31"/>
      <c r="B1051" s="31"/>
      <c r="C1051" s="36"/>
      <c r="D1051" s="31"/>
      <c r="E1051" s="31"/>
      <c r="F1051" s="31"/>
      <c r="G1051" s="31"/>
      <c r="H1051" s="31"/>
      <c r="I1051" s="34"/>
      <c r="J1051" s="31"/>
      <c r="K1051" s="31"/>
      <c r="L1051" s="35"/>
      <c r="M1051" s="34"/>
      <c r="N1051" s="35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ht="18.75" customHeight="1">
      <c r="A1052" s="31"/>
      <c r="B1052" s="31"/>
      <c r="C1052" s="36"/>
      <c r="D1052" s="31"/>
      <c r="E1052" s="31"/>
      <c r="F1052" s="31"/>
      <c r="G1052" s="31"/>
      <c r="H1052" s="31"/>
      <c r="I1052" s="34"/>
      <c r="J1052" s="31"/>
      <c r="K1052" s="31"/>
      <c r="L1052" s="35"/>
      <c r="M1052" s="34"/>
      <c r="N1052" s="35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ht="18.75" customHeight="1">
      <c r="A1053" s="31"/>
      <c r="B1053" s="31"/>
      <c r="C1053" s="36"/>
      <c r="D1053" s="31"/>
      <c r="E1053" s="31"/>
      <c r="F1053" s="31"/>
      <c r="G1053" s="31"/>
      <c r="H1053" s="31"/>
      <c r="I1053" s="34"/>
      <c r="J1053" s="31"/>
      <c r="K1053" s="31"/>
      <c r="L1053" s="35"/>
      <c r="M1053" s="34"/>
      <c r="N1053" s="35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ht="18.75" customHeight="1">
      <c r="A1054" s="31"/>
      <c r="B1054" s="31"/>
      <c r="C1054" s="36"/>
      <c r="D1054" s="31"/>
      <c r="E1054" s="31"/>
      <c r="F1054" s="31"/>
      <c r="G1054" s="31"/>
      <c r="H1054" s="31"/>
      <c r="I1054" s="34"/>
      <c r="J1054" s="31"/>
      <c r="K1054" s="31"/>
      <c r="L1054" s="35"/>
      <c r="M1054" s="34"/>
      <c r="N1054" s="35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ht="18.75" customHeight="1">
      <c r="A1055" s="31"/>
      <c r="B1055" s="31"/>
      <c r="C1055" s="36"/>
      <c r="D1055" s="31"/>
      <c r="E1055" s="31"/>
      <c r="F1055" s="31"/>
      <c r="G1055" s="31"/>
      <c r="H1055" s="31"/>
      <c r="I1055" s="34"/>
      <c r="J1055" s="31"/>
      <c r="K1055" s="31"/>
      <c r="L1055" s="35"/>
      <c r="M1055" s="34"/>
      <c r="N1055" s="35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ht="18.75" customHeight="1">
      <c r="A1056" s="31"/>
      <c r="B1056" s="31"/>
      <c r="C1056" s="36"/>
      <c r="D1056" s="31"/>
      <c r="E1056" s="31"/>
      <c r="F1056" s="31"/>
      <c r="G1056" s="31"/>
      <c r="H1056" s="31"/>
      <c r="I1056" s="34"/>
      <c r="J1056" s="31"/>
      <c r="K1056" s="31"/>
      <c r="L1056" s="35"/>
      <c r="M1056" s="34"/>
      <c r="N1056" s="35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ht="18.75" customHeight="1">
      <c r="A1057" s="31"/>
      <c r="B1057" s="31"/>
      <c r="C1057" s="36"/>
      <c r="D1057" s="31"/>
      <c r="E1057" s="31"/>
      <c r="F1057" s="31"/>
      <c r="G1057" s="31"/>
      <c r="H1057" s="31"/>
      <c r="I1057" s="34"/>
      <c r="J1057" s="31"/>
      <c r="K1057" s="31"/>
      <c r="L1057" s="35"/>
      <c r="M1057" s="34"/>
      <c r="N1057" s="35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ht="18.75" customHeight="1">
      <c r="A1058" s="31"/>
      <c r="B1058" s="31"/>
      <c r="C1058" s="36"/>
      <c r="D1058" s="31"/>
      <c r="E1058" s="31"/>
      <c r="F1058" s="31"/>
      <c r="G1058" s="31"/>
      <c r="H1058" s="31"/>
      <c r="I1058" s="34"/>
      <c r="J1058" s="31"/>
      <c r="K1058" s="31"/>
      <c r="L1058" s="35"/>
      <c r="M1058" s="34"/>
      <c r="N1058" s="35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ht="18.75" customHeight="1">
      <c r="A1059" s="31"/>
      <c r="B1059" s="31"/>
      <c r="C1059" s="36"/>
      <c r="D1059" s="31"/>
      <c r="E1059" s="31"/>
      <c r="F1059" s="31"/>
      <c r="G1059" s="31"/>
      <c r="H1059" s="31"/>
      <c r="I1059" s="34"/>
      <c r="J1059" s="31"/>
      <c r="K1059" s="31"/>
      <c r="L1059" s="35"/>
      <c r="M1059" s="34"/>
      <c r="N1059" s="35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ht="18.75" customHeight="1">
      <c r="A1060" s="31"/>
      <c r="B1060" s="31"/>
      <c r="C1060" s="36"/>
      <c r="D1060" s="31"/>
      <c r="E1060" s="31"/>
      <c r="F1060" s="31"/>
      <c r="G1060" s="31"/>
      <c r="H1060" s="31"/>
      <c r="I1060" s="34"/>
      <c r="J1060" s="31"/>
      <c r="K1060" s="31"/>
      <c r="L1060" s="35"/>
      <c r="M1060" s="34"/>
      <c r="N1060" s="35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ht="18.75" customHeight="1">
      <c r="A1061" s="31"/>
      <c r="B1061" s="31"/>
      <c r="C1061" s="36"/>
      <c r="D1061" s="31"/>
      <c r="E1061" s="31"/>
      <c r="F1061" s="31"/>
      <c r="G1061" s="31"/>
      <c r="H1061" s="31"/>
      <c r="I1061" s="34"/>
      <c r="J1061" s="31"/>
      <c r="K1061" s="31"/>
      <c r="L1061" s="35"/>
      <c r="M1061" s="34"/>
      <c r="N1061" s="35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ht="18.75" customHeight="1">
      <c r="A1062" s="31"/>
      <c r="B1062" s="31"/>
      <c r="C1062" s="36"/>
      <c r="D1062" s="31"/>
      <c r="E1062" s="31"/>
      <c r="F1062" s="31"/>
      <c r="G1062" s="31"/>
      <c r="H1062" s="31"/>
      <c r="I1062" s="34"/>
      <c r="J1062" s="31"/>
      <c r="K1062" s="31"/>
      <c r="L1062" s="35"/>
      <c r="M1062" s="34"/>
      <c r="N1062" s="35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ht="18.75" customHeight="1">
      <c r="A1063" s="31"/>
      <c r="B1063" s="31"/>
      <c r="C1063" s="36"/>
      <c r="D1063" s="31"/>
      <c r="E1063" s="31"/>
      <c r="F1063" s="31"/>
      <c r="G1063" s="31"/>
      <c r="H1063" s="31"/>
      <c r="I1063" s="34"/>
      <c r="J1063" s="31"/>
      <c r="K1063" s="31"/>
      <c r="L1063" s="35"/>
      <c r="M1063" s="34"/>
      <c r="N1063" s="35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ht="18.75" customHeight="1">
      <c r="A1064" s="31"/>
      <c r="B1064" s="31"/>
      <c r="C1064" s="36"/>
      <c r="D1064" s="31"/>
      <c r="E1064" s="31"/>
      <c r="F1064" s="31"/>
      <c r="G1064" s="31"/>
      <c r="H1064" s="31"/>
      <c r="I1064" s="34"/>
      <c r="J1064" s="31"/>
      <c r="K1064" s="31"/>
      <c r="L1064" s="35"/>
      <c r="M1064" s="34"/>
      <c r="N1064" s="35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ht="18.75" customHeight="1">
      <c r="A1065" s="31"/>
      <c r="B1065" s="31"/>
      <c r="C1065" s="36"/>
      <c r="D1065" s="31"/>
      <c r="E1065" s="31"/>
      <c r="F1065" s="31"/>
      <c r="G1065" s="31"/>
      <c r="H1065" s="31"/>
      <c r="I1065" s="34"/>
      <c r="J1065" s="31"/>
      <c r="K1065" s="31"/>
      <c r="L1065" s="35"/>
      <c r="M1065" s="34"/>
      <c r="N1065" s="35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ht="18.75" customHeight="1">
      <c r="A1066" s="31"/>
      <c r="B1066" s="31"/>
      <c r="C1066" s="36"/>
      <c r="D1066" s="31"/>
      <c r="E1066" s="31"/>
      <c r="F1066" s="31"/>
      <c r="G1066" s="31"/>
      <c r="H1066" s="31"/>
      <c r="I1066" s="34"/>
      <c r="J1066" s="31"/>
      <c r="K1066" s="31"/>
      <c r="L1066" s="35"/>
      <c r="M1066" s="34"/>
      <c r="N1066" s="35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ht="18.75" customHeight="1">
      <c r="A1067" s="31"/>
      <c r="B1067" s="31"/>
      <c r="C1067" s="36"/>
      <c r="D1067" s="31"/>
      <c r="E1067" s="31"/>
      <c r="F1067" s="31"/>
      <c r="G1067" s="31"/>
      <c r="H1067" s="31"/>
      <c r="I1067" s="34"/>
      <c r="J1067" s="31"/>
      <c r="K1067" s="31"/>
      <c r="L1067" s="35"/>
      <c r="M1067" s="34"/>
      <c r="N1067" s="35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ht="18.75" customHeight="1">
      <c r="A1068" s="31"/>
      <c r="B1068" s="31"/>
      <c r="C1068" s="36"/>
      <c r="D1068" s="31"/>
      <c r="E1068" s="31"/>
      <c r="F1068" s="31"/>
      <c r="G1068" s="31"/>
      <c r="H1068" s="31"/>
      <c r="I1068" s="34"/>
      <c r="J1068" s="31"/>
      <c r="K1068" s="31"/>
      <c r="L1068" s="35"/>
      <c r="M1068" s="34"/>
      <c r="N1068" s="35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ht="18.75" customHeight="1">
      <c r="A1069" s="31"/>
      <c r="B1069" s="31"/>
      <c r="C1069" s="36"/>
      <c r="D1069" s="31"/>
      <c r="E1069" s="31"/>
      <c r="F1069" s="31"/>
      <c r="G1069" s="31"/>
      <c r="H1069" s="31"/>
      <c r="I1069" s="34"/>
      <c r="J1069" s="31"/>
      <c r="K1069" s="31"/>
      <c r="L1069" s="35"/>
      <c r="M1069" s="34"/>
      <c r="N1069" s="35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ht="18.75" customHeight="1">
      <c r="A1070" s="31"/>
      <c r="B1070" s="31"/>
      <c r="C1070" s="36"/>
      <c r="D1070" s="31"/>
      <c r="E1070" s="31"/>
      <c r="F1070" s="31"/>
      <c r="G1070" s="31"/>
      <c r="H1070" s="31"/>
      <c r="I1070" s="34"/>
      <c r="J1070" s="31"/>
      <c r="K1070" s="31"/>
      <c r="L1070" s="35"/>
      <c r="M1070" s="34"/>
      <c r="N1070" s="35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ht="18.75" customHeight="1">
      <c r="A1071" s="31"/>
      <c r="B1071" s="31"/>
      <c r="C1071" s="36"/>
      <c r="D1071" s="31"/>
      <c r="E1071" s="31"/>
      <c r="F1071" s="31"/>
      <c r="G1071" s="31"/>
      <c r="H1071" s="31"/>
      <c r="I1071" s="34"/>
      <c r="J1071" s="31"/>
      <c r="K1071" s="31"/>
      <c r="L1071" s="35"/>
      <c r="M1071" s="34"/>
      <c r="N1071" s="35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ht="18.75" customHeight="1">
      <c r="A1072" s="31"/>
      <c r="B1072" s="31"/>
      <c r="C1072" s="36"/>
      <c r="D1072" s="31"/>
      <c r="E1072" s="31"/>
      <c r="F1072" s="31"/>
      <c r="G1072" s="31"/>
      <c r="H1072" s="31"/>
      <c r="I1072" s="34"/>
      <c r="J1072" s="31"/>
      <c r="K1072" s="31"/>
      <c r="L1072" s="35"/>
      <c r="M1072" s="34"/>
      <c r="N1072" s="35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ht="18.75" customHeight="1">
      <c r="A1073" s="31"/>
      <c r="B1073" s="31"/>
      <c r="C1073" s="36"/>
      <c r="D1073" s="31"/>
      <c r="E1073" s="31"/>
      <c r="F1073" s="31"/>
      <c r="G1073" s="31"/>
      <c r="H1073" s="31"/>
      <c r="I1073" s="34"/>
      <c r="J1073" s="31"/>
      <c r="K1073" s="31"/>
      <c r="L1073" s="35"/>
      <c r="M1073" s="34"/>
      <c r="N1073" s="35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ht="18.75" customHeight="1">
      <c r="A1074" s="31"/>
      <c r="B1074" s="31"/>
      <c r="C1074" s="36"/>
      <c r="D1074" s="31"/>
      <c r="E1074" s="31"/>
      <c r="F1074" s="31"/>
      <c r="G1074" s="31"/>
      <c r="H1074" s="31"/>
      <c r="I1074" s="34"/>
      <c r="J1074" s="31"/>
      <c r="K1074" s="31"/>
      <c r="L1074" s="35"/>
      <c r="M1074" s="34"/>
      <c r="N1074" s="35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ht="18.75" customHeight="1">
      <c r="A1075" s="31"/>
      <c r="B1075" s="31"/>
      <c r="C1075" s="36"/>
      <c r="D1075" s="31"/>
      <c r="E1075" s="31"/>
      <c r="F1075" s="31"/>
      <c r="G1075" s="31"/>
      <c r="H1075" s="31"/>
      <c r="I1075" s="34"/>
      <c r="J1075" s="31"/>
      <c r="K1075" s="31"/>
      <c r="L1075" s="35"/>
      <c r="M1075" s="34"/>
      <c r="N1075" s="35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ht="18.75" customHeight="1">
      <c r="A1076" s="31"/>
      <c r="B1076" s="31"/>
      <c r="C1076" s="36"/>
      <c r="D1076" s="31"/>
      <c r="E1076" s="31"/>
      <c r="F1076" s="31"/>
      <c r="G1076" s="31"/>
      <c r="H1076" s="31"/>
      <c r="I1076" s="34"/>
      <c r="J1076" s="31"/>
      <c r="K1076" s="31"/>
      <c r="L1076" s="35"/>
      <c r="M1076" s="34"/>
      <c r="N1076" s="35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ht="18.75" customHeight="1">
      <c r="A1077" s="31"/>
      <c r="B1077" s="31"/>
      <c r="C1077" s="36"/>
      <c r="D1077" s="31"/>
      <c r="E1077" s="31"/>
      <c r="F1077" s="31"/>
      <c r="G1077" s="31"/>
      <c r="H1077" s="31"/>
      <c r="I1077" s="34"/>
      <c r="J1077" s="31"/>
      <c r="K1077" s="31"/>
      <c r="L1077" s="35"/>
      <c r="M1077" s="34"/>
      <c r="N1077" s="35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ht="18.75" customHeight="1">
      <c r="A1078" s="31"/>
      <c r="B1078" s="31"/>
      <c r="C1078" s="36"/>
      <c r="D1078" s="31"/>
      <c r="E1078" s="31"/>
      <c r="F1078" s="31"/>
      <c r="G1078" s="31"/>
      <c r="H1078" s="31"/>
      <c r="I1078" s="34"/>
      <c r="J1078" s="31"/>
      <c r="K1078" s="31"/>
      <c r="L1078" s="35"/>
      <c r="M1078" s="34"/>
      <c r="N1078" s="35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ht="18.75" customHeight="1">
      <c r="A1079" s="31"/>
      <c r="B1079" s="31"/>
      <c r="C1079" s="36"/>
      <c r="D1079" s="31"/>
      <c r="E1079" s="31"/>
      <c r="F1079" s="31"/>
      <c r="G1079" s="31"/>
      <c r="H1079" s="31"/>
      <c r="I1079" s="34"/>
      <c r="J1079" s="31"/>
      <c r="K1079" s="31"/>
      <c r="L1079" s="35"/>
      <c r="M1079" s="34"/>
      <c r="N1079" s="35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</sheetData>
  <autoFilter ref="$A$3:$N$940">
    <filterColumn colId="5">
      <filters>
        <filter val="S"/>
        <filter val="Ma"/>
        <filter val="D"/>
        <filter val="V"/>
        <filter val="J"/>
        <filter val="L"/>
        <filter val="Mi"/>
      </filters>
    </filterColumn>
    <sortState ref="A3:N940">
      <sortCondition ref="C3:C940"/>
      <sortCondition ref="E3:E940"/>
      <sortCondition ref="F3:F940"/>
    </sortState>
  </autoFilter>
  <dataValidations>
    <dataValidation type="list" allowBlank="1" showErrorMessage="1" sqref="F4:F940">
      <formula1>CVE</formula1>
    </dataValidation>
    <dataValidation type="list" allowBlank="1" showErrorMessage="1" sqref="D4:D940">
      <formula1>"H,M"</formula1>
    </dataValidation>
    <dataValidation type="list" allowBlank="1" showErrorMessage="1" sqref="E4:E940">
      <formula1>EdoCivil</formula1>
    </dataValidation>
    <dataValidation type="date" operator="greaterThan" allowBlank="1" showErrorMessage="1" sqref="I4:I940">
      <formula1>1.0</formula1>
    </dataValidation>
    <dataValidation type="list" allowBlank="1" showErrorMessage="1" sqref="G4:H940">
      <formula1>"SÍ,NO"</formula1>
    </dataValidation>
  </dataValidations>
  <printOptions/>
  <pageMargins bottom="0.75" footer="0.0" header="0.0" left="0.25" right="0.25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29"/>
    <col customWidth="1" min="2" max="2" width="32.71"/>
    <col customWidth="1" min="3" max="33" width="3.29"/>
    <col customWidth="1" min="34" max="34" width="0.86"/>
    <col customWidth="1" min="35" max="40" width="3.29"/>
  </cols>
  <sheetData>
    <row r="1" ht="15.0" customHeight="1">
      <c r="A1" s="97" t="str">
        <f>UPPER(TEXT($C$19,"mmmm  aaa"))</f>
        <v>ABRIL  LUN</v>
      </c>
      <c r="B1" s="98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99" t="s">
        <v>2184</v>
      </c>
      <c r="AJ1" s="100"/>
      <c r="AK1" s="100"/>
      <c r="AL1" s="100"/>
      <c r="AM1" s="100"/>
      <c r="AN1" s="98"/>
    </row>
    <row r="2" ht="15.0" customHeight="1">
      <c r="A2" s="101"/>
      <c r="B2" s="102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101"/>
      <c r="AN2" s="102"/>
    </row>
    <row r="3" ht="15.0" customHeight="1">
      <c r="A3" s="101"/>
      <c r="B3" s="102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101"/>
      <c r="AN3" s="102"/>
    </row>
    <row r="4" ht="32.25" customHeight="1">
      <c r="A4" s="103"/>
      <c r="B4" s="104"/>
      <c r="C4" s="105">
        <v>1.0</v>
      </c>
      <c r="D4" s="105" t="s">
        <v>117</v>
      </c>
      <c r="E4" s="105" t="s">
        <v>2185</v>
      </c>
      <c r="F4" s="106" t="str">
        <f>"Herman"&amp;IF(D4="H","o","a")&amp;"s del día: "&amp;PROPER(VLOOKUP(E4,Tablas!$A$3:$B$9,2,0))</f>
        <v>Hermanos del día: Jueves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5"/>
      <c r="AD4" s="35"/>
      <c r="AE4" s="35"/>
      <c r="AF4" s="35"/>
      <c r="AG4" s="35"/>
      <c r="AH4" s="35"/>
      <c r="AI4" s="103"/>
      <c r="AJ4" s="108"/>
      <c r="AK4" s="108"/>
      <c r="AL4" s="108"/>
      <c r="AM4" s="108"/>
      <c r="AN4" s="104"/>
    </row>
    <row r="5" ht="4.5" customHeight="1">
      <c r="A5" s="35"/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1"/>
      <c r="AJ5" s="111"/>
      <c r="AK5" s="111"/>
      <c r="AL5" s="111"/>
      <c r="AM5" s="111"/>
      <c r="AN5" s="111"/>
    </row>
    <row r="6">
      <c r="A6" s="112" t="s">
        <v>2186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4"/>
      <c r="AH6" s="115"/>
      <c r="AI6" s="116" t="s">
        <v>2187</v>
      </c>
      <c r="AJ6" s="117"/>
      <c r="AK6" s="117"/>
      <c r="AL6" s="117"/>
      <c r="AM6" s="117"/>
      <c r="AN6" s="118"/>
    </row>
    <row r="7" ht="15.0" customHeight="1">
      <c r="A7" s="119" t="s">
        <v>2188</v>
      </c>
      <c r="B7" s="98"/>
      <c r="C7" s="120" t="str">
        <f t="shared" ref="C7:AG7" si="1">C18</f>
        <v>L</v>
      </c>
      <c r="D7" s="120" t="str">
        <f t="shared" si="1"/>
        <v>M</v>
      </c>
      <c r="E7" s="120" t="str">
        <f t="shared" si="1"/>
        <v>M</v>
      </c>
      <c r="F7" s="120" t="str">
        <f t="shared" si="1"/>
        <v>J</v>
      </c>
      <c r="G7" s="120" t="str">
        <f t="shared" si="1"/>
        <v>V</v>
      </c>
      <c r="H7" s="120" t="str">
        <f t="shared" si="1"/>
        <v>S</v>
      </c>
      <c r="I7" s="120" t="str">
        <f t="shared" si="1"/>
        <v>D</v>
      </c>
      <c r="J7" s="120" t="str">
        <f t="shared" si="1"/>
        <v>L</v>
      </c>
      <c r="K7" s="120" t="str">
        <f t="shared" si="1"/>
        <v>M</v>
      </c>
      <c r="L7" s="120" t="str">
        <f t="shared" si="1"/>
        <v>M</v>
      </c>
      <c r="M7" s="120" t="str">
        <f t="shared" si="1"/>
        <v>J</v>
      </c>
      <c r="N7" s="120" t="str">
        <f t="shared" si="1"/>
        <v>V</v>
      </c>
      <c r="O7" s="120" t="str">
        <f t="shared" si="1"/>
        <v>S</v>
      </c>
      <c r="P7" s="120" t="str">
        <f t="shared" si="1"/>
        <v>D</v>
      </c>
      <c r="Q7" s="120" t="str">
        <f t="shared" si="1"/>
        <v>L</v>
      </c>
      <c r="R7" s="120" t="str">
        <f t="shared" si="1"/>
        <v>M</v>
      </c>
      <c r="S7" s="120" t="str">
        <f t="shared" si="1"/>
        <v>M</v>
      </c>
      <c r="T7" s="120" t="str">
        <f t="shared" si="1"/>
        <v>J</v>
      </c>
      <c r="U7" s="120" t="str">
        <f t="shared" si="1"/>
        <v>V</v>
      </c>
      <c r="V7" s="120" t="str">
        <f t="shared" si="1"/>
        <v>S</v>
      </c>
      <c r="W7" s="120" t="str">
        <f t="shared" si="1"/>
        <v>D</v>
      </c>
      <c r="X7" s="120" t="str">
        <f t="shared" si="1"/>
        <v>L</v>
      </c>
      <c r="Y7" s="120" t="str">
        <f t="shared" si="1"/>
        <v>M</v>
      </c>
      <c r="Z7" s="120" t="str">
        <f t="shared" si="1"/>
        <v>M</v>
      </c>
      <c r="AA7" s="120" t="str">
        <f t="shared" si="1"/>
        <v>J</v>
      </c>
      <c r="AB7" s="120" t="str">
        <f t="shared" si="1"/>
        <v>V</v>
      </c>
      <c r="AC7" s="120" t="str">
        <f t="shared" si="1"/>
        <v>S</v>
      </c>
      <c r="AD7" s="120" t="str">
        <f t="shared" si="1"/>
        <v>D</v>
      </c>
      <c r="AE7" s="120" t="str">
        <f t="shared" si="1"/>
        <v>L</v>
      </c>
      <c r="AF7" s="120" t="str">
        <f t="shared" si="1"/>
        <v>M</v>
      </c>
      <c r="AG7" s="120" t="str">
        <f t="shared" si="1"/>
        <v/>
      </c>
      <c r="AH7" s="121"/>
      <c r="AI7" s="122"/>
      <c r="AJ7" s="123"/>
      <c r="AK7" s="123"/>
      <c r="AL7" s="123"/>
      <c r="AM7" s="123"/>
      <c r="AN7" s="124"/>
    </row>
    <row r="8" ht="15.0" customHeight="1">
      <c r="A8" s="125"/>
      <c r="B8" s="102"/>
      <c r="C8" s="126">
        <f t="shared" ref="C8:AG8" si="2">C19</f>
        <v>45383</v>
      </c>
      <c r="D8" s="127">
        <f t="shared" si="2"/>
        <v>45384</v>
      </c>
      <c r="E8" s="127">
        <f t="shared" si="2"/>
        <v>45385</v>
      </c>
      <c r="F8" s="127">
        <f t="shared" si="2"/>
        <v>45386</v>
      </c>
      <c r="G8" s="127">
        <f t="shared" si="2"/>
        <v>45387</v>
      </c>
      <c r="H8" s="127">
        <f t="shared" si="2"/>
        <v>45388</v>
      </c>
      <c r="I8" s="127">
        <f t="shared" si="2"/>
        <v>45389</v>
      </c>
      <c r="J8" s="127">
        <f t="shared" si="2"/>
        <v>45390</v>
      </c>
      <c r="K8" s="127">
        <f t="shared" si="2"/>
        <v>45391</v>
      </c>
      <c r="L8" s="127">
        <f t="shared" si="2"/>
        <v>45392</v>
      </c>
      <c r="M8" s="127">
        <f t="shared" si="2"/>
        <v>45393</v>
      </c>
      <c r="N8" s="127">
        <f t="shared" si="2"/>
        <v>45394</v>
      </c>
      <c r="O8" s="127">
        <f t="shared" si="2"/>
        <v>45395</v>
      </c>
      <c r="P8" s="127">
        <f t="shared" si="2"/>
        <v>45396</v>
      </c>
      <c r="Q8" s="127">
        <f t="shared" si="2"/>
        <v>45397</v>
      </c>
      <c r="R8" s="127">
        <f t="shared" si="2"/>
        <v>45398</v>
      </c>
      <c r="S8" s="127">
        <f t="shared" si="2"/>
        <v>45399</v>
      </c>
      <c r="T8" s="127">
        <f t="shared" si="2"/>
        <v>45400</v>
      </c>
      <c r="U8" s="127">
        <f t="shared" si="2"/>
        <v>45401</v>
      </c>
      <c r="V8" s="127">
        <f t="shared" si="2"/>
        <v>45402</v>
      </c>
      <c r="W8" s="127">
        <f t="shared" si="2"/>
        <v>45403</v>
      </c>
      <c r="X8" s="127">
        <f t="shared" si="2"/>
        <v>45404</v>
      </c>
      <c r="Y8" s="127">
        <f t="shared" si="2"/>
        <v>45405</v>
      </c>
      <c r="Z8" s="127">
        <f t="shared" si="2"/>
        <v>45406</v>
      </c>
      <c r="AA8" s="127">
        <f t="shared" si="2"/>
        <v>45407</v>
      </c>
      <c r="AB8" s="127">
        <f t="shared" si="2"/>
        <v>45408</v>
      </c>
      <c r="AC8" s="127">
        <f t="shared" si="2"/>
        <v>45409</v>
      </c>
      <c r="AD8" s="127">
        <f t="shared" si="2"/>
        <v>45410</v>
      </c>
      <c r="AE8" s="127">
        <f t="shared" si="2"/>
        <v>45411</v>
      </c>
      <c r="AF8" s="127">
        <f t="shared" si="2"/>
        <v>45412</v>
      </c>
      <c r="AG8" s="127" t="str">
        <f t="shared" si="2"/>
        <v/>
      </c>
      <c r="AH8" s="121"/>
      <c r="AI8" s="128">
        <v>5.0</v>
      </c>
      <c r="AJ8" s="129"/>
      <c r="AK8" s="130" t="s">
        <v>2189</v>
      </c>
      <c r="AL8" s="131"/>
      <c r="AM8" s="132" t="s">
        <v>2190</v>
      </c>
      <c r="AN8" s="133"/>
    </row>
    <row r="9" ht="15.0" customHeight="1">
      <c r="A9" s="125"/>
      <c r="B9" s="102"/>
      <c r="C9" s="134">
        <v>5.0</v>
      </c>
      <c r="D9" s="134">
        <v>5.0</v>
      </c>
      <c r="E9" s="134">
        <v>5.0</v>
      </c>
      <c r="F9" s="134">
        <v>5.0</v>
      </c>
      <c r="G9" s="134">
        <v>5.0</v>
      </c>
      <c r="H9" s="134">
        <v>5.0</v>
      </c>
      <c r="I9" s="134">
        <v>5.0</v>
      </c>
      <c r="J9" s="134">
        <v>5.0</v>
      </c>
      <c r="K9" s="134">
        <v>5.0</v>
      </c>
      <c r="L9" s="134">
        <v>5.0</v>
      </c>
      <c r="M9" s="134">
        <v>5.0</v>
      </c>
      <c r="N9" s="134">
        <v>5.0</v>
      </c>
      <c r="O9" s="134">
        <v>5.0</v>
      </c>
      <c r="P9" s="134">
        <v>5.0</v>
      </c>
      <c r="Q9" s="134">
        <v>5.0</v>
      </c>
      <c r="R9" s="134">
        <v>5.0</v>
      </c>
      <c r="S9" s="134">
        <v>5.0</v>
      </c>
      <c r="T9" s="134">
        <v>5.0</v>
      </c>
      <c r="U9" s="134">
        <v>5.0</v>
      </c>
      <c r="V9" s="134">
        <v>5.0</v>
      </c>
      <c r="W9" s="134">
        <v>5.0</v>
      </c>
      <c r="X9" s="134">
        <v>5.0</v>
      </c>
      <c r="Y9" s="134">
        <v>5.0</v>
      </c>
      <c r="Z9" s="134">
        <v>5.0</v>
      </c>
      <c r="AA9" s="134">
        <v>5.0</v>
      </c>
      <c r="AB9" s="134">
        <v>5.0</v>
      </c>
      <c r="AC9" s="134">
        <v>5.0</v>
      </c>
      <c r="AD9" s="134">
        <v>5.0</v>
      </c>
      <c r="AE9" s="134">
        <f t="shared" ref="AE9:AG9" si="3">IF(AE8="","",5)</f>
        <v>5</v>
      </c>
      <c r="AF9" s="134">
        <f t="shared" si="3"/>
        <v>5</v>
      </c>
      <c r="AG9" s="134" t="str">
        <f t="shared" si="3"/>
        <v/>
      </c>
      <c r="AH9" s="121"/>
      <c r="AI9" s="135"/>
      <c r="AJ9" s="136"/>
      <c r="AK9" s="137"/>
      <c r="AL9" s="138"/>
      <c r="AM9" s="139"/>
      <c r="AN9" s="140"/>
    </row>
    <row r="10" ht="15.0" customHeight="1">
      <c r="A10" s="125"/>
      <c r="B10" s="102"/>
      <c r="C10" s="141">
        <f t="shared" ref="C10:AD10" si="4">IF(C$7="D","D",9)</f>
        <v>9</v>
      </c>
      <c r="D10" s="141">
        <f t="shared" si="4"/>
        <v>9</v>
      </c>
      <c r="E10" s="141">
        <f t="shared" si="4"/>
        <v>9</v>
      </c>
      <c r="F10" s="141">
        <f t="shared" si="4"/>
        <v>9</v>
      </c>
      <c r="G10" s="141">
        <f t="shared" si="4"/>
        <v>9</v>
      </c>
      <c r="H10" s="141">
        <f t="shared" si="4"/>
        <v>9</v>
      </c>
      <c r="I10" s="141" t="str">
        <f t="shared" si="4"/>
        <v>D</v>
      </c>
      <c r="J10" s="141">
        <f t="shared" si="4"/>
        <v>9</v>
      </c>
      <c r="K10" s="141">
        <f t="shared" si="4"/>
        <v>9</v>
      </c>
      <c r="L10" s="141">
        <f t="shared" si="4"/>
        <v>9</v>
      </c>
      <c r="M10" s="141">
        <f t="shared" si="4"/>
        <v>9</v>
      </c>
      <c r="N10" s="141">
        <f t="shared" si="4"/>
        <v>9</v>
      </c>
      <c r="O10" s="141">
        <f t="shared" si="4"/>
        <v>9</v>
      </c>
      <c r="P10" s="141" t="str">
        <f t="shared" si="4"/>
        <v>D</v>
      </c>
      <c r="Q10" s="141">
        <f t="shared" si="4"/>
        <v>9</v>
      </c>
      <c r="R10" s="141">
        <f t="shared" si="4"/>
        <v>9</v>
      </c>
      <c r="S10" s="141">
        <f t="shared" si="4"/>
        <v>9</v>
      </c>
      <c r="T10" s="141">
        <f t="shared" si="4"/>
        <v>9</v>
      </c>
      <c r="U10" s="141">
        <f t="shared" si="4"/>
        <v>9</v>
      </c>
      <c r="V10" s="141">
        <f t="shared" si="4"/>
        <v>9</v>
      </c>
      <c r="W10" s="141" t="str">
        <f t="shared" si="4"/>
        <v>D</v>
      </c>
      <c r="X10" s="141">
        <f t="shared" si="4"/>
        <v>9</v>
      </c>
      <c r="Y10" s="141">
        <f t="shared" si="4"/>
        <v>9</v>
      </c>
      <c r="Z10" s="141">
        <f t="shared" si="4"/>
        <v>9</v>
      </c>
      <c r="AA10" s="141">
        <f t="shared" si="4"/>
        <v>9</v>
      </c>
      <c r="AB10" s="141">
        <f t="shared" si="4"/>
        <v>9</v>
      </c>
      <c r="AC10" s="141">
        <f t="shared" si="4"/>
        <v>9</v>
      </c>
      <c r="AD10" s="141" t="str">
        <f t="shared" si="4"/>
        <v>D</v>
      </c>
      <c r="AE10" s="141">
        <f t="shared" ref="AE10:AG10" si="5">IF(AE7="","",IF(AE$7="D","D",9))</f>
        <v>9</v>
      </c>
      <c r="AF10" s="141">
        <f t="shared" si="5"/>
        <v>9</v>
      </c>
      <c r="AG10" s="141" t="str">
        <f t="shared" si="5"/>
        <v/>
      </c>
      <c r="AH10" s="121"/>
      <c r="AI10" s="142">
        <v>9.0</v>
      </c>
      <c r="AJ10" s="143"/>
      <c r="AK10" s="144" t="s">
        <v>49</v>
      </c>
      <c r="AL10" s="145"/>
      <c r="AM10" s="146"/>
      <c r="AN10" s="147"/>
    </row>
    <row r="11" ht="15.0" customHeight="1">
      <c r="A11" s="125"/>
      <c r="B11" s="102"/>
      <c r="C11" s="141">
        <f t="shared" ref="C11:AD11" si="6">IF(OR(C$7="D",C$7="J"),"S",6)</f>
        <v>6</v>
      </c>
      <c r="D11" s="141">
        <f t="shared" si="6"/>
        <v>6</v>
      </c>
      <c r="E11" s="141">
        <f t="shared" si="6"/>
        <v>6</v>
      </c>
      <c r="F11" s="141" t="str">
        <f t="shared" si="6"/>
        <v>S</v>
      </c>
      <c r="G11" s="141">
        <f t="shared" si="6"/>
        <v>6</v>
      </c>
      <c r="H11" s="141">
        <f t="shared" si="6"/>
        <v>6</v>
      </c>
      <c r="I11" s="141" t="str">
        <f t="shared" si="6"/>
        <v>S</v>
      </c>
      <c r="J11" s="141">
        <f t="shared" si="6"/>
        <v>6</v>
      </c>
      <c r="K11" s="141">
        <f t="shared" si="6"/>
        <v>6</v>
      </c>
      <c r="L11" s="141">
        <f t="shared" si="6"/>
        <v>6</v>
      </c>
      <c r="M11" s="141" t="str">
        <f t="shared" si="6"/>
        <v>S</v>
      </c>
      <c r="N11" s="141">
        <f t="shared" si="6"/>
        <v>6</v>
      </c>
      <c r="O11" s="141">
        <f t="shared" si="6"/>
        <v>6</v>
      </c>
      <c r="P11" s="141" t="str">
        <f t="shared" si="6"/>
        <v>S</v>
      </c>
      <c r="Q11" s="141">
        <f t="shared" si="6"/>
        <v>6</v>
      </c>
      <c r="R11" s="141">
        <f t="shared" si="6"/>
        <v>6</v>
      </c>
      <c r="S11" s="141">
        <f t="shared" si="6"/>
        <v>6</v>
      </c>
      <c r="T11" s="141" t="str">
        <f t="shared" si="6"/>
        <v>S</v>
      </c>
      <c r="U11" s="141">
        <f t="shared" si="6"/>
        <v>6</v>
      </c>
      <c r="V11" s="141">
        <f t="shared" si="6"/>
        <v>6</v>
      </c>
      <c r="W11" s="141" t="str">
        <f t="shared" si="6"/>
        <v>S</v>
      </c>
      <c r="X11" s="141">
        <f t="shared" si="6"/>
        <v>6</v>
      </c>
      <c r="Y11" s="141">
        <f t="shared" si="6"/>
        <v>6</v>
      </c>
      <c r="Z11" s="141">
        <f t="shared" si="6"/>
        <v>6</v>
      </c>
      <c r="AA11" s="141" t="str">
        <f t="shared" si="6"/>
        <v>S</v>
      </c>
      <c r="AB11" s="141">
        <f t="shared" si="6"/>
        <v>6</v>
      </c>
      <c r="AC11" s="141">
        <f t="shared" si="6"/>
        <v>6</v>
      </c>
      <c r="AD11" s="141" t="str">
        <f t="shared" si="6"/>
        <v>S</v>
      </c>
      <c r="AE11" s="141">
        <f t="shared" ref="AE11:AG11" si="7">IF(AE7="","",IF(OR(AE$7="D",AE$7="J"),"S",6))</f>
        <v>6</v>
      </c>
      <c r="AF11" s="141">
        <f t="shared" si="7"/>
        <v>6</v>
      </c>
      <c r="AG11" s="141" t="str">
        <f t="shared" si="7"/>
        <v/>
      </c>
      <c r="AH11" s="121"/>
      <c r="AI11" s="148"/>
      <c r="AJ11" s="149"/>
      <c r="AK11" s="150"/>
      <c r="AL11" s="151"/>
      <c r="AM11" s="146"/>
      <c r="AN11" s="152"/>
    </row>
    <row r="12" ht="15.0" customHeight="1">
      <c r="A12" s="153"/>
      <c r="B12" s="154"/>
      <c r="C12" s="155" t="str">
        <f t="shared" ref="C12:AD12" si="8">IF(OR(C$7="D",C$7="J"),"","C")</f>
        <v>C</v>
      </c>
      <c r="D12" s="155" t="str">
        <f t="shared" si="8"/>
        <v>C</v>
      </c>
      <c r="E12" s="155" t="str">
        <f t="shared" si="8"/>
        <v>C</v>
      </c>
      <c r="F12" s="155" t="str">
        <f t="shared" si="8"/>
        <v/>
      </c>
      <c r="G12" s="155" t="str">
        <f t="shared" si="8"/>
        <v>C</v>
      </c>
      <c r="H12" s="155" t="str">
        <f t="shared" si="8"/>
        <v>C</v>
      </c>
      <c r="I12" s="155" t="str">
        <f t="shared" si="8"/>
        <v/>
      </c>
      <c r="J12" s="155" t="str">
        <f t="shared" si="8"/>
        <v>C</v>
      </c>
      <c r="K12" s="155" t="str">
        <f t="shared" si="8"/>
        <v>C</v>
      </c>
      <c r="L12" s="155" t="str">
        <f t="shared" si="8"/>
        <v>C</v>
      </c>
      <c r="M12" s="155" t="str">
        <f t="shared" si="8"/>
        <v/>
      </c>
      <c r="N12" s="155" t="str">
        <f t="shared" si="8"/>
        <v>C</v>
      </c>
      <c r="O12" s="155" t="str">
        <f t="shared" si="8"/>
        <v>C</v>
      </c>
      <c r="P12" s="155" t="str">
        <f t="shared" si="8"/>
        <v/>
      </c>
      <c r="Q12" s="155" t="str">
        <f t="shared" si="8"/>
        <v>C</v>
      </c>
      <c r="R12" s="155" t="str">
        <f t="shared" si="8"/>
        <v>C</v>
      </c>
      <c r="S12" s="155" t="str">
        <f t="shared" si="8"/>
        <v>C</v>
      </c>
      <c r="T12" s="155" t="str">
        <f t="shared" si="8"/>
        <v/>
      </c>
      <c r="U12" s="155" t="str">
        <f t="shared" si="8"/>
        <v>C</v>
      </c>
      <c r="V12" s="155" t="str">
        <f t="shared" si="8"/>
        <v>C</v>
      </c>
      <c r="W12" s="155" t="str">
        <f t="shared" si="8"/>
        <v/>
      </c>
      <c r="X12" s="155" t="str">
        <f t="shared" si="8"/>
        <v>C</v>
      </c>
      <c r="Y12" s="155" t="str">
        <f t="shared" si="8"/>
        <v>C</v>
      </c>
      <c r="Z12" s="155" t="str">
        <f t="shared" si="8"/>
        <v>C</v>
      </c>
      <c r="AA12" s="155" t="str">
        <f t="shared" si="8"/>
        <v/>
      </c>
      <c r="AB12" s="155" t="str">
        <f t="shared" si="8"/>
        <v>C</v>
      </c>
      <c r="AC12" s="155" t="str">
        <f t="shared" si="8"/>
        <v>C</v>
      </c>
      <c r="AD12" s="155" t="str">
        <f t="shared" si="8"/>
        <v/>
      </c>
      <c r="AE12" s="155" t="str">
        <f t="shared" ref="AE12:AG12" si="9">IF(AE7="","",IF(OR(AE$7="D",AE$7="J"),"","C"))</f>
        <v>C</v>
      </c>
      <c r="AF12" s="155" t="str">
        <f t="shared" si="9"/>
        <v>C</v>
      </c>
      <c r="AG12" s="155" t="str">
        <f t="shared" si="9"/>
        <v/>
      </c>
      <c r="AH12" s="121"/>
      <c r="AI12" s="142">
        <v>6.0</v>
      </c>
      <c r="AJ12" s="143"/>
      <c r="AK12" s="156" t="s">
        <v>2191</v>
      </c>
      <c r="AL12" s="157"/>
      <c r="AM12" s="146"/>
      <c r="AN12" s="152"/>
    </row>
    <row r="13" ht="15.0" customHeight="1">
      <c r="A13" s="158"/>
      <c r="B13" s="159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1"/>
      <c r="AH13" s="121"/>
      <c r="AI13" s="162"/>
      <c r="AJ13" s="163"/>
      <c r="AK13" s="164"/>
      <c r="AL13" s="165"/>
      <c r="AM13" s="146"/>
      <c r="AN13" s="152"/>
    </row>
    <row r="14" ht="15.0" customHeight="1">
      <c r="A14" s="158"/>
      <c r="B14" s="35"/>
      <c r="C14" s="35" t="str">
        <f>"Oraciones de  5 ……….. "&amp;COUNTIF($C$9:$AG$12,5)</f>
        <v>Oraciones de  5 ……….. 30</v>
      </c>
      <c r="D14" s="35"/>
      <c r="E14" s="35"/>
      <c r="F14" s="35"/>
      <c r="G14" s="35"/>
      <c r="H14" s="35"/>
      <c r="I14" s="35"/>
      <c r="J14" s="35"/>
      <c r="K14" s="35"/>
      <c r="L14" s="35" t="str">
        <f>"Oraciones de  6 …….….. "&amp;COUNTIF($C$9:$AG$12,6)</f>
        <v>Oraciones de  6 …….….. 22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 t="str">
        <f>"Dominicales ……….……....….. "&amp;COUNTIF($C$9:$AG$12,"D")</f>
        <v>Dominicales ……….……....….. 4</v>
      </c>
      <c r="X14" s="35"/>
      <c r="Y14" s="35"/>
      <c r="Z14" s="35"/>
      <c r="AA14" s="35"/>
      <c r="AB14" s="35"/>
      <c r="AC14" s="35"/>
      <c r="AD14" s="35"/>
      <c r="AE14" s="35"/>
      <c r="AF14" s="35"/>
      <c r="AG14" s="166"/>
      <c r="AH14" s="121"/>
      <c r="AI14" s="167"/>
      <c r="AJ14" s="168"/>
      <c r="AK14" s="168"/>
      <c r="AL14" s="168"/>
      <c r="AM14" s="168"/>
      <c r="AN14" s="169"/>
    </row>
    <row r="15" ht="15.0" customHeight="1">
      <c r="A15" s="170"/>
      <c r="B15" s="171"/>
      <c r="C15" s="171" t="str">
        <f>"Oraciones de  9 ……….. "&amp;COUNTIF($C$9:$AG$12,9)</f>
        <v>Oraciones de  9 ……….. 26</v>
      </c>
      <c r="D15" s="172"/>
      <c r="E15" s="172"/>
      <c r="F15" s="172"/>
      <c r="G15" s="172"/>
      <c r="H15" s="172"/>
      <c r="I15" s="172"/>
      <c r="J15" s="172"/>
      <c r="K15" s="172"/>
      <c r="L15" s="171" t="str">
        <f>"Consagraciones  ……….. "&amp;COUNTIF($C$9:$AG$12,"C")</f>
        <v>Consagraciones  ……….. 22</v>
      </c>
      <c r="M15" s="172"/>
      <c r="N15" s="172"/>
      <c r="O15" s="172"/>
      <c r="P15" s="172"/>
      <c r="Q15" s="172"/>
      <c r="R15" s="172"/>
      <c r="S15" s="172"/>
      <c r="T15" s="172"/>
      <c r="U15" s="171"/>
      <c r="V15" s="172"/>
      <c r="W15" s="171" t="str">
        <f>"Servicios (Dom/Jue)  ……….. "&amp;COUNTIF($C$7:$AG$7,"D")&amp;" / "&amp;COUNTIF($C$7:$AG$7,"J")</f>
        <v>Servicios (Dom/Jue)  ……….. 4 / 4</v>
      </c>
      <c r="X15" s="172"/>
      <c r="Y15" s="172"/>
      <c r="Z15" s="172"/>
      <c r="AA15" s="172"/>
      <c r="AB15" s="172"/>
      <c r="AC15" s="172"/>
      <c r="AD15" s="172"/>
      <c r="AE15" s="172"/>
      <c r="AF15" s="172"/>
      <c r="AG15" s="173"/>
      <c r="AH15" s="121"/>
      <c r="AI15" s="174"/>
      <c r="AJ15" s="175"/>
      <c r="AK15" s="175"/>
      <c r="AL15" s="175"/>
      <c r="AM15" s="175"/>
      <c r="AN15" s="176"/>
    </row>
    <row r="16" ht="4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</row>
    <row r="17">
      <c r="A17" s="177" t="str">
        <f>"LISTA DE ASISTENCIA A LAS ORACIONES EN EL MES DE "&amp;UPPER(TEXT(C19,"mmmm / aaa"))&amp;" - HERMAN"&amp;IF(D4="H","O","A")&amp;"S DEL DÍA "&amp;UPPER(VLOOKUP(E4,Tablas!$A$3:$B$9,2,0))</f>
        <v>LISTA DE ASISTENCIA A LAS ORACIONES EN EL MES DE ABRIL / LUN - HERMANOS DEL DÍA JUEVES</v>
      </c>
    </row>
    <row r="18" ht="20.25" customHeight="1">
      <c r="A18" s="178" t="s">
        <v>103</v>
      </c>
      <c r="B18" s="179" t="s">
        <v>2192</v>
      </c>
      <c r="C18" s="180" t="str">
        <f t="shared" ref="C18:AD18" si="10">UPPER(LEFT(TEXT(WEEKDAY(C19),"ddd"),1))</f>
        <v>L</v>
      </c>
      <c r="D18" s="180" t="str">
        <f t="shared" si="10"/>
        <v>M</v>
      </c>
      <c r="E18" s="180" t="str">
        <f t="shared" si="10"/>
        <v>M</v>
      </c>
      <c r="F18" s="180" t="str">
        <f t="shared" si="10"/>
        <v>J</v>
      </c>
      <c r="G18" s="180" t="str">
        <f t="shared" si="10"/>
        <v>V</v>
      </c>
      <c r="H18" s="180" t="str">
        <f t="shared" si="10"/>
        <v>S</v>
      </c>
      <c r="I18" s="180" t="str">
        <f t="shared" si="10"/>
        <v>D</v>
      </c>
      <c r="J18" s="180" t="str">
        <f t="shared" si="10"/>
        <v>L</v>
      </c>
      <c r="K18" s="180" t="str">
        <f t="shared" si="10"/>
        <v>M</v>
      </c>
      <c r="L18" s="180" t="str">
        <f t="shared" si="10"/>
        <v>M</v>
      </c>
      <c r="M18" s="180" t="str">
        <f t="shared" si="10"/>
        <v>J</v>
      </c>
      <c r="N18" s="180" t="str">
        <f t="shared" si="10"/>
        <v>V</v>
      </c>
      <c r="O18" s="180" t="str">
        <f t="shared" si="10"/>
        <v>S</v>
      </c>
      <c r="P18" s="180" t="str">
        <f t="shared" si="10"/>
        <v>D</v>
      </c>
      <c r="Q18" s="180" t="str">
        <f t="shared" si="10"/>
        <v>L</v>
      </c>
      <c r="R18" s="180" t="str">
        <f t="shared" si="10"/>
        <v>M</v>
      </c>
      <c r="S18" s="180" t="str">
        <f t="shared" si="10"/>
        <v>M</v>
      </c>
      <c r="T18" s="180" t="str">
        <f t="shared" si="10"/>
        <v>J</v>
      </c>
      <c r="U18" s="180" t="str">
        <f t="shared" si="10"/>
        <v>V</v>
      </c>
      <c r="V18" s="180" t="str">
        <f t="shared" si="10"/>
        <v>S</v>
      </c>
      <c r="W18" s="180" t="str">
        <f t="shared" si="10"/>
        <v>D</v>
      </c>
      <c r="X18" s="180" t="str">
        <f t="shared" si="10"/>
        <v>L</v>
      </c>
      <c r="Y18" s="180" t="str">
        <f t="shared" si="10"/>
        <v>M</v>
      </c>
      <c r="Z18" s="180" t="str">
        <f t="shared" si="10"/>
        <v>M</v>
      </c>
      <c r="AA18" s="180" t="str">
        <f t="shared" si="10"/>
        <v>J</v>
      </c>
      <c r="AB18" s="180" t="str">
        <f t="shared" si="10"/>
        <v>V</v>
      </c>
      <c r="AC18" s="180" t="str">
        <f t="shared" si="10"/>
        <v>S</v>
      </c>
      <c r="AD18" s="180" t="str">
        <f t="shared" si="10"/>
        <v>D</v>
      </c>
      <c r="AE18" s="180" t="str">
        <f t="shared" ref="AE18:AG18" si="11">IF(AE19="", "",UPPER(LEFT(TEXT(WEEKDAY(AE19),"ddd"),1)))</f>
        <v>L</v>
      </c>
      <c r="AF18" s="180" t="str">
        <f t="shared" si="11"/>
        <v>M</v>
      </c>
      <c r="AG18" s="180" t="str">
        <f t="shared" si="11"/>
        <v/>
      </c>
      <c r="AH18" s="35"/>
      <c r="AI18" s="181" t="s">
        <v>2193</v>
      </c>
      <c r="AJ18" s="107"/>
      <c r="AK18" s="107"/>
      <c r="AL18" s="107"/>
      <c r="AM18" s="107"/>
      <c r="AN18" s="5"/>
    </row>
    <row r="19" ht="15.0" customHeight="1">
      <c r="A19" s="10"/>
      <c r="B19" s="182"/>
      <c r="C19" s="183">
        <v>45383.0</v>
      </c>
      <c r="D19" s="184">
        <f t="shared" ref="D19:AD19" si="12">+C19+1</f>
        <v>45384</v>
      </c>
      <c r="E19" s="184">
        <f t="shared" si="12"/>
        <v>45385</v>
      </c>
      <c r="F19" s="184">
        <f t="shared" si="12"/>
        <v>45386</v>
      </c>
      <c r="G19" s="184">
        <f t="shared" si="12"/>
        <v>45387</v>
      </c>
      <c r="H19" s="184">
        <f t="shared" si="12"/>
        <v>45388</v>
      </c>
      <c r="I19" s="184">
        <f t="shared" si="12"/>
        <v>45389</v>
      </c>
      <c r="J19" s="184">
        <f t="shared" si="12"/>
        <v>45390</v>
      </c>
      <c r="K19" s="184">
        <f t="shared" si="12"/>
        <v>45391</v>
      </c>
      <c r="L19" s="184">
        <f t="shared" si="12"/>
        <v>45392</v>
      </c>
      <c r="M19" s="184">
        <f t="shared" si="12"/>
        <v>45393</v>
      </c>
      <c r="N19" s="184">
        <f t="shared" si="12"/>
        <v>45394</v>
      </c>
      <c r="O19" s="184">
        <f t="shared" si="12"/>
        <v>45395</v>
      </c>
      <c r="P19" s="184">
        <f t="shared" si="12"/>
        <v>45396</v>
      </c>
      <c r="Q19" s="184">
        <f t="shared" si="12"/>
        <v>45397</v>
      </c>
      <c r="R19" s="184">
        <f t="shared" si="12"/>
        <v>45398</v>
      </c>
      <c r="S19" s="184">
        <f t="shared" si="12"/>
        <v>45399</v>
      </c>
      <c r="T19" s="184">
        <f t="shared" si="12"/>
        <v>45400</v>
      </c>
      <c r="U19" s="184">
        <f t="shared" si="12"/>
        <v>45401</v>
      </c>
      <c r="V19" s="184">
        <f t="shared" si="12"/>
        <v>45402</v>
      </c>
      <c r="W19" s="184">
        <f t="shared" si="12"/>
        <v>45403</v>
      </c>
      <c r="X19" s="184">
        <f t="shared" si="12"/>
        <v>45404</v>
      </c>
      <c r="Y19" s="184">
        <f t="shared" si="12"/>
        <v>45405</v>
      </c>
      <c r="Z19" s="184">
        <f t="shared" si="12"/>
        <v>45406</v>
      </c>
      <c r="AA19" s="184">
        <f t="shared" si="12"/>
        <v>45407</v>
      </c>
      <c r="AB19" s="184">
        <f t="shared" si="12"/>
        <v>45408</v>
      </c>
      <c r="AC19" s="184">
        <f t="shared" si="12"/>
        <v>45409</v>
      </c>
      <c r="AD19" s="184">
        <f t="shared" si="12"/>
        <v>45410</v>
      </c>
      <c r="AE19" s="184">
        <f>IF(MONTH(AD19+1)=MONTH(AD19),AD19+1,"")</f>
        <v>45411</v>
      </c>
      <c r="AF19" s="184">
        <f t="shared" ref="AF19:AG19" si="13">IF(AE19="","",IF(MONTH(AE19+1)=MONTH(AE19),AE19+1,""))</f>
        <v>45412</v>
      </c>
      <c r="AG19" s="184" t="str">
        <f t="shared" si="13"/>
        <v/>
      </c>
      <c r="AH19" s="185"/>
      <c r="AI19" s="60" t="s">
        <v>49</v>
      </c>
      <c r="AJ19" s="60" t="s">
        <v>43</v>
      </c>
      <c r="AK19" s="60" t="s">
        <v>2189</v>
      </c>
      <c r="AL19" s="184">
        <v>5.0</v>
      </c>
      <c r="AM19" s="184">
        <v>9.0</v>
      </c>
      <c r="AN19" s="184">
        <v>6.0</v>
      </c>
    </row>
    <row r="20" ht="18.0" customHeight="1">
      <c r="A20" s="186">
        <v>1.0</v>
      </c>
      <c r="B20" s="57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185"/>
      <c r="AI20" s="187"/>
      <c r="AJ20" s="187"/>
      <c r="AK20" s="187"/>
      <c r="AL20" s="187"/>
      <c r="AM20" s="187"/>
      <c r="AN20" s="187"/>
    </row>
    <row r="21" ht="18.0" customHeight="1">
      <c r="A21" s="186">
        <v>2.0</v>
      </c>
      <c r="B21" s="57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9"/>
      <c r="AI21" s="187"/>
      <c r="AJ21" s="187"/>
      <c r="AK21" s="187"/>
      <c r="AL21" s="187"/>
      <c r="AM21" s="187"/>
      <c r="AN21" s="187"/>
    </row>
    <row r="22" ht="18.0" customHeight="1">
      <c r="A22" s="186">
        <v>3.0</v>
      </c>
      <c r="B22" s="57"/>
      <c r="C22" s="188"/>
      <c r="D22" s="188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185"/>
      <c r="AI22" s="187"/>
      <c r="AJ22" s="187"/>
      <c r="AK22" s="187"/>
      <c r="AL22" s="187"/>
      <c r="AM22" s="187"/>
      <c r="AN22" s="187"/>
    </row>
    <row r="23" ht="18.0" customHeight="1">
      <c r="A23" s="186">
        <v>4.0</v>
      </c>
      <c r="B23" s="57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 t="s">
        <v>102</v>
      </c>
      <c r="Y23" s="188"/>
      <c r="Z23" s="188"/>
      <c r="AA23" s="188"/>
      <c r="AB23" s="188"/>
      <c r="AC23" s="188"/>
      <c r="AD23" s="188"/>
      <c r="AE23" s="188"/>
      <c r="AF23" s="188"/>
      <c r="AG23" s="188"/>
      <c r="AH23" s="189"/>
      <c r="AI23" s="187"/>
      <c r="AJ23" s="187"/>
      <c r="AK23" s="187"/>
      <c r="AL23" s="187"/>
      <c r="AM23" s="187"/>
      <c r="AN23" s="187"/>
    </row>
    <row r="24" ht="18.0" customHeight="1">
      <c r="A24" s="186">
        <v>5.0</v>
      </c>
      <c r="B24" s="57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185"/>
      <c r="AI24" s="187"/>
      <c r="AJ24" s="187"/>
      <c r="AK24" s="187"/>
      <c r="AL24" s="187"/>
      <c r="AM24" s="187"/>
      <c r="AN24" s="187"/>
    </row>
    <row r="25" ht="18.0" customHeight="1">
      <c r="A25" s="186">
        <v>6.0</v>
      </c>
      <c r="B25" s="57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9"/>
      <c r="AI25" s="187"/>
      <c r="AJ25" s="187"/>
      <c r="AK25" s="187"/>
      <c r="AL25" s="187"/>
      <c r="AM25" s="187"/>
      <c r="AN25" s="187"/>
    </row>
    <row r="26" ht="18.0" customHeight="1">
      <c r="A26" s="186">
        <v>7.0</v>
      </c>
      <c r="B26" s="57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185"/>
      <c r="AI26" s="187"/>
      <c r="AJ26" s="187"/>
      <c r="AK26" s="187"/>
      <c r="AL26" s="187"/>
      <c r="AM26" s="187"/>
      <c r="AN26" s="187"/>
    </row>
    <row r="27" ht="18.0" customHeight="1">
      <c r="A27" s="186">
        <v>8.0</v>
      </c>
      <c r="B27" s="57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9"/>
      <c r="AI27" s="187"/>
      <c r="AJ27" s="187"/>
      <c r="AK27" s="187"/>
      <c r="AL27" s="187"/>
      <c r="AM27" s="187"/>
      <c r="AN27" s="187"/>
    </row>
    <row r="28" ht="18.0" customHeight="1">
      <c r="A28" s="186">
        <v>9.0</v>
      </c>
      <c r="B28" s="57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185"/>
      <c r="AI28" s="187"/>
      <c r="AJ28" s="187"/>
      <c r="AK28" s="187"/>
      <c r="AL28" s="187"/>
      <c r="AM28" s="187"/>
      <c r="AN28" s="187"/>
    </row>
    <row r="29" ht="18.0" customHeight="1">
      <c r="A29" s="186">
        <v>10.0</v>
      </c>
      <c r="B29" s="57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5"/>
      <c r="AI29" s="187"/>
      <c r="AJ29" s="187"/>
      <c r="AK29" s="187"/>
      <c r="AL29" s="187"/>
      <c r="AM29" s="187"/>
      <c r="AN29" s="187"/>
    </row>
    <row r="30" ht="18.0" customHeight="1">
      <c r="A30" s="186">
        <v>11.0</v>
      </c>
      <c r="B30" s="57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189"/>
      <c r="AI30" s="187"/>
      <c r="AJ30" s="187"/>
      <c r="AK30" s="187"/>
      <c r="AL30" s="187"/>
      <c r="AM30" s="187"/>
      <c r="AN30" s="187"/>
    </row>
    <row r="31" ht="18.0" customHeight="1">
      <c r="A31" s="186">
        <v>12.0</v>
      </c>
      <c r="B31" s="57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5"/>
      <c r="AI31" s="187"/>
      <c r="AJ31" s="187"/>
      <c r="AK31" s="187"/>
      <c r="AL31" s="187"/>
      <c r="AM31" s="187"/>
      <c r="AN31" s="187"/>
    </row>
    <row r="32" ht="18.0" customHeight="1">
      <c r="A32" s="186">
        <v>13.0</v>
      </c>
      <c r="B32" s="57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189"/>
      <c r="AI32" s="187"/>
      <c r="AJ32" s="187"/>
      <c r="AK32" s="187"/>
      <c r="AL32" s="187"/>
      <c r="AM32" s="187"/>
      <c r="AN32" s="187"/>
    </row>
    <row r="33" ht="18.0" customHeight="1">
      <c r="A33" s="186">
        <v>14.0</v>
      </c>
      <c r="B33" s="57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5"/>
      <c r="AI33" s="187"/>
      <c r="AJ33" s="187"/>
      <c r="AK33" s="187"/>
      <c r="AL33" s="187"/>
      <c r="AM33" s="187"/>
      <c r="AN33" s="187"/>
    </row>
    <row r="34" ht="18.0" customHeight="1">
      <c r="A34" s="186">
        <v>15.0</v>
      </c>
      <c r="B34" s="57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189"/>
      <c r="AI34" s="187"/>
      <c r="AJ34" s="187"/>
      <c r="AK34" s="187"/>
      <c r="AL34" s="187"/>
      <c r="AM34" s="187"/>
      <c r="AN34" s="187"/>
    </row>
    <row r="35" ht="18.0" customHeight="1">
      <c r="A35" s="186">
        <v>16.0</v>
      </c>
      <c r="B35" s="57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5"/>
      <c r="AI35" s="187"/>
      <c r="AJ35" s="187"/>
      <c r="AK35" s="187"/>
      <c r="AL35" s="187"/>
      <c r="AM35" s="187"/>
      <c r="AN35" s="187"/>
    </row>
    <row r="36" ht="18.0" customHeight="1">
      <c r="A36" s="186">
        <v>17.0</v>
      </c>
      <c r="B36" s="57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189"/>
      <c r="AI36" s="187"/>
      <c r="AJ36" s="187"/>
      <c r="AK36" s="187"/>
      <c r="AL36" s="187"/>
      <c r="AM36" s="187"/>
      <c r="AN36" s="187"/>
    </row>
    <row r="37" ht="18.0" customHeight="1">
      <c r="A37" s="186">
        <v>18.0</v>
      </c>
      <c r="B37" s="57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9"/>
      <c r="AI37" s="187"/>
      <c r="AJ37" s="187"/>
      <c r="AK37" s="187"/>
      <c r="AL37" s="187"/>
      <c r="AM37" s="187"/>
      <c r="AN37" s="187"/>
    </row>
    <row r="38" ht="18.0" customHeight="1">
      <c r="A38" s="186">
        <v>19.0</v>
      </c>
      <c r="B38" s="57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185"/>
      <c r="AI38" s="187"/>
      <c r="AJ38" s="187"/>
      <c r="AK38" s="187"/>
      <c r="AL38" s="187"/>
      <c r="AM38" s="187"/>
      <c r="AN38" s="187"/>
    </row>
    <row r="39" ht="18.0" customHeight="1">
      <c r="A39" s="186">
        <v>20.0</v>
      </c>
      <c r="B39" s="57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9"/>
      <c r="AI39" s="187"/>
      <c r="AJ39" s="187"/>
      <c r="AK39" s="187"/>
      <c r="AL39" s="187"/>
      <c r="AM39" s="187"/>
      <c r="AN39" s="187"/>
    </row>
    <row r="40" ht="18.0" customHeight="1">
      <c r="A40" s="186">
        <v>21.0</v>
      </c>
      <c r="B40" s="5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185"/>
      <c r="AI40" s="187"/>
      <c r="AJ40" s="187"/>
      <c r="AK40" s="187"/>
      <c r="AL40" s="187"/>
      <c r="AM40" s="187"/>
      <c r="AN40" s="187"/>
    </row>
    <row r="41" ht="18.0" customHeight="1">
      <c r="A41" s="186">
        <v>22.0</v>
      </c>
      <c r="B41" s="57" t="str">
        <f>IF(ISERROR(VLOOKUP($D$4&amp;$E$4&amp;$A41,'Lista General'!$B$4:$C$723,2,0)),"",VLOOKUP($D$4&amp;$E$4&amp;$A41,'Lista General'!$B$4:$C$723,2,0))</f>
        <v/>
      </c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9"/>
      <c r="AI41" s="187"/>
      <c r="AJ41" s="187"/>
      <c r="AK41" s="187"/>
      <c r="AL41" s="187"/>
      <c r="AM41" s="187"/>
      <c r="AN41" s="187"/>
    </row>
    <row r="42" ht="18.0" customHeight="1">
      <c r="A42" s="186">
        <v>23.0</v>
      </c>
      <c r="B42" s="57" t="str">
        <f>IF(ISERROR(VLOOKUP($D$4&amp;$E$4&amp;$A42,'Lista General'!$B$4:$C$723,2,0)),"",VLOOKUP($D$4&amp;$E$4&amp;$A42,'Lista General'!$B$4:$C$723,2,0))</f>
        <v/>
      </c>
      <c r="C42" s="188"/>
      <c r="D42" s="188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185"/>
      <c r="AI42" s="187"/>
      <c r="AJ42" s="187"/>
      <c r="AK42" s="187"/>
      <c r="AL42" s="187"/>
      <c r="AM42" s="187"/>
      <c r="AN42" s="187"/>
    </row>
    <row r="43" ht="18.0" customHeight="1">
      <c r="A43" s="186">
        <v>24.0</v>
      </c>
      <c r="B43" s="57" t="str">
        <f>IF(ISERROR(VLOOKUP($D$4&amp;$E$4&amp;$A43,'Lista General'!$B$4:$C$723,2,0)),"",VLOOKUP($D$4&amp;$E$4&amp;$A43,'Lista General'!$B$4:$C$723,2,0))</f>
        <v/>
      </c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5"/>
      <c r="AI43" s="187"/>
      <c r="AJ43" s="187"/>
      <c r="AK43" s="187"/>
      <c r="AL43" s="187"/>
      <c r="AM43" s="187"/>
      <c r="AN43" s="187"/>
    </row>
    <row r="44" ht="19.5" customHeight="1">
      <c r="A44" s="186">
        <v>25.0</v>
      </c>
      <c r="B44" s="57" t="str">
        <f>IF(ISERROR(VLOOKUP($D$4&amp;$E$4&amp;$A44,'Lista General'!$B$4:$C$723,2,0)),"",VLOOKUP($D$4&amp;$E$4&amp;$A44,'Lista General'!$B$4:$C$723,2,0))</f>
        <v/>
      </c>
      <c r="C44" s="188"/>
      <c r="D44" s="188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189"/>
      <c r="AI44" s="187"/>
      <c r="AJ44" s="187"/>
      <c r="AK44" s="187"/>
      <c r="AL44" s="187"/>
      <c r="AM44" s="187"/>
      <c r="AN44" s="187"/>
    </row>
    <row r="45" ht="19.5" customHeight="1">
      <c r="A45" s="186">
        <v>26.0</v>
      </c>
      <c r="B45" s="57" t="str">
        <f>IF(ISERROR(VLOOKUP($D$4&amp;$E$4&amp;$A45,'Lista General'!$B$4:$C$723,2,0)),"",VLOOKUP($D$4&amp;$E$4&amp;$A45,'Lista General'!$B$4:$C$723,2,0))</f>
        <v/>
      </c>
      <c r="C45" s="188"/>
      <c r="D45" s="188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189"/>
      <c r="AI45" s="187"/>
      <c r="AJ45" s="187"/>
      <c r="AK45" s="187"/>
      <c r="AL45" s="187"/>
      <c r="AM45" s="187"/>
      <c r="AN45" s="187"/>
    </row>
    <row r="46" ht="19.5" customHeight="1">
      <c r="A46" s="186">
        <v>27.0</v>
      </c>
      <c r="B46" s="57" t="str">
        <f>IF(ISERROR(VLOOKUP($D$4&amp;$E$4&amp;$A46,'Lista General'!$B$4:$C$723,2,0)),"",VLOOKUP($D$4&amp;$E$4&amp;$A46,'Lista General'!$B$4:$C$723,2,0))</f>
        <v/>
      </c>
      <c r="C46" s="188"/>
      <c r="D46" s="188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189"/>
      <c r="AI46" s="187"/>
      <c r="AJ46" s="187"/>
      <c r="AK46" s="187"/>
      <c r="AL46" s="187"/>
      <c r="AM46" s="187"/>
      <c r="AN46" s="187"/>
    </row>
    <row r="47" ht="19.5" customHeight="1">
      <c r="A47" s="186">
        <v>28.0</v>
      </c>
      <c r="B47" s="57" t="str">
        <f>IF(ISERROR(VLOOKUP($D$4&amp;$E$4&amp;$A47,'Lista General'!$B$4:$C$723,2,0)),"",VLOOKUP($D$4&amp;$E$4&amp;$A47,'Lista General'!$B$4:$C$723,2,0))</f>
        <v/>
      </c>
      <c r="C47" s="188"/>
      <c r="D47" s="188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189"/>
      <c r="AI47" s="187"/>
      <c r="AJ47" s="187"/>
      <c r="AK47" s="187"/>
      <c r="AL47" s="187"/>
      <c r="AM47" s="187"/>
      <c r="AN47" s="187"/>
    </row>
    <row r="48" ht="19.5" customHeight="1">
      <c r="A48" s="186">
        <v>29.0</v>
      </c>
      <c r="B48" s="57" t="str">
        <f>IF(ISERROR(VLOOKUP($D$4&amp;$E$4&amp;$A48,'Lista General'!$B$4:$C$723,2,0)),"",VLOOKUP($D$4&amp;$E$4&amp;$A48,'Lista General'!$B$4:$C$723,2,0))</f>
        <v/>
      </c>
      <c r="C48" s="188"/>
      <c r="D48" s="188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189"/>
      <c r="AI48" s="187"/>
      <c r="AJ48" s="187"/>
      <c r="AK48" s="187"/>
      <c r="AL48" s="187"/>
      <c r="AM48" s="187"/>
      <c r="AN48" s="187"/>
    </row>
    <row r="49" ht="19.5" hidden="1" customHeight="1">
      <c r="A49" s="186">
        <v>30.0</v>
      </c>
      <c r="B49" s="57" t="str">
        <f>IF(ISERROR(VLOOKUP($D$4&amp;$E$4&amp;$A49,'Lista General'!$B$4:$C$723,2,0)),"",VLOOKUP($D$4&amp;$E$4&amp;$A49,'Lista General'!$B$4:$C$723,2,0))</f>
        <v/>
      </c>
      <c r="C49" s="188"/>
      <c r="D49" s="188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189"/>
      <c r="AI49" s="187"/>
      <c r="AJ49" s="187"/>
      <c r="AK49" s="187"/>
      <c r="AL49" s="187"/>
      <c r="AM49" s="187"/>
      <c r="AN49" s="187"/>
    </row>
    <row r="50" ht="19.5" hidden="1" customHeight="1">
      <c r="A50" s="186">
        <v>31.0</v>
      </c>
      <c r="B50" s="57" t="str">
        <f>IF(ISERROR(VLOOKUP($D$4&amp;$E$4&amp;$A50,'Lista General'!$B$4:$C$723,2,0)),"",VLOOKUP($D$4&amp;$E$4&amp;$A50,'Lista General'!$B$4:$C$723,2,0))</f>
        <v/>
      </c>
      <c r="C50" s="188"/>
      <c r="D50" s="188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189"/>
      <c r="AI50" s="187"/>
      <c r="AJ50" s="187"/>
      <c r="AK50" s="187"/>
      <c r="AL50" s="187"/>
      <c r="AM50" s="187"/>
      <c r="AN50" s="187"/>
    </row>
    <row r="51" ht="19.5" hidden="1" customHeight="1">
      <c r="A51" s="186">
        <v>32.0</v>
      </c>
      <c r="B51" s="57" t="str">
        <f>IF(ISERROR(VLOOKUP($D$4&amp;$E$4&amp;$A51,'Lista General'!$B$4:$C$723,2,0)),"",VLOOKUP($D$4&amp;$E$4&amp;$A51,'Lista General'!$B$4:$C$723,2,0))</f>
        <v/>
      </c>
      <c r="C51" s="188"/>
      <c r="D51" s="188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189"/>
      <c r="AI51" s="187"/>
      <c r="AJ51" s="187"/>
      <c r="AK51" s="187"/>
      <c r="AL51" s="187"/>
      <c r="AM51" s="187"/>
      <c r="AN51" s="187"/>
    </row>
    <row r="52" ht="19.5" hidden="1" customHeight="1">
      <c r="A52" s="186">
        <v>33.0</v>
      </c>
      <c r="B52" s="57" t="str">
        <f>IF(ISERROR(VLOOKUP($D$4&amp;$E$4&amp;$A52,'Lista General'!$B$4:$C$723,2,0)),"",VLOOKUP($D$4&amp;$E$4&amp;$A52,'Lista General'!$B$4:$C$723,2,0))</f>
        <v/>
      </c>
      <c r="C52" s="188"/>
      <c r="D52" s="188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189"/>
      <c r="AI52" s="187"/>
      <c r="AJ52" s="187"/>
      <c r="AK52" s="187"/>
      <c r="AL52" s="187"/>
      <c r="AM52" s="187"/>
      <c r="AN52" s="187"/>
    </row>
    <row r="53" ht="19.5" hidden="1" customHeight="1">
      <c r="A53" s="186">
        <v>34.0</v>
      </c>
      <c r="B53" s="57" t="str">
        <f>IF(ISERROR(VLOOKUP($D$4&amp;$E$4&amp;$A53,'Lista General'!$B$4:$C$723,2,0)),"",VLOOKUP($D$4&amp;$E$4&amp;$A53,'Lista General'!$B$4:$C$723,2,0))</f>
        <v/>
      </c>
      <c r="C53" s="188"/>
      <c r="D53" s="188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189"/>
      <c r="AI53" s="187"/>
      <c r="AJ53" s="187"/>
      <c r="AK53" s="187"/>
      <c r="AL53" s="187"/>
      <c r="AM53" s="187"/>
      <c r="AN53" s="187"/>
    </row>
    <row r="54" ht="19.5" hidden="1" customHeight="1">
      <c r="A54" s="186">
        <v>35.0</v>
      </c>
      <c r="B54" s="57" t="str">
        <f>IF(ISERROR(VLOOKUP($D$4&amp;$E$4&amp;$A54,'Lista General'!$B$4:$C$723,2,0)),"",VLOOKUP($D$4&amp;$E$4&amp;$A54,'Lista General'!$B$4:$C$723,2,0))</f>
        <v/>
      </c>
      <c r="C54" s="188"/>
      <c r="D54" s="188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189"/>
      <c r="AI54" s="187"/>
      <c r="AJ54" s="187"/>
      <c r="AK54" s="187"/>
      <c r="AL54" s="187"/>
      <c r="AM54" s="187"/>
      <c r="AN54" s="187"/>
    </row>
    <row r="55" ht="19.5" hidden="1" customHeight="1">
      <c r="A55" s="186">
        <v>36.0</v>
      </c>
      <c r="B55" s="57" t="str">
        <f>IF(ISERROR(VLOOKUP($D$4&amp;$E$4&amp;$A55,'Lista General'!$B$4:$C$723,2,0)),"",VLOOKUP($D$4&amp;$E$4&amp;$A55,'Lista General'!$B$4:$C$723,2,0))</f>
        <v/>
      </c>
      <c r="C55" s="188"/>
      <c r="D55" s="188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189"/>
      <c r="AI55" s="187"/>
      <c r="AJ55" s="187"/>
      <c r="AK55" s="187"/>
      <c r="AL55" s="187"/>
      <c r="AM55" s="187"/>
      <c r="AN55" s="187"/>
    </row>
    <row r="56" ht="19.5" hidden="1" customHeight="1">
      <c r="A56" s="186">
        <v>37.0</v>
      </c>
      <c r="B56" s="57" t="str">
        <f>IF(ISERROR(VLOOKUP($D$4&amp;$E$4&amp;$A56,'Lista General'!$B$4:$C$723,2,0)),"",VLOOKUP($D$4&amp;$E$4&amp;$A56,'Lista General'!$B$4:$C$723,2,0))</f>
        <v/>
      </c>
      <c r="C56" s="188"/>
      <c r="D56" s="188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189"/>
      <c r="AI56" s="187"/>
      <c r="AJ56" s="187"/>
      <c r="AK56" s="187"/>
      <c r="AL56" s="187"/>
      <c r="AM56" s="187"/>
      <c r="AN56" s="187"/>
    </row>
    <row r="57" ht="19.5" hidden="1" customHeight="1">
      <c r="A57" s="186">
        <v>38.0</v>
      </c>
      <c r="B57" s="57" t="str">
        <f>IF(ISERROR(VLOOKUP($D$4&amp;$E$4&amp;$A57,'Lista General'!$B$4:$C$723,2,0)),"",VLOOKUP($D$4&amp;$E$4&amp;$A57,'Lista General'!$B$4:$C$723,2,0))</f>
        <v/>
      </c>
      <c r="C57" s="188"/>
      <c r="D57" s="188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189"/>
      <c r="AI57" s="187"/>
      <c r="AJ57" s="187"/>
      <c r="AK57" s="187"/>
      <c r="AL57" s="187"/>
      <c r="AM57" s="187"/>
      <c r="AN57" s="187"/>
    </row>
    <row r="58" ht="19.5" hidden="1" customHeight="1">
      <c r="A58" s="186">
        <v>39.0</v>
      </c>
      <c r="B58" s="57" t="str">
        <f>IF(ISERROR(VLOOKUP($D$4&amp;$E$4&amp;$A58,'Lista General'!$B$4:$C$723,2,0)),"",VLOOKUP($D$4&amp;$E$4&amp;$A58,'Lista General'!$B$4:$C$723,2,0))</f>
        <v/>
      </c>
      <c r="C58" s="188"/>
      <c r="D58" s="188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189"/>
      <c r="AI58" s="187"/>
      <c r="AJ58" s="187"/>
      <c r="AK58" s="187"/>
      <c r="AL58" s="187"/>
      <c r="AM58" s="187"/>
      <c r="AN58" s="187"/>
    </row>
    <row r="59" ht="19.5" hidden="1" customHeight="1">
      <c r="A59" s="186">
        <v>40.0</v>
      </c>
      <c r="B59" s="57" t="str">
        <f>IF(ISERROR(VLOOKUP($D$4&amp;$E$4&amp;$A59,'Lista General'!$B$4:$C$723,2,0)),"",VLOOKUP($D$4&amp;$E$4&amp;$A59,'Lista General'!$B$4:$C$723,2,0))</f>
        <v/>
      </c>
      <c r="C59" s="188"/>
      <c r="D59" s="188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189"/>
      <c r="AI59" s="187"/>
      <c r="AJ59" s="187"/>
      <c r="AK59" s="187"/>
      <c r="AL59" s="187"/>
      <c r="AM59" s="187"/>
      <c r="AN59" s="187"/>
    </row>
    <row r="60" ht="19.5" hidden="1" customHeight="1">
      <c r="A60" s="186">
        <v>41.0</v>
      </c>
      <c r="B60" s="57" t="str">
        <f>IF(ISERROR(VLOOKUP($D$4&amp;$E$4&amp;$A60,'Lista General'!$B$4:$C$723,2,0)),"",VLOOKUP($D$4&amp;$E$4&amp;$A60,'Lista General'!$B$4:$C$723,2,0))</f>
        <v/>
      </c>
      <c r="C60" s="188"/>
      <c r="D60" s="188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189"/>
      <c r="AI60" s="187"/>
      <c r="AJ60" s="187"/>
      <c r="AK60" s="187"/>
      <c r="AL60" s="187"/>
      <c r="AM60" s="187"/>
      <c r="AN60" s="187"/>
    </row>
    <row r="61" ht="19.5" hidden="1" customHeight="1">
      <c r="A61" s="186">
        <v>42.0</v>
      </c>
      <c r="B61" s="57" t="str">
        <f>IF(ISERROR(VLOOKUP($D$4&amp;$E$4&amp;$A61,'Lista General'!$B$4:$C$723,2,0)),"",VLOOKUP($D$4&amp;$E$4&amp;$A61,'Lista General'!$B$4:$C$723,2,0))</f>
        <v/>
      </c>
      <c r="C61" s="188"/>
      <c r="D61" s="188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189"/>
      <c r="AI61" s="187"/>
      <c r="AJ61" s="187"/>
      <c r="AK61" s="187"/>
      <c r="AL61" s="187"/>
      <c r="AM61" s="187"/>
      <c r="AN61" s="187"/>
    </row>
    <row r="62" ht="19.5" hidden="1" customHeight="1">
      <c r="A62" s="186">
        <v>43.0</v>
      </c>
      <c r="B62" s="57" t="str">
        <f>IF(ISERROR(VLOOKUP($D$4&amp;$E$4&amp;$A62,'Lista General'!$B$4:$C$723,2,0)),"",VLOOKUP($D$4&amp;$E$4&amp;$A62,'Lista General'!$B$4:$C$723,2,0))</f>
        <v/>
      </c>
      <c r="C62" s="188"/>
      <c r="D62" s="188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189"/>
      <c r="AI62" s="187"/>
      <c r="AJ62" s="187"/>
      <c r="AK62" s="187"/>
      <c r="AL62" s="187"/>
      <c r="AM62" s="187"/>
      <c r="AN62" s="187"/>
    </row>
    <row r="63" ht="19.5" hidden="1" customHeight="1">
      <c r="A63" s="186">
        <v>44.0</v>
      </c>
      <c r="B63" s="57" t="str">
        <f>IF(ISERROR(VLOOKUP($D$4&amp;$E$4&amp;$A63,'Lista General'!$B$4:$C$723,2,0)),"",VLOOKUP($D$4&amp;$E$4&amp;$A63,'Lista General'!$B$4:$C$723,2,0))</f>
        <v/>
      </c>
      <c r="C63" s="188"/>
      <c r="D63" s="188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189"/>
      <c r="AI63" s="187"/>
      <c r="AJ63" s="187"/>
      <c r="AK63" s="187"/>
      <c r="AL63" s="187"/>
      <c r="AM63" s="187"/>
      <c r="AN63" s="187"/>
    </row>
    <row r="64" ht="19.5" hidden="1" customHeight="1">
      <c r="A64" s="186">
        <v>45.0</v>
      </c>
      <c r="B64" s="57" t="str">
        <f>IF(ISERROR(VLOOKUP($D$4&amp;$E$4&amp;$A64,'Lista General'!$B$4:$C$723,2,0)),"",VLOOKUP($D$4&amp;$E$4&amp;$A64,'Lista General'!$B$4:$C$723,2,0))</f>
        <v/>
      </c>
      <c r="C64" s="188"/>
      <c r="D64" s="188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189"/>
      <c r="AI64" s="187"/>
      <c r="AJ64" s="187"/>
      <c r="AK64" s="187"/>
      <c r="AL64" s="187"/>
      <c r="AM64" s="187"/>
      <c r="AN64" s="187"/>
    </row>
    <row r="65" ht="19.5" hidden="1" customHeight="1">
      <c r="A65" s="186">
        <v>46.0</v>
      </c>
      <c r="B65" s="57" t="str">
        <f>IF(ISERROR(VLOOKUP($D$4&amp;$E$4&amp;$A65,'Lista General'!$B$4:$C$723,2,0)),"",VLOOKUP($D$4&amp;$E$4&amp;$A65,'Lista General'!$B$4:$C$723,2,0))</f>
        <v/>
      </c>
      <c r="C65" s="188"/>
      <c r="D65" s="188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189"/>
      <c r="AI65" s="187"/>
      <c r="AJ65" s="187"/>
      <c r="AK65" s="187"/>
      <c r="AL65" s="187"/>
      <c r="AM65" s="187"/>
      <c r="AN65" s="187"/>
    </row>
    <row r="66" ht="19.5" hidden="1" customHeight="1">
      <c r="A66" s="186">
        <v>47.0</v>
      </c>
      <c r="B66" s="57" t="str">
        <f>IF(ISERROR(VLOOKUP($D$4&amp;$E$4&amp;$A66,'Lista General'!$B$4:$C$723,2,0)),"",VLOOKUP($D$4&amp;$E$4&amp;$A66,'Lista General'!$B$4:$C$723,2,0))</f>
        <v/>
      </c>
      <c r="C66" s="188"/>
      <c r="D66" s="188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189"/>
      <c r="AI66" s="187"/>
      <c r="AJ66" s="187"/>
      <c r="AK66" s="187"/>
      <c r="AL66" s="187"/>
      <c r="AM66" s="187"/>
      <c r="AN66" s="187"/>
    </row>
    <row r="67" ht="19.5" hidden="1" customHeight="1">
      <c r="A67" s="186">
        <v>48.0</v>
      </c>
      <c r="B67" s="57" t="str">
        <f>IF(ISERROR(VLOOKUP($D$4&amp;$E$4&amp;$A67,'Lista General'!$B$4:$C$723,2,0)),"",VLOOKUP($D$4&amp;$E$4&amp;$A67,'Lista General'!$B$4:$C$723,2,0))</f>
        <v/>
      </c>
      <c r="C67" s="188"/>
      <c r="D67" s="188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189"/>
      <c r="AI67" s="187"/>
      <c r="AJ67" s="187"/>
      <c r="AK67" s="187"/>
      <c r="AL67" s="187"/>
      <c r="AM67" s="187"/>
      <c r="AN67" s="187"/>
    </row>
    <row r="68" ht="19.5" hidden="1" customHeight="1">
      <c r="A68" s="186">
        <v>49.0</v>
      </c>
      <c r="B68" s="57" t="str">
        <f>IF(ISERROR(VLOOKUP($D$4&amp;$E$4&amp;$A68,'Lista General'!$B$4:$C$723,2,0)),"",VLOOKUP($D$4&amp;$E$4&amp;$A68,'Lista General'!$B$4:$C$723,2,0))</f>
        <v/>
      </c>
      <c r="C68" s="188"/>
      <c r="D68" s="188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189"/>
      <c r="AI68" s="187"/>
      <c r="AJ68" s="187"/>
      <c r="AK68" s="187"/>
      <c r="AL68" s="187"/>
      <c r="AM68" s="187"/>
      <c r="AN68" s="187"/>
    </row>
    <row r="69" ht="19.5" hidden="1" customHeight="1">
      <c r="A69" s="186">
        <v>50.0</v>
      </c>
      <c r="B69" s="57" t="str">
        <f>IF(ISERROR(VLOOKUP($D$4&amp;$E$4&amp;$A69,'Lista General'!$B$4:$C$723,2,0)),"",VLOOKUP($D$4&amp;$E$4&amp;$A69,'Lista General'!$B$4:$C$723,2,0))</f>
        <v/>
      </c>
      <c r="C69" s="188"/>
      <c r="D69" s="188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189"/>
      <c r="AI69" s="187"/>
      <c r="AJ69" s="187"/>
      <c r="AK69" s="187"/>
      <c r="AL69" s="187"/>
      <c r="AM69" s="187"/>
      <c r="AN69" s="187"/>
    </row>
    <row r="70" ht="19.5" hidden="1" customHeight="1">
      <c r="A70" s="186">
        <v>51.0</v>
      </c>
      <c r="B70" s="57" t="str">
        <f>IF(ISERROR(VLOOKUP($D$4&amp;$E$4&amp;$A70,'Lista General'!$B$4:$C$723,2,0)),"",VLOOKUP($D$4&amp;$E$4&amp;$A70,'Lista General'!$B$4:$C$723,2,0))</f>
        <v/>
      </c>
      <c r="C70" s="188"/>
      <c r="D70" s="188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189"/>
      <c r="AI70" s="187"/>
      <c r="AJ70" s="187"/>
      <c r="AK70" s="187"/>
      <c r="AL70" s="187"/>
      <c r="AM70" s="187"/>
      <c r="AN70" s="187"/>
    </row>
    <row r="71" ht="19.5" hidden="1" customHeight="1">
      <c r="A71" s="186">
        <v>52.0</v>
      </c>
      <c r="B71" s="57" t="str">
        <f>IF(ISERROR(VLOOKUP($D$4&amp;$E$4&amp;$A71,'Lista General'!$B$4:$C$723,2,0)),"",VLOOKUP($D$4&amp;$E$4&amp;$A71,'Lista General'!$B$4:$C$723,2,0))</f>
        <v/>
      </c>
      <c r="C71" s="188"/>
      <c r="D71" s="188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189"/>
      <c r="AI71" s="187"/>
      <c r="AJ71" s="187"/>
      <c r="AK71" s="187"/>
      <c r="AL71" s="187"/>
      <c r="AM71" s="187"/>
      <c r="AN71" s="187"/>
    </row>
    <row r="72" ht="19.5" hidden="1" customHeight="1">
      <c r="A72" s="186">
        <v>53.0</v>
      </c>
      <c r="B72" s="57" t="str">
        <f>IF(ISERROR(VLOOKUP($D$4&amp;$E$4&amp;$A72,'Lista General'!$B$4:$C$723,2,0)),"",VLOOKUP($D$4&amp;$E$4&amp;$A72,'Lista General'!$B$4:$C$723,2,0))</f>
        <v/>
      </c>
      <c r="C72" s="188"/>
      <c r="D72" s="188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189"/>
      <c r="AI72" s="187"/>
      <c r="AJ72" s="187"/>
      <c r="AK72" s="187"/>
      <c r="AL72" s="187"/>
      <c r="AM72" s="187"/>
      <c r="AN72" s="187"/>
    </row>
    <row r="73" ht="19.5" hidden="1" customHeight="1">
      <c r="A73" s="186">
        <v>54.0</v>
      </c>
      <c r="B73" s="57" t="str">
        <f>IF(ISERROR(VLOOKUP($D$4&amp;$E$4&amp;$A73,'Lista General'!$B$4:$C$723,2,0)),"",VLOOKUP($D$4&amp;$E$4&amp;$A73,'Lista General'!$B$4:$C$723,2,0))</f>
        <v/>
      </c>
      <c r="C73" s="188"/>
      <c r="D73" s="188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189"/>
      <c r="AI73" s="187"/>
      <c r="AJ73" s="187"/>
      <c r="AK73" s="187"/>
      <c r="AL73" s="187"/>
      <c r="AM73" s="187"/>
      <c r="AN73" s="187"/>
    </row>
    <row r="74" ht="19.5" hidden="1" customHeight="1">
      <c r="A74" s="186">
        <v>55.0</v>
      </c>
      <c r="B74" s="57" t="str">
        <f>IF(ISERROR(VLOOKUP($D$4&amp;$E$4&amp;$A74,'Lista General'!$B$4:$C$723,2,0)),"",VLOOKUP($D$4&amp;$E$4&amp;$A74,'Lista General'!$B$4:$C$723,2,0))</f>
        <v/>
      </c>
      <c r="C74" s="188"/>
      <c r="D74" s="188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189"/>
      <c r="AI74" s="187"/>
      <c r="AJ74" s="187"/>
      <c r="AK74" s="187"/>
      <c r="AL74" s="187"/>
      <c r="AM74" s="187"/>
      <c r="AN74" s="187"/>
    </row>
    <row r="75" ht="19.5" hidden="1" customHeight="1">
      <c r="A75" s="186">
        <v>56.0</v>
      </c>
      <c r="B75" s="57" t="str">
        <f>IF(ISERROR(VLOOKUP($D$4&amp;$E$4&amp;$A75,'Lista General'!$B$4:$C$723,2,0)),"",VLOOKUP($D$4&amp;$E$4&amp;$A75,'Lista General'!$B$4:$C$723,2,0))</f>
        <v/>
      </c>
      <c r="C75" s="188"/>
      <c r="D75" s="188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189"/>
      <c r="AI75" s="187"/>
      <c r="AJ75" s="187"/>
      <c r="AK75" s="187"/>
      <c r="AL75" s="187"/>
      <c r="AM75" s="187"/>
      <c r="AN75" s="187"/>
    </row>
    <row r="76" ht="19.5" hidden="1" customHeight="1">
      <c r="A76" s="186">
        <v>57.0</v>
      </c>
      <c r="B76" s="57" t="str">
        <f>IF(ISERROR(VLOOKUP($D$4&amp;$E$4&amp;$A76,'Lista General'!$B$4:$C$723,2,0)),"",VLOOKUP($D$4&amp;$E$4&amp;$A76,'Lista General'!$B$4:$C$723,2,0))</f>
        <v/>
      </c>
      <c r="C76" s="188"/>
      <c r="D76" s="188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189"/>
      <c r="AI76" s="187"/>
      <c r="AJ76" s="187"/>
      <c r="AK76" s="187"/>
      <c r="AL76" s="187"/>
      <c r="AM76" s="187"/>
      <c r="AN76" s="187"/>
    </row>
    <row r="77" ht="19.5" hidden="1" customHeight="1">
      <c r="A77" s="186">
        <v>58.0</v>
      </c>
      <c r="B77" s="57" t="str">
        <f>IF(ISERROR(VLOOKUP($D$4&amp;$E$4&amp;$A77,'Lista General'!$B$4:$C$723,2,0)),"",VLOOKUP($D$4&amp;$E$4&amp;$A77,'Lista General'!$B$4:$C$723,2,0))</f>
        <v/>
      </c>
      <c r="C77" s="188"/>
      <c r="D77" s="188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189"/>
      <c r="AI77" s="187"/>
      <c r="AJ77" s="187"/>
      <c r="AK77" s="187"/>
      <c r="AL77" s="187"/>
      <c r="AM77" s="187"/>
      <c r="AN77" s="187"/>
    </row>
    <row r="78" ht="19.5" hidden="1" customHeight="1">
      <c r="A78" s="186">
        <v>59.0</v>
      </c>
      <c r="B78" s="57" t="str">
        <f>IF(ISERROR(VLOOKUP($D$4&amp;$E$4&amp;$A78,'Lista General'!$B$4:$C$723,2,0)),"",VLOOKUP($D$4&amp;$E$4&amp;$A78,'Lista General'!$B$4:$C$723,2,0))</f>
        <v/>
      </c>
      <c r="C78" s="188"/>
      <c r="D78" s="188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189"/>
      <c r="AI78" s="187"/>
      <c r="AJ78" s="187"/>
      <c r="AK78" s="187"/>
      <c r="AL78" s="187"/>
      <c r="AM78" s="187"/>
      <c r="AN78" s="187"/>
    </row>
    <row r="79" ht="19.5" hidden="1" customHeight="1">
      <c r="A79" s="186">
        <v>60.0</v>
      </c>
      <c r="B79" s="57" t="str">
        <f>IF(ISERROR(VLOOKUP($D$4&amp;$E$4&amp;$A79,'Lista General'!$B$4:$C$723,2,0)),"",VLOOKUP($D$4&amp;$E$4&amp;$A79,'Lista General'!$B$4:$C$723,2,0))</f>
        <v/>
      </c>
      <c r="C79" s="188"/>
      <c r="D79" s="188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189"/>
      <c r="AI79" s="187"/>
      <c r="AJ79" s="187"/>
      <c r="AK79" s="187"/>
      <c r="AL79" s="187"/>
      <c r="AM79" s="187"/>
      <c r="AN79" s="187"/>
    </row>
    <row r="80" ht="19.5" hidden="1" customHeight="1">
      <c r="A80" s="186">
        <v>61.0</v>
      </c>
      <c r="B80" s="57" t="str">
        <f>IF(ISERROR(VLOOKUP($D$4&amp;$E$4&amp;$A80,'Lista General'!$B$4:$C$723,2,0)),"",VLOOKUP($D$4&amp;$E$4&amp;$A80,'Lista General'!$B$4:$C$723,2,0))</f>
        <v/>
      </c>
      <c r="C80" s="188"/>
      <c r="D80" s="188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189"/>
      <c r="AI80" s="187"/>
      <c r="AJ80" s="187"/>
      <c r="AK80" s="187"/>
      <c r="AL80" s="187"/>
      <c r="AM80" s="187"/>
      <c r="AN80" s="187"/>
    </row>
    <row r="81" ht="19.5" hidden="1" customHeight="1">
      <c r="A81" s="186">
        <v>62.0</v>
      </c>
      <c r="B81" s="57" t="str">
        <f>IF(ISERROR(VLOOKUP($D$4&amp;$E$4&amp;$A81,'Lista General'!$B$4:$C$723,2,0)),"",VLOOKUP($D$4&amp;$E$4&amp;$A81,'Lista General'!$B$4:$C$723,2,0))</f>
        <v/>
      </c>
      <c r="C81" s="188"/>
      <c r="D81" s="188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189"/>
      <c r="AI81" s="187"/>
      <c r="AJ81" s="187"/>
      <c r="AK81" s="187"/>
      <c r="AL81" s="187"/>
      <c r="AM81" s="187"/>
      <c r="AN81" s="187"/>
    </row>
    <row r="82" ht="19.5" hidden="1" customHeight="1">
      <c r="A82" s="186">
        <v>63.0</v>
      </c>
      <c r="B82" s="57" t="str">
        <f>IF(ISERROR(VLOOKUP($D$4&amp;$E$4&amp;$A82,'Lista General'!$B$4:$C$723,2,0)),"",VLOOKUP($D$4&amp;$E$4&amp;$A82,'Lista General'!$B$4:$C$723,2,0))</f>
        <v/>
      </c>
      <c r="C82" s="188"/>
      <c r="D82" s="188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189"/>
      <c r="AI82" s="187"/>
      <c r="AJ82" s="187"/>
      <c r="AK82" s="187"/>
      <c r="AL82" s="187"/>
      <c r="AM82" s="187"/>
      <c r="AN82" s="187"/>
    </row>
    <row r="83" ht="19.5" hidden="1" customHeight="1">
      <c r="A83" s="186">
        <v>64.0</v>
      </c>
      <c r="B83" s="57" t="str">
        <f>IF(ISERROR(VLOOKUP($D$4&amp;$E$4&amp;$A83,'Lista General'!$B$4:$C$723,2,0)),"",VLOOKUP($D$4&amp;$E$4&amp;$A83,'Lista General'!$B$4:$C$723,2,0))</f>
        <v/>
      </c>
      <c r="C83" s="188"/>
      <c r="D83" s="188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189"/>
      <c r="AI83" s="187"/>
      <c r="AJ83" s="187"/>
      <c r="AK83" s="187"/>
      <c r="AL83" s="187"/>
      <c r="AM83" s="187"/>
      <c r="AN83" s="187"/>
    </row>
    <row r="84" ht="19.5" hidden="1" customHeight="1">
      <c r="A84" s="186">
        <v>65.0</v>
      </c>
      <c r="B84" s="57" t="str">
        <f>IF(ISERROR(VLOOKUP($D$4&amp;$E$4&amp;$A84,'Lista General'!$B$4:$C$723,2,0)),"",VLOOKUP($D$4&amp;$E$4&amp;$A84,'Lista General'!$B$4:$C$723,2,0))</f>
        <v/>
      </c>
      <c r="C84" s="188"/>
      <c r="D84" s="188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189"/>
      <c r="AI84" s="187"/>
      <c r="AJ84" s="187"/>
      <c r="AK84" s="187"/>
      <c r="AL84" s="187"/>
      <c r="AM84" s="187"/>
      <c r="AN84" s="187"/>
    </row>
    <row r="85" ht="19.5" hidden="1" customHeight="1">
      <c r="A85" s="186">
        <v>66.0</v>
      </c>
      <c r="B85" s="57" t="str">
        <f>IF(ISERROR(VLOOKUP($D$4&amp;$E$4&amp;$A85,'Lista General'!$B$4:$C$723,2,0)),"",VLOOKUP($D$4&amp;$E$4&amp;$A85,'Lista General'!$B$4:$C$723,2,0))</f>
        <v/>
      </c>
      <c r="C85" s="188"/>
      <c r="D85" s="188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189"/>
      <c r="AI85" s="187"/>
      <c r="AJ85" s="187"/>
      <c r="AK85" s="187"/>
      <c r="AL85" s="187"/>
      <c r="AM85" s="187"/>
      <c r="AN85" s="187"/>
    </row>
    <row r="86" ht="19.5" hidden="1" customHeight="1">
      <c r="A86" s="186">
        <v>67.0</v>
      </c>
      <c r="B86" s="57" t="str">
        <f>IF(ISERROR(VLOOKUP($D$4&amp;$E$4&amp;$A86,'Lista General'!$B$4:$C$723,2,0)),"",VLOOKUP($D$4&amp;$E$4&amp;$A86,'Lista General'!$B$4:$C$723,2,0))</f>
        <v/>
      </c>
      <c r="C86" s="188"/>
      <c r="D86" s="188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189"/>
      <c r="AI86" s="187"/>
      <c r="AJ86" s="187"/>
      <c r="AK86" s="187"/>
      <c r="AL86" s="187"/>
      <c r="AM86" s="187"/>
      <c r="AN86" s="187"/>
    </row>
    <row r="87" ht="19.5" hidden="1" customHeight="1">
      <c r="A87" s="186">
        <v>68.0</v>
      </c>
      <c r="B87" s="57" t="str">
        <f>IF(ISERROR(VLOOKUP($D$4&amp;$E$4&amp;$A87,'Lista General'!$B$4:$C$723,2,0)),"",VLOOKUP($D$4&amp;$E$4&amp;$A87,'Lista General'!$B$4:$C$723,2,0))</f>
        <v/>
      </c>
      <c r="C87" s="188"/>
      <c r="D87" s="188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189"/>
      <c r="AI87" s="187"/>
      <c r="AJ87" s="187"/>
      <c r="AK87" s="187"/>
      <c r="AL87" s="187"/>
      <c r="AM87" s="187"/>
      <c r="AN87" s="187"/>
    </row>
    <row r="88" ht="19.5" hidden="1" customHeight="1">
      <c r="A88" s="186">
        <v>69.0</v>
      </c>
      <c r="B88" s="57" t="str">
        <f>IF(ISERROR(VLOOKUP($D$4&amp;$E$4&amp;$A88,'Lista General'!$B$4:$C$723,2,0)),"",VLOOKUP($D$4&amp;$E$4&amp;$A88,'Lista General'!$B$4:$C$723,2,0))</f>
        <v/>
      </c>
      <c r="C88" s="188"/>
      <c r="D88" s="188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189"/>
      <c r="AI88" s="187"/>
      <c r="AJ88" s="187"/>
      <c r="AK88" s="187"/>
      <c r="AL88" s="187"/>
      <c r="AM88" s="187"/>
      <c r="AN88" s="187"/>
    </row>
    <row r="89" ht="19.5" hidden="1" customHeight="1">
      <c r="A89" s="186">
        <v>70.0</v>
      </c>
      <c r="B89" s="57" t="str">
        <f>IF(ISERROR(VLOOKUP($D$4&amp;$E$4&amp;$A89,'Lista General'!$B$4:$C$723,2,0)),"",VLOOKUP($D$4&amp;$E$4&amp;$A89,'Lista General'!$B$4:$C$723,2,0))</f>
        <v/>
      </c>
      <c r="C89" s="188"/>
      <c r="D89" s="188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189"/>
      <c r="AI89" s="187"/>
      <c r="AJ89" s="187"/>
      <c r="AK89" s="187"/>
      <c r="AL89" s="187"/>
      <c r="AM89" s="187"/>
      <c r="AN89" s="187"/>
    </row>
    <row r="90" ht="19.5" hidden="1" customHeight="1">
      <c r="A90" s="186">
        <v>71.0</v>
      </c>
      <c r="B90" s="57" t="str">
        <f>IF(ISERROR(VLOOKUP($D$4&amp;$E$4&amp;$A90,'Lista General'!$B$4:$C$723,2,0)),"",VLOOKUP($D$4&amp;$E$4&amp;$A90,'Lista General'!$B$4:$C$723,2,0))</f>
        <v/>
      </c>
      <c r="C90" s="188"/>
      <c r="D90" s="188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189"/>
      <c r="AI90" s="187"/>
      <c r="AJ90" s="187"/>
      <c r="AK90" s="187"/>
      <c r="AL90" s="187"/>
      <c r="AM90" s="187"/>
      <c r="AN90" s="187"/>
    </row>
    <row r="91" ht="19.5" hidden="1" customHeight="1">
      <c r="A91" s="186">
        <v>72.0</v>
      </c>
      <c r="B91" s="57" t="str">
        <f>IF(ISERROR(VLOOKUP($D$4&amp;$E$4&amp;$A91,'Lista General'!$B$4:$C$723,2,0)),"",VLOOKUP($D$4&amp;$E$4&amp;$A91,'Lista General'!$B$4:$C$723,2,0))</f>
        <v/>
      </c>
      <c r="C91" s="188"/>
      <c r="D91" s="188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189"/>
      <c r="AI91" s="187"/>
      <c r="AJ91" s="187"/>
      <c r="AK91" s="187"/>
      <c r="AL91" s="187"/>
      <c r="AM91" s="187"/>
      <c r="AN91" s="187"/>
    </row>
    <row r="92" ht="19.5" hidden="1" customHeight="1">
      <c r="A92" s="186">
        <v>73.0</v>
      </c>
      <c r="B92" s="57" t="str">
        <f>IF(ISERROR(VLOOKUP($D$4&amp;$E$4&amp;$A92,'Lista General'!$B$4:$C$723,2,0)),"",VLOOKUP($D$4&amp;$E$4&amp;$A92,'Lista General'!$B$4:$C$723,2,0))</f>
        <v/>
      </c>
      <c r="C92" s="188"/>
      <c r="D92" s="188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189"/>
      <c r="AI92" s="187"/>
      <c r="AJ92" s="187"/>
      <c r="AK92" s="187"/>
      <c r="AL92" s="187"/>
      <c r="AM92" s="187"/>
      <c r="AN92" s="187"/>
    </row>
    <row r="93" ht="19.5" hidden="1" customHeight="1">
      <c r="A93" s="186">
        <v>74.0</v>
      </c>
      <c r="B93" s="57" t="str">
        <f>IF(ISERROR(VLOOKUP($D$4&amp;$E$4&amp;$A93,'Lista General'!$B$4:$C$723,2,0)),"",VLOOKUP($D$4&amp;$E$4&amp;$A93,'Lista General'!$B$4:$C$723,2,0))</f>
        <v/>
      </c>
      <c r="C93" s="188"/>
      <c r="D93" s="188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189"/>
      <c r="AI93" s="187"/>
      <c r="AJ93" s="187"/>
      <c r="AK93" s="187"/>
      <c r="AL93" s="187"/>
      <c r="AM93" s="187"/>
      <c r="AN93" s="187"/>
    </row>
    <row r="94" ht="19.5" hidden="1" customHeight="1">
      <c r="A94" s="186">
        <v>75.0</v>
      </c>
      <c r="B94" s="57" t="str">
        <f>IF(ISERROR(VLOOKUP($D$4&amp;$E$4&amp;$A94,'Lista General'!$B$4:$C$723,2,0)),"",VLOOKUP($D$4&amp;$E$4&amp;$A94,'Lista General'!$B$4:$C$723,2,0))</f>
        <v/>
      </c>
      <c r="C94" s="188"/>
      <c r="D94" s="188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189"/>
      <c r="AI94" s="187"/>
      <c r="AJ94" s="187"/>
      <c r="AK94" s="187"/>
      <c r="AL94" s="187"/>
      <c r="AM94" s="187"/>
      <c r="AN94" s="187"/>
    </row>
    <row r="95" ht="19.5" hidden="1" customHeight="1">
      <c r="A95" s="186">
        <v>76.0</v>
      </c>
      <c r="B95" s="57" t="str">
        <f>IF(ISERROR(VLOOKUP($D$4&amp;$E$4&amp;$A95,'Lista General'!$B$4:$C$723,2,0)),"",VLOOKUP($D$4&amp;$E$4&amp;$A95,'Lista General'!$B$4:$C$723,2,0))</f>
        <v/>
      </c>
      <c r="C95" s="188"/>
      <c r="D95" s="188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189"/>
      <c r="AI95" s="187"/>
      <c r="AJ95" s="187"/>
      <c r="AK95" s="187"/>
      <c r="AL95" s="187"/>
      <c r="AM95" s="187"/>
      <c r="AN95" s="187"/>
    </row>
    <row r="96" ht="19.5" hidden="1" customHeight="1">
      <c r="A96" s="186">
        <v>77.0</v>
      </c>
      <c r="B96" s="57" t="str">
        <f>IF(ISERROR(VLOOKUP($D$4&amp;$E$4&amp;$A96,'Lista General'!$B$4:$C$723,2,0)),"",VLOOKUP($D$4&amp;$E$4&amp;$A96,'Lista General'!$B$4:$C$723,2,0))</f>
        <v/>
      </c>
      <c r="C96" s="188"/>
      <c r="D96" s="188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189"/>
      <c r="AI96" s="187"/>
      <c r="AJ96" s="187"/>
      <c r="AK96" s="187"/>
      <c r="AL96" s="187"/>
      <c r="AM96" s="187"/>
      <c r="AN96" s="187"/>
    </row>
    <row r="97" ht="19.5" hidden="1" customHeight="1">
      <c r="A97" s="186">
        <v>78.0</v>
      </c>
      <c r="B97" s="57" t="str">
        <f>IF(ISERROR(VLOOKUP($D$4&amp;$E$4&amp;$A97,'Lista General'!$B$4:$C$723,2,0)),"",VLOOKUP($D$4&amp;$E$4&amp;$A97,'Lista General'!$B$4:$C$723,2,0))</f>
        <v/>
      </c>
      <c r="C97" s="188"/>
      <c r="D97" s="188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189"/>
      <c r="AI97" s="187"/>
      <c r="AJ97" s="187"/>
      <c r="AK97" s="187"/>
      <c r="AL97" s="187"/>
      <c r="AM97" s="187"/>
      <c r="AN97" s="187"/>
    </row>
    <row r="98" ht="19.5" hidden="1" customHeight="1">
      <c r="A98" s="186">
        <v>79.0</v>
      </c>
      <c r="B98" s="57" t="str">
        <f>IF(ISERROR(VLOOKUP($D$4&amp;$E$4&amp;$A98,'Lista General'!$B$4:$C$723,2,0)),"",VLOOKUP($D$4&amp;$E$4&amp;$A98,'Lista General'!$B$4:$C$723,2,0))</f>
        <v/>
      </c>
      <c r="C98" s="188"/>
      <c r="D98" s="188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189"/>
      <c r="AI98" s="187"/>
      <c r="AJ98" s="187"/>
      <c r="AK98" s="187"/>
      <c r="AL98" s="187"/>
      <c r="AM98" s="187"/>
      <c r="AN98" s="187"/>
    </row>
    <row r="99" ht="19.5" hidden="1" customHeight="1">
      <c r="A99" s="186">
        <v>80.0</v>
      </c>
      <c r="B99" s="57" t="str">
        <f>IF(ISERROR(VLOOKUP($D$4&amp;$E$4&amp;$A99,'Lista General'!$B$4:$C$723,2,0)),"",VLOOKUP($D$4&amp;$E$4&amp;$A99,'Lista General'!$B$4:$C$723,2,0))</f>
        <v/>
      </c>
      <c r="C99" s="188"/>
      <c r="D99" s="188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189"/>
      <c r="AI99" s="187"/>
      <c r="AJ99" s="187"/>
      <c r="AK99" s="187"/>
      <c r="AL99" s="187"/>
      <c r="AM99" s="187"/>
      <c r="AN99" s="187"/>
    </row>
    <row r="100" ht="19.5" hidden="1" customHeight="1">
      <c r="A100" s="186">
        <v>81.0</v>
      </c>
      <c r="B100" s="57" t="str">
        <f>IF(ISERROR(VLOOKUP($D$4&amp;$E$4&amp;$A100,'Lista General'!$B$4:$C$723,2,0)),"",VLOOKUP($D$4&amp;$E$4&amp;$A100,'Lista General'!$B$4:$C$723,2,0))</f>
        <v/>
      </c>
      <c r="C100" s="188"/>
      <c r="D100" s="188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189"/>
      <c r="AI100" s="187"/>
      <c r="AJ100" s="187"/>
      <c r="AK100" s="187"/>
      <c r="AL100" s="187"/>
      <c r="AM100" s="187"/>
      <c r="AN100" s="187"/>
    </row>
    <row r="101" ht="19.5" hidden="1" customHeight="1">
      <c r="A101" s="186">
        <v>82.0</v>
      </c>
      <c r="B101" s="57" t="str">
        <f>IF(ISERROR(VLOOKUP($D$4&amp;$E$4&amp;$A101,'Lista General'!$B$4:$C$723,2,0)),"",VLOOKUP($D$4&amp;$E$4&amp;$A101,'Lista General'!$B$4:$C$723,2,0))</f>
        <v/>
      </c>
      <c r="C101" s="188"/>
      <c r="D101" s="188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189"/>
      <c r="AI101" s="187"/>
      <c r="AJ101" s="187"/>
      <c r="AK101" s="187"/>
      <c r="AL101" s="187"/>
      <c r="AM101" s="187"/>
      <c r="AN101" s="187"/>
    </row>
    <row r="102" ht="19.5" hidden="1" customHeight="1">
      <c r="A102" s="186">
        <v>83.0</v>
      </c>
      <c r="B102" s="57" t="str">
        <f>IF(ISERROR(VLOOKUP($D$4&amp;$E$4&amp;$A102,'Lista General'!$B$4:$C$723,2,0)),"",VLOOKUP($D$4&amp;$E$4&amp;$A102,'Lista General'!$B$4:$C$723,2,0))</f>
        <v/>
      </c>
      <c r="C102" s="188"/>
      <c r="D102" s="188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189"/>
      <c r="AI102" s="187"/>
      <c r="AJ102" s="187"/>
      <c r="AK102" s="187"/>
      <c r="AL102" s="187"/>
      <c r="AM102" s="187"/>
      <c r="AN102" s="187"/>
    </row>
    <row r="103" ht="19.5" hidden="1" customHeight="1">
      <c r="A103" s="186">
        <v>84.0</v>
      </c>
      <c r="B103" s="57" t="str">
        <f>IF(ISERROR(VLOOKUP($D$4&amp;$E$4&amp;$A103,'Lista General'!$B$4:$C$723,2,0)),"",VLOOKUP($D$4&amp;$E$4&amp;$A103,'Lista General'!$B$4:$C$723,2,0))</f>
        <v/>
      </c>
      <c r="C103" s="188"/>
      <c r="D103" s="188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189"/>
      <c r="AI103" s="187"/>
      <c r="AJ103" s="187"/>
      <c r="AK103" s="187"/>
      <c r="AL103" s="187"/>
      <c r="AM103" s="187"/>
      <c r="AN103" s="187"/>
    </row>
    <row r="104" ht="19.5" hidden="1" customHeight="1">
      <c r="A104" s="186">
        <v>85.0</v>
      </c>
      <c r="B104" s="57" t="str">
        <f>IF(ISERROR(VLOOKUP($D$4&amp;$E$4&amp;$A104,'Lista General'!$B$4:$C$723,2,0)),"",VLOOKUP($D$4&amp;$E$4&amp;$A104,'Lista General'!$B$4:$C$723,2,0))</f>
        <v/>
      </c>
      <c r="C104" s="188"/>
      <c r="D104" s="188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189"/>
      <c r="AI104" s="187"/>
      <c r="AJ104" s="187"/>
      <c r="AK104" s="187"/>
      <c r="AL104" s="187"/>
      <c r="AM104" s="187"/>
      <c r="AN104" s="187"/>
    </row>
    <row r="105" ht="19.5" hidden="1" customHeight="1">
      <c r="A105" s="186">
        <v>86.0</v>
      </c>
      <c r="B105" s="57" t="str">
        <f>IF(ISERROR(VLOOKUP($D$4&amp;$E$4&amp;$A105,'Lista General'!$B$4:$C$723,2,0)),"",VLOOKUP($D$4&amp;$E$4&amp;$A105,'Lista General'!$B$4:$C$723,2,0))</f>
        <v/>
      </c>
      <c r="C105" s="188"/>
      <c r="D105" s="188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189"/>
      <c r="AI105" s="187"/>
      <c r="AJ105" s="187"/>
      <c r="AK105" s="187"/>
      <c r="AL105" s="187"/>
      <c r="AM105" s="187"/>
      <c r="AN105" s="187"/>
    </row>
    <row r="106" ht="19.5" hidden="1" customHeight="1">
      <c r="A106" s="186">
        <v>87.0</v>
      </c>
      <c r="B106" s="57" t="str">
        <f>IF(ISERROR(VLOOKUP($D$4&amp;$E$4&amp;$A106,'Lista General'!$B$4:$C$723,2,0)),"",VLOOKUP($D$4&amp;$E$4&amp;$A106,'Lista General'!$B$4:$C$723,2,0))</f>
        <v/>
      </c>
      <c r="C106" s="188"/>
      <c r="D106" s="188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189"/>
      <c r="AI106" s="187"/>
      <c r="AJ106" s="187"/>
      <c r="AK106" s="187"/>
      <c r="AL106" s="187"/>
      <c r="AM106" s="187"/>
      <c r="AN106" s="187"/>
    </row>
    <row r="107" ht="19.5" hidden="1" customHeight="1">
      <c r="A107" s="186">
        <v>88.0</v>
      </c>
      <c r="B107" s="57" t="str">
        <f>IF(ISERROR(VLOOKUP($D$4&amp;$E$4&amp;$A107,'Lista General'!$B$4:$C$723,2,0)),"",VLOOKUP($D$4&amp;$E$4&amp;$A107,'Lista General'!$B$4:$C$723,2,0))</f>
        <v/>
      </c>
      <c r="C107" s="188"/>
      <c r="D107" s="188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189"/>
      <c r="AI107" s="187"/>
      <c r="AJ107" s="187"/>
      <c r="AK107" s="187"/>
      <c r="AL107" s="187"/>
      <c r="AM107" s="187"/>
      <c r="AN107" s="187"/>
    </row>
    <row r="108" ht="19.5" hidden="1" customHeight="1">
      <c r="A108" s="186">
        <v>89.0</v>
      </c>
      <c r="B108" s="57" t="str">
        <f>IF(ISERROR(VLOOKUP($D$4&amp;$E$4&amp;$A108,'Lista General'!$B$4:$C$723,2,0)),"",VLOOKUP($D$4&amp;$E$4&amp;$A108,'Lista General'!$B$4:$C$723,2,0))</f>
        <v/>
      </c>
      <c r="C108" s="188"/>
      <c r="D108" s="188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189"/>
      <c r="AI108" s="187"/>
      <c r="AJ108" s="187"/>
      <c r="AK108" s="187"/>
      <c r="AL108" s="187"/>
      <c r="AM108" s="187"/>
      <c r="AN108" s="187"/>
    </row>
    <row r="109" ht="19.5" hidden="1" customHeight="1">
      <c r="A109" s="186">
        <v>90.0</v>
      </c>
      <c r="B109" s="57" t="str">
        <f>IF(ISERROR(VLOOKUP($D$4&amp;$E$4&amp;$A109,'Lista General'!$B$4:$C$723,2,0)),"",VLOOKUP($D$4&amp;$E$4&amp;$A109,'Lista General'!$B$4:$C$723,2,0))</f>
        <v/>
      </c>
      <c r="C109" s="188"/>
      <c r="D109" s="188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189"/>
      <c r="AI109" s="187"/>
      <c r="AJ109" s="187"/>
      <c r="AK109" s="187"/>
      <c r="AL109" s="187"/>
      <c r="AM109" s="187"/>
      <c r="AN109" s="187"/>
    </row>
    <row r="110" ht="19.5" hidden="1" customHeight="1">
      <c r="A110" s="186">
        <v>91.0</v>
      </c>
      <c r="B110" s="57" t="str">
        <f>IF(ISERROR(VLOOKUP($D$4&amp;$E$4&amp;$A110,'Lista General'!$B$4:$C$723,2,0)),"",VLOOKUP($D$4&amp;$E$4&amp;$A110,'Lista General'!$B$4:$C$723,2,0))</f>
        <v/>
      </c>
      <c r="C110" s="188"/>
      <c r="D110" s="188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189"/>
      <c r="AI110" s="187"/>
      <c r="AJ110" s="187"/>
      <c r="AK110" s="187"/>
      <c r="AL110" s="187"/>
      <c r="AM110" s="187"/>
      <c r="AN110" s="187"/>
    </row>
    <row r="111" ht="19.5" hidden="1" customHeight="1">
      <c r="A111" s="186">
        <v>92.0</v>
      </c>
      <c r="B111" s="57" t="str">
        <f>IF(ISERROR(VLOOKUP($D$4&amp;$E$4&amp;$A111,'Lista General'!$B$4:$C$723,2,0)),"",VLOOKUP($D$4&amp;$E$4&amp;$A111,'Lista General'!$B$4:$C$723,2,0))</f>
        <v/>
      </c>
      <c r="C111" s="188"/>
      <c r="D111" s="188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189"/>
      <c r="AI111" s="187"/>
      <c r="AJ111" s="187"/>
      <c r="AK111" s="187"/>
      <c r="AL111" s="187"/>
      <c r="AM111" s="187"/>
      <c r="AN111" s="187"/>
    </row>
    <row r="112" ht="19.5" hidden="1" customHeight="1">
      <c r="A112" s="186">
        <v>93.0</v>
      </c>
      <c r="B112" s="57" t="str">
        <f>IF(ISERROR(VLOOKUP($D$4&amp;$E$4&amp;$A112,'Lista General'!$B$4:$C$723,2,0)),"",VLOOKUP($D$4&amp;$E$4&amp;$A112,'Lista General'!$B$4:$C$723,2,0))</f>
        <v/>
      </c>
      <c r="C112" s="188"/>
      <c r="D112" s="188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189"/>
      <c r="AI112" s="187"/>
      <c r="AJ112" s="187"/>
      <c r="AK112" s="187"/>
      <c r="AL112" s="187"/>
      <c r="AM112" s="187"/>
      <c r="AN112" s="187"/>
    </row>
    <row r="113" ht="19.5" hidden="1" customHeight="1">
      <c r="A113" s="186">
        <v>94.0</v>
      </c>
      <c r="B113" s="57" t="str">
        <f>IF(ISERROR(VLOOKUP($D$4&amp;$E$4&amp;$A113,'Lista General'!$B$4:$C$723,2,0)),"",VLOOKUP($D$4&amp;$E$4&amp;$A113,'Lista General'!$B$4:$C$723,2,0))</f>
        <v/>
      </c>
      <c r="C113" s="188"/>
      <c r="D113" s="188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189"/>
      <c r="AI113" s="187"/>
      <c r="AJ113" s="187"/>
      <c r="AK113" s="187"/>
      <c r="AL113" s="187"/>
      <c r="AM113" s="187"/>
      <c r="AN113" s="187"/>
    </row>
    <row r="114" ht="19.5" hidden="1" customHeight="1">
      <c r="A114" s="186">
        <v>95.0</v>
      </c>
      <c r="B114" s="57" t="str">
        <f>IF(ISERROR(VLOOKUP($D$4&amp;$E$4&amp;$A114,'Lista General'!$B$4:$C$723,2,0)),"",VLOOKUP($D$4&amp;$E$4&amp;$A114,'Lista General'!$B$4:$C$723,2,0))</f>
        <v/>
      </c>
      <c r="C114" s="188"/>
      <c r="D114" s="188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189"/>
      <c r="AI114" s="187"/>
      <c r="AJ114" s="187"/>
      <c r="AK114" s="187"/>
      <c r="AL114" s="187"/>
      <c r="AM114" s="187"/>
      <c r="AN114" s="187"/>
    </row>
    <row r="115" ht="19.5" hidden="1" customHeight="1">
      <c r="A115" s="186">
        <v>96.0</v>
      </c>
      <c r="B115" s="57" t="str">
        <f>IF(ISERROR(VLOOKUP($D$4&amp;$E$4&amp;$A115,'Lista General'!$B$4:$C$723,2,0)),"",VLOOKUP($D$4&amp;$E$4&amp;$A115,'Lista General'!$B$4:$C$723,2,0))</f>
        <v/>
      </c>
      <c r="C115" s="188"/>
      <c r="D115" s="188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189"/>
      <c r="AI115" s="187"/>
      <c r="AJ115" s="187"/>
      <c r="AK115" s="187"/>
      <c r="AL115" s="187"/>
      <c r="AM115" s="187"/>
      <c r="AN115" s="187"/>
    </row>
    <row r="116" ht="19.5" hidden="1" customHeight="1">
      <c r="A116" s="186">
        <v>97.0</v>
      </c>
      <c r="B116" s="57" t="str">
        <f>IF(ISERROR(VLOOKUP($D$4&amp;$E$4&amp;$A116,'Lista General'!$B$4:$C$723,2,0)),"",VLOOKUP($D$4&amp;$E$4&amp;$A116,'Lista General'!$B$4:$C$723,2,0))</f>
        <v/>
      </c>
      <c r="C116" s="188"/>
      <c r="D116" s="188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189"/>
      <c r="AI116" s="187"/>
      <c r="AJ116" s="187"/>
      <c r="AK116" s="187"/>
      <c r="AL116" s="187"/>
      <c r="AM116" s="187"/>
      <c r="AN116" s="187"/>
    </row>
    <row r="117" ht="19.5" hidden="1" customHeight="1">
      <c r="A117" s="186">
        <v>98.0</v>
      </c>
      <c r="B117" s="57" t="str">
        <f>IF(ISERROR(VLOOKUP($D$4&amp;$E$4&amp;$A117,'Lista General'!$B$4:$C$723,2,0)),"",VLOOKUP($D$4&amp;$E$4&amp;$A117,'Lista General'!$B$4:$C$723,2,0))</f>
        <v/>
      </c>
      <c r="C117" s="188"/>
      <c r="D117" s="188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189"/>
      <c r="AI117" s="187"/>
      <c r="AJ117" s="187"/>
      <c r="AK117" s="187"/>
      <c r="AL117" s="187"/>
      <c r="AM117" s="187"/>
      <c r="AN117" s="187"/>
    </row>
    <row r="118" ht="19.5" hidden="1" customHeight="1">
      <c r="A118" s="186">
        <v>99.0</v>
      </c>
      <c r="B118" s="57" t="str">
        <f>IF(ISERROR(VLOOKUP($D$4&amp;$E$4&amp;$A118,'Lista General'!$B$4:$C$723,2,0)),"",VLOOKUP($D$4&amp;$E$4&amp;$A118,'Lista General'!$B$4:$C$723,2,0))</f>
        <v/>
      </c>
      <c r="C118" s="188"/>
      <c r="D118" s="188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189"/>
      <c r="AI118" s="187"/>
      <c r="AJ118" s="187"/>
      <c r="AK118" s="187"/>
      <c r="AL118" s="187"/>
      <c r="AM118" s="187"/>
      <c r="AN118" s="187"/>
    </row>
    <row r="119" ht="19.5" hidden="1" customHeight="1">
      <c r="A119" s="186">
        <v>100.0</v>
      </c>
      <c r="B119" s="57" t="str">
        <f>IF(ISERROR(VLOOKUP($D$4&amp;$E$4&amp;$A119,'Lista General'!$B$4:$C$723,2,0)),"",VLOOKUP($D$4&amp;$E$4&amp;$A119,'Lista General'!$B$4:$C$723,2,0))</f>
        <v/>
      </c>
      <c r="C119" s="188"/>
      <c r="D119" s="188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189"/>
      <c r="AI119" s="187"/>
      <c r="AJ119" s="187"/>
      <c r="AK119" s="187"/>
      <c r="AL119" s="187"/>
      <c r="AM119" s="187"/>
      <c r="AN119" s="187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</row>
  </sheetData>
  <autoFilter ref="$B$19:$B$119">
    <filterColumn colId="0">
      <customFilters>
        <customFilter operator="notEqual" val=" "/>
      </customFilters>
    </filterColumn>
  </autoFilter>
  <mergeCells count="9">
    <mergeCell ref="A17:AN17"/>
    <mergeCell ref="AI18:AN18"/>
    <mergeCell ref="A1:B4"/>
    <mergeCell ref="AI1:AN4"/>
    <mergeCell ref="F4:AC4"/>
    <mergeCell ref="A6:AG6"/>
    <mergeCell ref="AI6:AN7"/>
    <mergeCell ref="A7:B12"/>
    <mergeCell ref="A18:A19"/>
  </mergeCells>
  <conditionalFormatting sqref="A20:A119">
    <cfRule type="expression" dxfId="0" priority="1">
      <formula>AND(B20&lt;&gt;"",B21="")</formula>
    </cfRule>
  </conditionalFormatting>
  <conditionalFormatting sqref="A20:AG119 AI20:AN119">
    <cfRule type="expression" dxfId="1" priority="2">
      <formula>AND($D$4&lt;&gt;"H",ISEVEN($A20))</formula>
    </cfRule>
  </conditionalFormatting>
  <conditionalFormatting sqref="A20:AG119 AI20:AN119">
    <cfRule type="expression" dxfId="2" priority="3">
      <formula>AND($D$4="H",ISEVEN($A20))</formula>
    </cfRule>
  </conditionalFormatting>
  <conditionalFormatting sqref="C9:AG11">
    <cfRule type="expression" dxfId="3" priority="4">
      <formula>OR(C$7="D",C$7="J")</formula>
    </cfRule>
  </conditionalFormatting>
  <conditionalFormatting sqref="C12:AG12">
    <cfRule type="expression" dxfId="4" priority="5">
      <formula>OR(C$7="D",C$7="J")</formula>
    </cfRule>
  </conditionalFormatting>
  <conditionalFormatting sqref="F4:AC4">
    <cfRule type="expression" dxfId="5" priority="6">
      <formula>$D$4="H"</formula>
    </cfRule>
  </conditionalFormatting>
  <conditionalFormatting sqref="F4:AC4">
    <cfRule type="expression" dxfId="6" priority="7">
      <formula>$D$4&lt;&gt;"H"</formula>
    </cfRule>
  </conditionalFormatting>
  <dataValidations>
    <dataValidation type="list" allowBlank="1" showErrorMessage="1" sqref="E4">
      <formula1>CVE</formula1>
    </dataValidation>
    <dataValidation type="list" allowBlank="1" showErrorMessage="1" sqref="D4">
      <formula1>"H,M"</formula1>
    </dataValidation>
  </dataValidations>
  <printOptions horizontalCentered="1"/>
  <pageMargins bottom="0.15748031496062992" footer="0.0" header="0.0" left="0.2362204724409449" right="0.2362204724409449" top="0.39370078740157477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.71"/>
    <col customWidth="1" min="2" max="2" width="36.57"/>
    <col customWidth="1" min="3" max="12" width="7.71"/>
    <col customWidth="1" min="13" max="13" width="8.71"/>
    <col customWidth="1" min="14" max="26" width="10.71"/>
  </cols>
  <sheetData>
    <row r="1">
      <c r="A1" s="35"/>
      <c r="B1" s="190"/>
      <c r="C1" s="191" t="s">
        <v>2194</v>
      </c>
      <c r="K1" s="192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5"/>
      <c r="B2" s="190"/>
      <c r="C2" s="193" t="s">
        <v>2195</v>
      </c>
      <c r="K2" s="192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/>
      <c r="B3" s="194"/>
      <c r="C3" s="194"/>
      <c r="D3" s="35"/>
      <c r="E3" s="195" t="s">
        <v>2196</v>
      </c>
      <c r="F3" s="196">
        <v>43221.0</v>
      </c>
      <c r="G3" s="25"/>
      <c r="H3" s="25"/>
      <c r="I3" s="2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94"/>
      <c r="B4" s="197" t="str">
        <f>IF(Asistencia!$D$4="H","RESPONSABLE DEL DÍA  HNO.","COORDINADORA  HNA.")</f>
        <v>RESPONSABLE DEL DÍA  HNO.</v>
      </c>
      <c r="C4" s="198" t="str">
        <f>UPPER(VLOOKUP(J4,Tablas!$B$3:$D$9,IF(Asistencia!$D$4="H",2,3),0))</f>
        <v>GOMEZ QUINTERO JESUS</v>
      </c>
      <c r="D4" s="199"/>
      <c r="E4" s="199"/>
      <c r="F4" s="199">
        <v>7.0</v>
      </c>
      <c r="G4" s="199"/>
      <c r="H4" s="35"/>
      <c r="I4" s="195" t="s">
        <v>2197</v>
      </c>
      <c r="J4" s="200" t="str">
        <f>VLOOKUP(Asistencia!$E$4,Tablas!$A$3:$B$9,2,0)</f>
        <v>JUEVES</v>
      </c>
      <c r="K4" s="201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202"/>
      <c r="B5" s="199"/>
      <c r="C5" s="203" t="s">
        <v>2198</v>
      </c>
      <c r="D5" s="204"/>
      <c r="E5" s="204"/>
      <c r="F5" s="204"/>
      <c r="G5" s="204"/>
      <c r="H5" s="204"/>
      <c r="I5" s="204"/>
      <c r="J5" s="204"/>
      <c r="K5" s="204"/>
      <c r="L5" s="20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8.0" customHeight="1">
      <c r="A6" s="206" t="s">
        <v>103</v>
      </c>
      <c r="B6" s="207" t="s">
        <v>2199</v>
      </c>
      <c r="C6" s="208"/>
      <c r="D6" s="209"/>
      <c r="E6" s="208"/>
      <c r="F6" s="209"/>
      <c r="G6" s="208"/>
      <c r="H6" s="209"/>
      <c r="I6" s="208"/>
      <c r="J6" s="209"/>
      <c r="K6" s="208"/>
      <c r="L6" s="209"/>
      <c r="M6" s="210" t="s">
        <v>2200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211"/>
      <c r="B7" s="212"/>
      <c r="C7" s="213" t="s">
        <v>2201</v>
      </c>
      <c r="D7" s="214" t="s">
        <v>2202</v>
      </c>
      <c r="E7" s="213" t="s">
        <v>2201</v>
      </c>
      <c r="F7" s="214" t="s">
        <v>2202</v>
      </c>
      <c r="G7" s="213" t="s">
        <v>2201</v>
      </c>
      <c r="H7" s="214" t="s">
        <v>2202</v>
      </c>
      <c r="I7" s="213" t="s">
        <v>2201</v>
      </c>
      <c r="J7" s="214" t="s">
        <v>2202</v>
      </c>
      <c r="K7" s="213" t="s">
        <v>2201</v>
      </c>
      <c r="L7" s="214" t="s">
        <v>2202</v>
      </c>
      <c r="M7" s="211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8.0" customHeight="1">
      <c r="A8" s="186">
        <f>Asistencia!A20</f>
        <v>1</v>
      </c>
      <c r="B8" s="57" t="str">
        <f>Asistencia!B20</f>
        <v/>
      </c>
      <c r="C8" s="215"/>
      <c r="D8" s="216"/>
      <c r="E8" s="215"/>
      <c r="F8" s="216"/>
      <c r="G8" s="215"/>
      <c r="H8" s="216"/>
      <c r="I8" s="215"/>
      <c r="J8" s="216"/>
      <c r="K8" s="215"/>
      <c r="L8" s="216"/>
      <c r="M8" s="217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8.0" customHeight="1">
      <c r="A9" s="186">
        <f>Asistencia!A21</f>
        <v>2</v>
      </c>
      <c r="B9" s="57" t="str">
        <f>Asistencia!B21</f>
        <v/>
      </c>
      <c r="C9" s="218"/>
      <c r="D9" s="219"/>
      <c r="E9" s="218"/>
      <c r="F9" s="219"/>
      <c r="G9" s="218"/>
      <c r="H9" s="219"/>
      <c r="I9" s="218"/>
      <c r="J9" s="219"/>
      <c r="K9" s="218"/>
      <c r="L9" s="219"/>
      <c r="M9" s="220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8.0" customHeight="1">
      <c r="A10" s="186">
        <f>Asistencia!A22</f>
        <v>3</v>
      </c>
      <c r="B10" s="57" t="str">
        <f>Asistencia!B22</f>
        <v/>
      </c>
      <c r="C10" s="218"/>
      <c r="D10" s="219"/>
      <c r="E10" s="221"/>
      <c r="F10" s="222"/>
      <c r="G10" s="221"/>
      <c r="H10" s="222"/>
      <c r="I10" s="221"/>
      <c r="J10" s="222"/>
      <c r="K10" s="221"/>
      <c r="L10" s="222"/>
      <c r="M10" s="223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8.0" customHeight="1">
      <c r="A11" s="186">
        <f>Asistencia!A23</f>
        <v>4</v>
      </c>
      <c r="B11" s="57" t="str">
        <f>Asistencia!B23</f>
        <v/>
      </c>
      <c r="C11" s="218"/>
      <c r="D11" s="219"/>
      <c r="E11" s="218"/>
      <c r="F11" s="219"/>
      <c r="G11" s="218"/>
      <c r="H11" s="219"/>
      <c r="I11" s="218"/>
      <c r="J11" s="219"/>
      <c r="K11" s="218"/>
      <c r="L11" s="219"/>
      <c r="M11" s="220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8.0" customHeight="1">
      <c r="A12" s="186">
        <f>Asistencia!A24</f>
        <v>5</v>
      </c>
      <c r="B12" s="57" t="str">
        <f>Asistencia!B24</f>
        <v/>
      </c>
      <c r="C12" s="221"/>
      <c r="D12" s="222"/>
      <c r="E12" s="221"/>
      <c r="F12" s="222"/>
      <c r="G12" s="221"/>
      <c r="H12" s="222"/>
      <c r="I12" s="221"/>
      <c r="J12" s="222"/>
      <c r="K12" s="221"/>
      <c r="L12" s="222"/>
      <c r="M12" s="223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8.0" customHeight="1">
      <c r="A13" s="186">
        <f>Asistencia!A25</f>
        <v>6</v>
      </c>
      <c r="B13" s="57" t="str">
        <f>Asistencia!B25</f>
        <v/>
      </c>
      <c r="C13" s="218"/>
      <c r="D13" s="219"/>
      <c r="E13" s="218"/>
      <c r="F13" s="219"/>
      <c r="G13" s="218"/>
      <c r="H13" s="219"/>
      <c r="I13" s="218"/>
      <c r="J13" s="219"/>
      <c r="K13" s="218"/>
      <c r="L13" s="219"/>
      <c r="M13" s="220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8.0" customHeight="1">
      <c r="A14" s="186">
        <f>Asistencia!A26</f>
        <v>7</v>
      </c>
      <c r="B14" s="57" t="str">
        <f>Asistencia!B26</f>
        <v/>
      </c>
      <c r="C14" s="221"/>
      <c r="D14" s="222"/>
      <c r="E14" s="221"/>
      <c r="F14" s="222"/>
      <c r="G14" s="221"/>
      <c r="H14" s="222"/>
      <c r="I14" s="221"/>
      <c r="J14" s="222"/>
      <c r="K14" s="221"/>
      <c r="L14" s="222"/>
      <c r="M14" s="223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8.0" customHeight="1">
      <c r="A15" s="186">
        <f>Asistencia!A27</f>
        <v>8</v>
      </c>
      <c r="B15" s="57" t="str">
        <f>Asistencia!B27</f>
        <v/>
      </c>
      <c r="C15" s="218"/>
      <c r="D15" s="219"/>
      <c r="E15" s="218"/>
      <c r="F15" s="219"/>
      <c r="G15" s="218"/>
      <c r="H15" s="219"/>
      <c r="I15" s="218"/>
      <c r="J15" s="219"/>
      <c r="K15" s="218"/>
      <c r="L15" s="219"/>
      <c r="M15" s="220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8.0" customHeight="1">
      <c r="A16" s="186">
        <f>Asistencia!A28</f>
        <v>9</v>
      </c>
      <c r="B16" s="57" t="str">
        <f>Asistencia!B28</f>
        <v/>
      </c>
      <c r="C16" s="221"/>
      <c r="D16" s="222"/>
      <c r="E16" s="221"/>
      <c r="F16" s="222"/>
      <c r="G16" s="221"/>
      <c r="H16" s="222"/>
      <c r="I16" s="221"/>
      <c r="J16" s="222"/>
      <c r="K16" s="221"/>
      <c r="L16" s="222"/>
      <c r="M16" s="223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8.0" customHeight="1">
      <c r="A17" s="186">
        <f>Asistencia!A29</f>
        <v>10</v>
      </c>
      <c r="B17" s="57" t="str">
        <f>Asistencia!B29</f>
        <v/>
      </c>
      <c r="C17" s="218"/>
      <c r="D17" s="219"/>
      <c r="E17" s="218"/>
      <c r="F17" s="219"/>
      <c r="G17" s="218"/>
      <c r="H17" s="219"/>
      <c r="I17" s="218"/>
      <c r="J17" s="219"/>
      <c r="K17" s="218"/>
      <c r="L17" s="219"/>
      <c r="M17" s="220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8.0" customHeight="1">
      <c r="A18" s="186">
        <f>Asistencia!A30</f>
        <v>11</v>
      </c>
      <c r="B18" s="57" t="str">
        <f>Asistencia!B30</f>
        <v/>
      </c>
      <c r="C18" s="221"/>
      <c r="D18" s="222"/>
      <c r="E18" s="221"/>
      <c r="F18" s="222"/>
      <c r="G18" s="221"/>
      <c r="H18" s="222"/>
      <c r="I18" s="221"/>
      <c r="J18" s="222"/>
      <c r="K18" s="221"/>
      <c r="L18" s="222"/>
      <c r="M18" s="223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8.0" customHeight="1">
      <c r="A19" s="186">
        <f>Asistencia!A31</f>
        <v>12</v>
      </c>
      <c r="B19" s="57" t="str">
        <f>Asistencia!B31</f>
        <v/>
      </c>
      <c r="C19" s="218"/>
      <c r="D19" s="219"/>
      <c r="E19" s="218"/>
      <c r="F19" s="219"/>
      <c r="G19" s="218"/>
      <c r="H19" s="219"/>
      <c r="I19" s="218"/>
      <c r="J19" s="219"/>
      <c r="K19" s="218"/>
      <c r="L19" s="219"/>
      <c r="M19" s="220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8.0" customHeight="1">
      <c r="A20" s="186">
        <f>Asistencia!A32</f>
        <v>13</v>
      </c>
      <c r="B20" s="57" t="str">
        <f>Asistencia!B32</f>
        <v/>
      </c>
      <c r="C20" s="221"/>
      <c r="D20" s="222"/>
      <c r="E20" s="221"/>
      <c r="F20" s="222"/>
      <c r="G20" s="221"/>
      <c r="H20" s="222"/>
      <c r="I20" s="221"/>
      <c r="J20" s="222"/>
      <c r="K20" s="221"/>
      <c r="L20" s="222"/>
      <c r="M20" s="223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8.0" customHeight="1">
      <c r="A21" s="186">
        <f>Asistencia!A33</f>
        <v>14</v>
      </c>
      <c r="B21" s="57" t="str">
        <f>Asistencia!B33</f>
        <v/>
      </c>
      <c r="C21" s="218"/>
      <c r="D21" s="219"/>
      <c r="E21" s="218"/>
      <c r="F21" s="219"/>
      <c r="G21" s="218"/>
      <c r="H21" s="219"/>
      <c r="I21" s="218"/>
      <c r="J21" s="219"/>
      <c r="K21" s="218"/>
      <c r="L21" s="219"/>
      <c r="M21" s="220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8.0" customHeight="1">
      <c r="A22" s="186">
        <f>Asistencia!A34</f>
        <v>15</v>
      </c>
      <c r="B22" s="57" t="str">
        <f>Asistencia!B34</f>
        <v/>
      </c>
      <c r="C22" s="221"/>
      <c r="D22" s="222"/>
      <c r="E22" s="221"/>
      <c r="F22" s="222"/>
      <c r="G22" s="221"/>
      <c r="H22" s="222"/>
      <c r="I22" s="221"/>
      <c r="J22" s="222"/>
      <c r="K22" s="221"/>
      <c r="L22" s="222"/>
      <c r="M22" s="223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8.0" customHeight="1">
      <c r="A23" s="186">
        <f>Asistencia!A35</f>
        <v>16</v>
      </c>
      <c r="B23" s="57" t="str">
        <f>Asistencia!B35</f>
        <v/>
      </c>
      <c r="C23" s="218"/>
      <c r="D23" s="219"/>
      <c r="E23" s="218"/>
      <c r="F23" s="219"/>
      <c r="G23" s="218"/>
      <c r="H23" s="219"/>
      <c r="I23" s="218"/>
      <c r="J23" s="219"/>
      <c r="K23" s="218"/>
      <c r="L23" s="219"/>
      <c r="M23" s="220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8.0" customHeight="1">
      <c r="A24" s="186">
        <f>Asistencia!A36</f>
        <v>17</v>
      </c>
      <c r="B24" s="57" t="str">
        <f>Asistencia!B36</f>
        <v/>
      </c>
      <c r="C24" s="221"/>
      <c r="D24" s="222"/>
      <c r="E24" s="221"/>
      <c r="F24" s="222"/>
      <c r="G24" s="221"/>
      <c r="H24" s="222"/>
      <c r="I24" s="221"/>
      <c r="J24" s="222"/>
      <c r="K24" s="221"/>
      <c r="L24" s="222"/>
      <c r="M24" s="223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8.0" customHeight="1">
      <c r="A25" s="186">
        <f>Asistencia!A37</f>
        <v>18</v>
      </c>
      <c r="B25" s="57" t="str">
        <f>Asistencia!B37</f>
        <v/>
      </c>
      <c r="C25" s="218"/>
      <c r="D25" s="219"/>
      <c r="E25" s="218"/>
      <c r="F25" s="219"/>
      <c r="G25" s="218"/>
      <c r="H25" s="219"/>
      <c r="I25" s="218"/>
      <c r="J25" s="219"/>
      <c r="K25" s="218"/>
      <c r="L25" s="219"/>
      <c r="M25" s="220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8.0" customHeight="1">
      <c r="A26" s="186">
        <f>Asistencia!A38</f>
        <v>19</v>
      </c>
      <c r="B26" s="57" t="str">
        <f>Asistencia!B38</f>
        <v/>
      </c>
      <c r="C26" s="221"/>
      <c r="D26" s="222"/>
      <c r="E26" s="221"/>
      <c r="F26" s="222"/>
      <c r="G26" s="221"/>
      <c r="H26" s="222"/>
      <c r="I26" s="221"/>
      <c r="J26" s="222"/>
      <c r="K26" s="221"/>
      <c r="L26" s="222"/>
      <c r="M26" s="223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8.0" customHeight="1">
      <c r="A27" s="186">
        <f>Asistencia!A39</f>
        <v>20</v>
      </c>
      <c r="B27" s="57" t="str">
        <f>Asistencia!B39</f>
        <v/>
      </c>
      <c r="C27" s="218"/>
      <c r="D27" s="219"/>
      <c r="E27" s="218"/>
      <c r="F27" s="219"/>
      <c r="G27" s="218"/>
      <c r="H27" s="219"/>
      <c r="I27" s="218"/>
      <c r="J27" s="219"/>
      <c r="K27" s="218"/>
      <c r="L27" s="219"/>
      <c r="M27" s="220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8.0" customHeight="1">
      <c r="A28" s="186">
        <f>Asistencia!A40</f>
        <v>21</v>
      </c>
      <c r="B28" s="57" t="str">
        <f>Asistencia!B40</f>
        <v/>
      </c>
      <c r="C28" s="221"/>
      <c r="D28" s="222"/>
      <c r="E28" s="221"/>
      <c r="F28" s="222"/>
      <c r="G28" s="221"/>
      <c r="H28" s="222"/>
      <c r="I28" s="221"/>
      <c r="J28" s="222"/>
      <c r="K28" s="221"/>
      <c r="L28" s="222"/>
      <c r="M28" s="223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8.0" customHeight="1">
      <c r="A29" s="186">
        <f>Asistencia!A41</f>
        <v>22</v>
      </c>
      <c r="B29" s="57" t="str">
        <f>Asistencia!B41</f>
        <v/>
      </c>
      <c r="C29" s="218"/>
      <c r="D29" s="219"/>
      <c r="E29" s="218"/>
      <c r="F29" s="219"/>
      <c r="G29" s="218"/>
      <c r="H29" s="219"/>
      <c r="I29" s="218"/>
      <c r="J29" s="219"/>
      <c r="K29" s="218"/>
      <c r="L29" s="219"/>
      <c r="M29" s="220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8.0" customHeight="1">
      <c r="A30" s="186">
        <f>Asistencia!A42</f>
        <v>23</v>
      </c>
      <c r="B30" s="57" t="str">
        <f>Asistencia!B42</f>
        <v/>
      </c>
      <c r="C30" s="218"/>
      <c r="D30" s="219"/>
      <c r="E30" s="221"/>
      <c r="F30" s="222"/>
      <c r="G30" s="221"/>
      <c r="H30" s="222"/>
      <c r="I30" s="221"/>
      <c r="J30" s="222"/>
      <c r="K30" s="221"/>
      <c r="L30" s="222"/>
      <c r="M30" s="223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8.0" customHeight="1">
      <c r="A31" s="186">
        <f>Asistencia!A43</f>
        <v>24</v>
      </c>
      <c r="B31" s="57" t="str">
        <f>Asistencia!B43</f>
        <v/>
      </c>
      <c r="C31" s="218"/>
      <c r="D31" s="219"/>
      <c r="E31" s="218"/>
      <c r="F31" s="219"/>
      <c r="G31" s="218"/>
      <c r="H31" s="219"/>
      <c r="I31" s="218"/>
      <c r="J31" s="219"/>
      <c r="K31" s="218"/>
      <c r="L31" s="219"/>
      <c r="M31" s="220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8.0" customHeight="1">
      <c r="A32" s="186">
        <f>Asistencia!A44</f>
        <v>25</v>
      </c>
      <c r="B32" s="57" t="str">
        <f>Asistencia!B44</f>
        <v/>
      </c>
      <c r="C32" s="218"/>
      <c r="D32" s="219"/>
      <c r="E32" s="221"/>
      <c r="F32" s="222"/>
      <c r="G32" s="221"/>
      <c r="H32" s="222"/>
      <c r="I32" s="221"/>
      <c r="J32" s="222"/>
      <c r="K32" s="221"/>
      <c r="L32" s="222"/>
      <c r="M32" s="223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8.0" customHeight="1">
      <c r="A33" s="186">
        <f>Asistencia!A45</f>
        <v>26</v>
      </c>
      <c r="B33" s="57" t="str">
        <f>Asistencia!B45</f>
        <v/>
      </c>
      <c r="C33" s="218"/>
      <c r="D33" s="219"/>
      <c r="E33" s="221"/>
      <c r="F33" s="222"/>
      <c r="G33" s="221"/>
      <c r="H33" s="222"/>
      <c r="I33" s="221"/>
      <c r="J33" s="222"/>
      <c r="K33" s="221"/>
      <c r="L33" s="222"/>
      <c r="M33" s="223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8.0" customHeight="1">
      <c r="A34" s="186">
        <f>Asistencia!A46</f>
        <v>27</v>
      </c>
      <c r="B34" s="57" t="str">
        <f>Asistencia!B46</f>
        <v/>
      </c>
      <c r="C34" s="218"/>
      <c r="D34" s="219"/>
      <c r="E34" s="221"/>
      <c r="F34" s="222"/>
      <c r="G34" s="221"/>
      <c r="H34" s="222"/>
      <c r="I34" s="221"/>
      <c r="J34" s="222"/>
      <c r="K34" s="221"/>
      <c r="L34" s="222"/>
      <c r="M34" s="223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8.0" customHeight="1">
      <c r="A35" s="186">
        <f>Asistencia!A47</f>
        <v>28</v>
      </c>
      <c r="B35" s="57" t="str">
        <f>Asistencia!B47</f>
        <v/>
      </c>
      <c r="C35" s="218"/>
      <c r="D35" s="219"/>
      <c r="E35" s="221"/>
      <c r="F35" s="222"/>
      <c r="G35" s="221"/>
      <c r="H35" s="222"/>
      <c r="I35" s="221"/>
      <c r="J35" s="222"/>
      <c r="K35" s="221"/>
      <c r="L35" s="222"/>
      <c r="M35" s="223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8.0" customHeight="1">
      <c r="A36" s="186">
        <f>Asistencia!A48</f>
        <v>29</v>
      </c>
      <c r="B36" s="57" t="str">
        <f>Asistencia!B48</f>
        <v/>
      </c>
      <c r="C36" s="218"/>
      <c r="D36" s="219"/>
      <c r="E36" s="221"/>
      <c r="F36" s="222"/>
      <c r="G36" s="221"/>
      <c r="H36" s="222"/>
      <c r="I36" s="221"/>
      <c r="J36" s="222"/>
      <c r="K36" s="221"/>
      <c r="L36" s="222"/>
      <c r="M36" s="223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8.0" hidden="1" customHeight="1">
      <c r="A37" s="186">
        <f>Asistencia!A49</f>
        <v>30</v>
      </c>
      <c r="B37" s="57" t="str">
        <f>Asistencia!B49</f>
        <v/>
      </c>
      <c r="C37" s="218"/>
      <c r="D37" s="219"/>
      <c r="E37" s="221"/>
      <c r="F37" s="222"/>
      <c r="G37" s="221"/>
      <c r="H37" s="222"/>
      <c r="I37" s="221"/>
      <c r="J37" s="222"/>
      <c r="K37" s="221"/>
      <c r="L37" s="222"/>
      <c r="M37" s="223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8.0" hidden="1" customHeight="1">
      <c r="A38" s="186">
        <f>Asistencia!A50</f>
        <v>31</v>
      </c>
      <c r="B38" s="57" t="str">
        <f>Asistencia!B50</f>
        <v/>
      </c>
      <c r="C38" s="218"/>
      <c r="D38" s="219"/>
      <c r="E38" s="221"/>
      <c r="F38" s="222"/>
      <c r="G38" s="221"/>
      <c r="H38" s="222"/>
      <c r="I38" s="221"/>
      <c r="J38" s="222"/>
      <c r="K38" s="221"/>
      <c r="L38" s="222"/>
      <c r="M38" s="223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8.0" hidden="1" customHeight="1">
      <c r="A39" s="186">
        <f>Asistencia!A51</f>
        <v>32</v>
      </c>
      <c r="B39" s="57"/>
      <c r="C39" s="218"/>
      <c r="D39" s="219"/>
      <c r="E39" s="221"/>
      <c r="F39" s="222"/>
      <c r="G39" s="221"/>
      <c r="H39" s="222"/>
      <c r="I39" s="221"/>
      <c r="J39" s="222"/>
      <c r="K39" s="221"/>
      <c r="L39" s="222"/>
      <c r="M39" s="223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8.0" hidden="1" customHeight="1">
      <c r="A40" s="186">
        <f>Asistencia!A52</f>
        <v>33</v>
      </c>
      <c r="B40" s="57"/>
      <c r="C40" s="218"/>
      <c r="D40" s="219"/>
      <c r="E40" s="221"/>
      <c r="F40" s="222"/>
      <c r="G40" s="221"/>
      <c r="H40" s="222"/>
      <c r="I40" s="221"/>
      <c r="J40" s="222"/>
      <c r="K40" s="221"/>
      <c r="L40" s="222"/>
      <c r="M40" s="223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8.0" hidden="1" customHeight="1">
      <c r="A41" s="186">
        <f>Asistencia!A53</f>
        <v>34</v>
      </c>
      <c r="B41" s="57" t="str">
        <f>Asistencia!B53</f>
        <v/>
      </c>
      <c r="C41" s="218"/>
      <c r="D41" s="219"/>
      <c r="E41" s="221"/>
      <c r="F41" s="222"/>
      <c r="G41" s="221"/>
      <c r="H41" s="222"/>
      <c r="I41" s="221"/>
      <c r="J41" s="222"/>
      <c r="K41" s="221"/>
      <c r="L41" s="222"/>
      <c r="M41" s="223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8.0" hidden="1" customHeight="1">
      <c r="A42" s="186">
        <f>Asistencia!A54</f>
        <v>35</v>
      </c>
      <c r="B42" s="57" t="str">
        <f>Asistencia!B54</f>
        <v/>
      </c>
      <c r="C42" s="218"/>
      <c r="D42" s="219"/>
      <c r="E42" s="221"/>
      <c r="F42" s="222"/>
      <c r="G42" s="221"/>
      <c r="H42" s="222"/>
      <c r="I42" s="221"/>
      <c r="J42" s="222"/>
      <c r="K42" s="221"/>
      <c r="L42" s="222"/>
      <c r="M42" s="223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8.0" hidden="1" customHeight="1">
      <c r="A43" s="186">
        <f>Asistencia!A55</f>
        <v>36</v>
      </c>
      <c r="B43" s="57" t="str">
        <f>Asistencia!B55</f>
        <v/>
      </c>
      <c r="C43" s="218"/>
      <c r="D43" s="219"/>
      <c r="E43" s="221"/>
      <c r="F43" s="222"/>
      <c r="G43" s="221"/>
      <c r="H43" s="222"/>
      <c r="I43" s="221"/>
      <c r="J43" s="222"/>
      <c r="K43" s="221"/>
      <c r="L43" s="222"/>
      <c r="M43" s="223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8.0" hidden="1" customHeight="1">
      <c r="A44" s="186">
        <f>Asistencia!A56</f>
        <v>37</v>
      </c>
      <c r="B44" s="57" t="str">
        <f>Asistencia!B56</f>
        <v/>
      </c>
      <c r="C44" s="218"/>
      <c r="D44" s="219"/>
      <c r="E44" s="221"/>
      <c r="F44" s="222"/>
      <c r="G44" s="221"/>
      <c r="H44" s="222"/>
      <c r="I44" s="221"/>
      <c r="J44" s="222"/>
      <c r="K44" s="221"/>
      <c r="L44" s="222"/>
      <c r="M44" s="223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8.0" hidden="1" customHeight="1">
      <c r="A45" s="186">
        <f>Asistencia!A57</f>
        <v>38</v>
      </c>
      <c r="B45" s="57" t="str">
        <f>Asistencia!B57</f>
        <v/>
      </c>
      <c r="C45" s="218"/>
      <c r="D45" s="219"/>
      <c r="E45" s="221"/>
      <c r="F45" s="222"/>
      <c r="G45" s="221"/>
      <c r="H45" s="222"/>
      <c r="I45" s="221"/>
      <c r="J45" s="222"/>
      <c r="K45" s="221"/>
      <c r="L45" s="222"/>
      <c r="M45" s="223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8.0" hidden="1" customHeight="1">
      <c r="A46" s="186">
        <f>Asistencia!A58</f>
        <v>39</v>
      </c>
      <c r="B46" s="57" t="str">
        <f>Asistencia!B58</f>
        <v/>
      </c>
      <c r="C46" s="218"/>
      <c r="D46" s="219"/>
      <c r="E46" s="221"/>
      <c r="F46" s="222"/>
      <c r="G46" s="221"/>
      <c r="H46" s="222"/>
      <c r="I46" s="221"/>
      <c r="J46" s="222"/>
      <c r="K46" s="221"/>
      <c r="L46" s="222"/>
      <c r="M46" s="223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8.0" hidden="1" customHeight="1">
      <c r="A47" s="186">
        <f>Asistencia!A59</f>
        <v>40</v>
      </c>
      <c r="B47" s="57" t="str">
        <f>Asistencia!B59</f>
        <v/>
      </c>
      <c r="C47" s="218"/>
      <c r="D47" s="219"/>
      <c r="E47" s="221"/>
      <c r="F47" s="222"/>
      <c r="G47" s="221"/>
      <c r="H47" s="222"/>
      <c r="I47" s="221"/>
      <c r="J47" s="222"/>
      <c r="K47" s="221"/>
      <c r="L47" s="222"/>
      <c r="M47" s="223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8.0" hidden="1" customHeight="1">
      <c r="A48" s="186">
        <f>Asistencia!A60</f>
        <v>41</v>
      </c>
      <c r="B48" s="57" t="str">
        <f>Asistencia!B60</f>
        <v/>
      </c>
      <c r="C48" s="218"/>
      <c r="D48" s="219"/>
      <c r="E48" s="221"/>
      <c r="F48" s="222"/>
      <c r="G48" s="221"/>
      <c r="H48" s="222"/>
      <c r="I48" s="221"/>
      <c r="J48" s="222"/>
      <c r="K48" s="221"/>
      <c r="L48" s="222"/>
      <c r="M48" s="223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8.0" hidden="1" customHeight="1">
      <c r="A49" s="186">
        <f>Asistencia!A61</f>
        <v>42</v>
      </c>
      <c r="B49" s="57" t="str">
        <f>Asistencia!B61</f>
        <v/>
      </c>
      <c r="C49" s="218"/>
      <c r="D49" s="219"/>
      <c r="E49" s="221"/>
      <c r="F49" s="222"/>
      <c r="G49" s="221"/>
      <c r="H49" s="222"/>
      <c r="I49" s="221"/>
      <c r="J49" s="222"/>
      <c r="K49" s="221"/>
      <c r="L49" s="222"/>
      <c r="M49" s="223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8.0" hidden="1" customHeight="1">
      <c r="A50" s="186">
        <f>Asistencia!A62</f>
        <v>43</v>
      </c>
      <c r="B50" s="57" t="str">
        <f>Asistencia!B62</f>
        <v/>
      </c>
      <c r="C50" s="218"/>
      <c r="D50" s="219"/>
      <c r="E50" s="221"/>
      <c r="F50" s="222"/>
      <c r="G50" s="221"/>
      <c r="H50" s="222"/>
      <c r="I50" s="221"/>
      <c r="J50" s="222"/>
      <c r="K50" s="221"/>
      <c r="L50" s="222"/>
      <c r="M50" s="223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8.0" hidden="1" customHeight="1">
      <c r="A51" s="186">
        <f>Asistencia!A63</f>
        <v>44</v>
      </c>
      <c r="B51" s="57" t="str">
        <f>Asistencia!B63</f>
        <v/>
      </c>
      <c r="C51" s="218"/>
      <c r="D51" s="219"/>
      <c r="E51" s="221"/>
      <c r="F51" s="222"/>
      <c r="G51" s="221"/>
      <c r="H51" s="222"/>
      <c r="I51" s="221"/>
      <c r="J51" s="222"/>
      <c r="K51" s="221"/>
      <c r="L51" s="222"/>
      <c r="M51" s="223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8.0" hidden="1" customHeight="1">
      <c r="A52" s="186">
        <f>Asistencia!A64</f>
        <v>45</v>
      </c>
      <c r="B52" s="57" t="str">
        <f>Asistencia!B64</f>
        <v/>
      </c>
      <c r="C52" s="218"/>
      <c r="D52" s="219"/>
      <c r="E52" s="221"/>
      <c r="F52" s="222"/>
      <c r="G52" s="221"/>
      <c r="H52" s="222"/>
      <c r="I52" s="221"/>
      <c r="J52" s="222"/>
      <c r="K52" s="221"/>
      <c r="L52" s="222"/>
      <c r="M52" s="223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8.0" hidden="1" customHeight="1">
      <c r="A53" s="186">
        <f>Asistencia!A65</f>
        <v>46</v>
      </c>
      <c r="B53" s="57" t="str">
        <f>Asistencia!B65</f>
        <v/>
      </c>
      <c r="C53" s="218"/>
      <c r="D53" s="219"/>
      <c r="E53" s="221"/>
      <c r="F53" s="222"/>
      <c r="G53" s="221"/>
      <c r="H53" s="222"/>
      <c r="I53" s="221"/>
      <c r="J53" s="222"/>
      <c r="K53" s="221"/>
      <c r="L53" s="222"/>
      <c r="M53" s="223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8.0" hidden="1" customHeight="1">
      <c r="A54" s="186">
        <f>Asistencia!A66</f>
        <v>47</v>
      </c>
      <c r="B54" s="57" t="str">
        <f>Asistencia!B66</f>
        <v/>
      </c>
      <c r="C54" s="218"/>
      <c r="D54" s="219"/>
      <c r="E54" s="221"/>
      <c r="F54" s="222"/>
      <c r="G54" s="221"/>
      <c r="H54" s="222"/>
      <c r="I54" s="221"/>
      <c r="J54" s="222"/>
      <c r="K54" s="221"/>
      <c r="L54" s="222"/>
      <c r="M54" s="223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8.0" hidden="1" customHeight="1">
      <c r="A55" s="186">
        <f>Asistencia!A67</f>
        <v>48</v>
      </c>
      <c r="B55" s="57" t="str">
        <f>Asistencia!B67</f>
        <v/>
      </c>
      <c r="C55" s="218"/>
      <c r="D55" s="219"/>
      <c r="E55" s="221"/>
      <c r="F55" s="222"/>
      <c r="G55" s="221"/>
      <c r="H55" s="222"/>
      <c r="I55" s="221"/>
      <c r="J55" s="222"/>
      <c r="K55" s="221"/>
      <c r="L55" s="222"/>
      <c r="M55" s="223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8.0" hidden="1" customHeight="1">
      <c r="A56" s="186">
        <f>Asistencia!A68</f>
        <v>49</v>
      </c>
      <c r="B56" s="57" t="str">
        <f>Asistencia!B68</f>
        <v/>
      </c>
      <c r="C56" s="218"/>
      <c r="D56" s="219"/>
      <c r="E56" s="221"/>
      <c r="F56" s="222"/>
      <c r="G56" s="221"/>
      <c r="H56" s="222"/>
      <c r="I56" s="221"/>
      <c r="J56" s="222"/>
      <c r="K56" s="221"/>
      <c r="L56" s="222"/>
      <c r="M56" s="223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8.0" hidden="1" customHeight="1">
      <c r="A57" s="186">
        <f>Asistencia!A69</f>
        <v>50</v>
      </c>
      <c r="B57" s="57" t="str">
        <f>Asistencia!B69</f>
        <v/>
      </c>
      <c r="C57" s="218"/>
      <c r="D57" s="219"/>
      <c r="E57" s="221"/>
      <c r="F57" s="222"/>
      <c r="G57" s="221"/>
      <c r="H57" s="222"/>
      <c r="I57" s="221"/>
      <c r="J57" s="222"/>
      <c r="K57" s="221"/>
      <c r="L57" s="222"/>
      <c r="M57" s="223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8.0" hidden="1" customHeight="1">
      <c r="A58" s="186">
        <f>Asistencia!A70</f>
        <v>51</v>
      </c>
      <c r="B58" s="57" t="str">
        <f>Asistencia!B70</f>
        <v/>
      </c>
      <c r="C58" s="218"/>
      <c r="D58" s="219"/>
      <c r="E58" s="221"/>
      <c r="F58" s="222"/>
      <c r="G58" s="221"/>
      <c r="H58" s="222"/>
      <c r="I58" s="221"/>
      <c r="J58" s="222"/>
      <c r="K58" s="221"/>
      <c r="L58" s="222"/>
      <c r="M58" s="223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8.0" hidden="1" customHeight="1">
      <c r="A59" s="186">
        <f>Asistencia!A71</f>
        <v>52</v>
      </c>
      <c r="B59" s="57" t="str">
        <f>Asistencia!B71</f>
        <v/>
      </c>
      <c r="C59" s="218"/>
      <c r="D59" s="219"/>
      <c r="E59" s="221"/>
      <c r="F59" s="222"/>
      <c r="G59" s="221"/>
      <c r="H59" s="222"/>
      <c r="I59" s="221"/>
      <c r="J59" s="222"/>
      <c r="K59" s="221"/>
      <c r="L59" s="222"/>
      <c r="M59" s="223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8.0" hidden="1" customHeight="1">
      <c r="A60" s="186">
        <f>Asistencia!A72</f>
        <v>53</v>
      </c>
      <c r="B60" s="57" t="str">
        <f>Asistencia!B72</f>
        <v/>
      </c>
      <c r="C60" s="218"/>
      <c r="D60" s="219"/>
      <c r="E60" s="221"/>
      <c r="F60" s="222"/>
      <c r="G60" s="221"/>
      <c r="H60" s="222"/>
      <c r="I60" s="221"/>
      <c r="J60" s="222"/>
      <c r="K60" s="221"/>
      <c r="L60" s="222"/>
      <c r="M60" s="223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8.0" hidden="1" customHeight="1">
      <c r="A61" s="186">
        <f>Asistencia!A73</f>
        <v>54</v>
      </c>
      <c r="B61" s="57" t="str">
        <f>Asistencia!B73</f>
        <v/>
      </c>
      <c r="C61" s="218"/>
      <c r="D61" s="219"/>
      <c r="E61" s="221"/>
      <c r="F61" s="222"/>
      <c r="G61" s="221"/>
      <c r="H61" s="222"/>
      <c r="I61" s="221"/>
      <c r="J61" s="222"/>
      <c r="K61" s="221"/>
      <c r="L61" s="222"/>
      <c r="M61" s="223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8.0" hidden="1" customHeight="1">
      <c r="A62" s="186">
        <f>Asistencia!A74</f>
        <v>55</v>
      </c>
      <c r="B62" s="57" t="str">
        <f>Asistencia!B74</f>
        <v/>
      </c>
      <c r="C62" s="218"/>
      <c r="D62" s="219"/>
      <c r="E62" s="221"/>
      <c r="F62" s="222"/>
      <c r="G62" s="221"/>
      <c r="H62" s="222"/>
      <c r="I62" s="221"/>
      <c r="J62" s="222"/>
      <c r="K62" s="221"/>
      <c r="L62" s="222"/>
      <c r="M62" s="223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8.0" hidden="1" customHeight="1">
      <c r="A63" s="186">
        <f>Asistencia!A75</f>
        <v>56</v>
      </c>
      <c r="B63" s="57" t="str">
        <f>Asistencia!B75</f>
        <v/>
      </c>
      <c r="C63" s="218"/>
      <c r="D63" s="219"/>
      <c r="E63" s="221"/>
      <c r="F63" s="222"/>
      <c r="G63" s="221"/>
      <c r="H63" s="222"/>
      <c r="I63" s="221"/>
      <c r="J63" s="222"/>
      <c r="K63" s="221"/>
      <c r="L63" s="222"/>
      <c r="M63" s="223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8.0" hidden="1" customHeight="1">
      <c r="A64" s="186">
        <f>Asistencia!A76</f>
        <v>57</v>
      </c>
      <c r="B64" s="57" t="str">
        <f>Asistencia!B76</f>
        <v/>
      </c>
      <c r="C64" s="218"/>
      <c r="D64" s="219"/>
      <c r="E64" s="221"/>
      <c r="F64" s="222"/>
      <c r="G64" s="221"/>
      <c r="H64" s="222"/>
      <c r="I64" s="221"/>
      <c r="J64" s="222"/>
      <c r="K64" s="221"/>
      <c r="L64" s="222"/>
      <c r="M64" s="223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8.0" hidden="1" customHeight="1">
      <c r="A65" s="186">
        <f>Asistencia!A77</f>
        <v>58</v>
      </c>
      <c r="B65" s="57" t="str">
        <f>Asistencia!B77</f>
        <v/>
      </c>
      <c r="C65" s="218"/>
      <c r="D65" s="219"/>
      <c r="E65" s="221"/>
      <c r="F65" s="222"/>
      <c r="G65" s="221"/>
      <c r="H65" s="222"/>
      <c r="I65" s="221"/>
      <c r="J65" s="222"/>
      <c r="K65" s="221"/>
      <c r="L65" s="222"/>
      <c r="M65" s="223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8.0" hidden="1" customHeight="1">
      <c r="A66" s="186">
        <f>Asistencia!A78</f>
        <v>59</v>
      </c>
      <c r="B66" s="57" t="str">
        <f>Asistencia!B78</f>
        <v/>
      </c>
      <c r="C66" s="218"/>
      <c r="D66" s="219"/>
      <c r="E66" s="221"/>
      <c r="F66" s="222"/>
      <c r="G66" s="221"/>
      <c r="H66" s="222"/>
      <c r="I66" s="221"/>
      <c r="J66" s="222"/>
      <c r="K66" s="221"/>
      <c r="L66" s="222"/>
      <c r="M66" s="223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8.0" hidden="1" customHeight="1">
      <c r="A67" s="186">
        <f>Asistencia!A79</f>
        <v>60</v>
      </c>
      <c r="B67" s="57" t="str">
        <f>Asistencia!B79</f>
        <v/>
      </c>
      <c r="C67" s="218"/>
      <c r="D67" s="219"/>
      <c r="E67" s="221"/>
      <c r="F67" s="222"/>
      <c r="G67" s="221"/>
      <c r="H67" s="222"/>
      <c r="I67" s="221"/>
      <c r="J67" s="222"/>
      <c r="K67" s="221"/>
      <c r="L67" s="222"/>
      <c r="M67" s="223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8.0" hidden="1" customHeight="1">
      <c r="A68" s="186">
        <f>Asistencia!A80</f>
        <v>61</v>
      </c>
      <c r="B68" s="57" t="str">
        <f>Asistencia!B80</f>
        <v/>
      </c>
      <c r="C68" s="218"/>
      <c r="D68" s="219"/>
      <c r="E68" s="221"/>
      <c r="F68" s="222"/>
      <c r="G68" s="221"/>
      <c r="H68" s="222"/>
      <c r="I68" s="221"/>
      <c r="J68" s="222"/>
      <c r="K68" s="221"/>
      <c r="L68" s="222"/>
      <c r="M68" s="223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8.0" hidden="1" customHeight="1">
      <c r="A69" s="186">
        <f>Asistencia!A81</f>
        <v>62</v>
      </c>
      <c r="B69" s="57" t="str">
        <f>Asistencia!B81</f>
        <v/>
      </c>
      <c r="C69" s="218"/>
      <c r="D69" s="219"/>
      <c r="E69" s="221"/>
      <c r="F69" s="222"/>
      <c r="G69" s="221"/>
      <c r="H69" s="222"/>
      <c r="I69" s="221"/>
      <c r="J69" s="222"/>
      <c r="K69" s="221"/>
      <c r="L69" s="222"/>
      <c r="M69" s="223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8.0" hidden="1" customHeight="1">
      <c r="A70" s="186">
        <f>Asistencia!A82</f>
        <v>63</v>
      </c>
      <c r="B70" s="57" t="str">
        <f>Asistencia!B82</f>
        <v/>
      </c>
      <c r="C70" s="218"/>
      <c r="D70" s="219"/>
      <c r="E70" s="221"/>
      <c r="F70" s="222"/>
      <c r="G70" s="221"/>
      <c r="H70" s="222"/>
      <c r="I70" s="221"/>
      <c r="J70" s="222"/>
      <c r="K70" s="221"/>
      <c r="L70" s="222"/>
      <c r="M70" s="223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8.0" hidden="1" customHeight="1">
      <c r="A71" s="186">
        <f>Asistencia!A83</f>
        <v>64</v>
      </c>
      <c r="B71" s="57" t="str">
        <f>Asistencia!B83</f>
        <v/>
      </c>
      <c r="C71" s="218"/>
      <c r="D71" s="219"/>
      <c r="E71" s="221"/>
      <c r="F71" s="222"/>
      <c r="G71" s="221"/>
      <c r="H71" s="222"/>
      <c r="I71" s="221"/>
      <c r="J71" s="222"/>
      <c r="K71" s="221"/>
      <c r="L71" s="222"/>
      <c r="M71" s="223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8.0" hidden="1" customHeight="1">
      <c r="A72" s="186">
        <f>Asistencia!A84</f>
        <v>65</v>
      </c>
      <c r="B72" s="57" t="str">
        <f>Asistencia!B84</f>
        <v/>
      </c>
      <c r="C72" s="218"/>
      <c r="D72" s="219"/>
      <c r="E72" s="221"/>
      <c r="F72" s="222"/>
      <c r="G72" s="221"/>
      <c r="H72" s="222"/>
      <c r="I72" s="221"/>
      <c r="J72" s="222"/>
      <c r="K72" s="221"/>
      <c r="L72" s="222"/>
      <c r="M72" s="223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8.0" hidden="1" customHeight="1">
      <c r="A73" s="186">
        <f>Asistencia!A85</f>
        <v>66</v>
      </c>
      <c r="B73" s="57" t="str">
        <f>Asistencia!B85</f>
        <v/>
      </c>
      <c r="C73" s="218"/>
      <c r="D73" s="219"/>
      <c r="E73" s="221"/>
      <c r="F73" s="222"/>
      <c r="G73" s="221"/>
      <c r="H73" s="222"/>
      <c r="I73" s="221"/>
      <c r="J73" s="222"/>
      <c r="K73" s="221"/>
      <c r="L73" s="222"/>
      <c r="M73" s="223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8.0" hidden="1" customHeight="1">
      <c r="A74" s="186">
        <f>Asistencia!A86</f>
        <v>67</v>
      </c>
      <c r="B74" s="57" t="str">
        <f>Asistencia!B86</f>
        <v/>
      </c>
      <c r="C74" s="218"/>
      <c r="D74" s="219"/>
      <c r="E74" s="221"/>
      <c r="F74" s="222"/>
      <c r="G74" s="221"/>
      <c r="H74" s="222"/>
      <c r="I74" s="221"/>
      <c r="J74" s="222"/>
      <c r="K74" s="221"/>
      <c r="L74" s="222"/>
      <c r="M74" s="223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8.0" hidden="1" customHeight="1">
      <c r="A75" s="186">
        <f>Asistencia!A87</f>
        <v>68</v>
      </c>
      <c r="B75" s="57" t="str">
        <f>Asistencia!B87</f>
        <v/>
      </c>
      <c r="C75" s="218"/>
      <c r="D75" s="219"/>
      <c r="E75" s="221"/>
      <c r="F75" s="222"/>
      <c r="G75" s="221"/>
      <c r="H75" s="222"/>
      <c r="I75" s="221"/>
      <c r="J75" s="222"/>
      <c r="K75" s="221"/>
      <c r="L75" s="222"/>
      <c r="M75" s="223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8.0" hidden="1" customHeight="1">
      <c r="A76" s="186">
        <f>Asistencia!A88</f>
        <v>69</v>
      </c>
      <c r="B76" s="57" t="str">
        <f>Asistencia!B88</f>
        <v/>
      </c>
      <c r="C76" s="218"/>
      <c r="D76" s="219"/>
      <c r="E76" s="221"/>
      <c r="F76" s="222"/>
      <c r="G76" s="221"/>
      <c r="H76" s="222"/>
      <c r="I76" s="221"/>
      <c r="J76" s="222"/>
      <c r="K76" s="221"/>
      <c r="L76" s="222"/>
      <c r="M76" s="223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8.0" hidden="1" customHeight="1">
      <c r="A77" s="186">
        <f>Asistencia!A89</f>
        <v>70</v>
      </c>
      <c r="B77" s="57" t="str">
        <f>Asistencia!B89</f>
        <v/>
      </c>
      <c r="C77" s="218"/>
      <c r="D77" s="219"/>
      <c r="E77" s="221"/>
      <c r="F77" s="222"/>
      <c r="G77" s="221"/>
      <c r="H77" s="222"/>
      <c r="I77" s="221"/>
      <c r="J77" s="222"/>
      <c r="K77" s="221"/>
      <c r="L77" s="222"/>
      <c r="M77" s="223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8.0" hidden="1" customHeight="1">
      <c r="A78" s="186">
        <f>Asistencia!A90</f>
        <v>71</v>
      </c>
      <c r="B78" s="57" t="str">
        <f>Asistencia!B90</f>
        <v/>
      </c>
      <c r="C78" s="218"/>
      <c r="D78" s="219"/>
      <c r="E78" s="221"/>
      <c r="F78" s="222"/>
      <c r="G78" s="221"/>
      <c r="H78" s="222"/>
      <c r="I78" s="221"/>
      <c r="J78" s="222"/>
      <c r="K78" s="221"/>
      <c r="L78" s="222"/>
      <c r="M78" s="223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8.0" hidden="1" customHeight="1">
      <c r="A79" s="186">
        <f>Asistencia!A91</f>
        <v>72</v>
      </c>
      <c r="B79" s="57" t="str">
        <f>Asistencia!B91</f>
        <v/>
      </c>
      <c r="C79" s="218"/>
      <c r="D79" s="219"/>
      <c r="E79" s="221"/>
      <c r="F79" s="222"/>
      <c r="G79" s="221"/>
      <c r="H79" s="222"/>
      <c r="I79" s="221"/>
      <c r="J79" s="222"/>
      <c r="K79" s="221"/>
      <c r="L79" s="222"/>
      <c r="M79" s="223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8.0" hidden="1" customHeight="1">
      <c r="A80" s="186">
        <f>Asistencia!A92</f>
        <v>73</v>
      </c>
      <c r="B80" s="57" t="str">
        <f>Asistencia!B92</f>
        <v/>
      </c>
      <c r="C80" s="218"/>
      <c r="D80" s="219"/>
      <c r="E80" s="221"/>
      <c r="F80" s="222"/>
      <c r="G80" s="221"/>
      <c r="H80" s="222"/>
      <c r="I80" s="221"/>
      <c r="J80" s="222"/>
      <c r="K80" s="221"/>
      <c r="L80" s="222"/>
      <c r="M80" s="223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8.0" hidden="1" customHeight="1">
      <c r="A81" s="186">
        <f>Asistencia!A93</f>
        <v>74</v>
      </c>
      <c r="B81" s="57" t="str">
        <f>Asistencia!B93</f>
        <v/>
      </c>
      <c r="C81" s="218"/>
      <c r="D81" s="219"/>
      <c r="E81" s="221"/>
      <c r="F81" s="222"/>
      <c r="G81" s="221"/>
      <c r="H81" s="222"/>
      <c r="I81" s="221"/>
      <c r="J81" s="222"/>
      <c r="K81" s="221"/>
      <c r="L81" s="222"/>
      <c r="M81" s="223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8.0" hidden="1" customHeight="1">
      <c r="A82" s="186">
        <f>Asistencia!A94</f>
        <v>75</v>
      </c>
      <c r="B82" s="57" t="str">
        <f>Asistencia!B94</f>
        <v/>
      </c>
      <c r="C82" s="218"/>
      <c r="D82" s="219"/>
      <c r="E82" s="221"/>
      <c r="F82" s="222"/>
      <c r="G82" s="221"/>
      <c r="H82" s="222"/>
      <c r="I82" s="221"/>
      <c r="J82" s="222"/>
      <c r="K82" s="221"/>
      <c r="L82" s="222"/>
      <c r="M82" s="223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8.0" hidden="1" customHeight="1">
      <c r="A83" s="186">
        <f>Asistencia!A95</f>
        <v>76</v>
      </c>
      <c r="B83" s="57" t="str">
        <f>Asistencia!B95</f>
        <v/>
      </c>
      <c r="C83" s="218"/>
      <c r="D83" s="219"/>
      <c r="E83" s="221"/>
      <c r="F83" s="222"/>
      <c r="G83" s="221"/>
      <c r="H83" s="222"/>
      <c r="I83" s="221"/>
      <c r="J83" s="222"/>
      <c r="K83" s="221"/>
      <c r="L83" s="222"/>
      <c r="M83" s="223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8.0" hidden="1" customHeight="1">
      <c r="A84" s="186">
        <f>Asistencia!A96</f>
        <v>77</v>
      </c>
      <c r="B84" s="57" t="str">
        <f>Asistencia!B96</f>
        <v/>
      </c>
      <c r="C84" s="218"/>
      <c r="D84" s="219"/>
      <c r="E84" s="221"/>
      <c r="F84" s="222"/>
      <c r="G84" s="221"/>
      <c r="H84" s="222"/>
      <c r="I84" s="221"/>
      <c r="J84" s="222"/>
      <c r="K84" s="221"/>
      <c r="L84" s="222"/>
      <c r="M84" s="223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8.0" hidden="1" customHeight="1">
      <c r="A85" s="186">
        <f>Asistencia!A97</f>
        <v>78</v>
      </c>
      <c r="B85" s="57" t="str">
        <f>Asistencia!B97</f>
        <v/>
      </c>
      <c r="C85" s="218"/>
      <c r="D85" s="219"/>
      <c r="E85" s="221"/>
      <c r="F85" s="222"/>
      <c r="G85" s="221"/>
      <c r="H85" s="222"/>
      <c r="I85" s="221"/>
      <c r="J85" s="222"/>
      <c r="K85" s="221"/>
      <c r="L85" s="222"/>
      <c r="M85" s="223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8.0" hidden="1" customHeight="1">
      <c r="A86" s="186">
        <f>Asistencia!A98</f>
        <v>79</v>
      </c>
      <c r="B86" s="57" t="str">
        <f>Asistencia!B98</f>
        <v/>
      </c>
      <c r="C86" s="218"/>
      <c r="D86" s="219"/>
      <c r="E86" s="221"/>
      <c r="F86" s="222"/>
      <c r="G86" s="221"/>
      <c r="H86" s="222"/>
      <c r="I86" s="221"/>
      <c r="J86" s="222"/>
      <c r="K86" s="221"/>
      <c r="L86" s="222"/>
      <c r="M86" s="223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8.0" hidden="1" customHeight="1">
      <c r="A87" s="186">
        <f>Asistencia!A99</f>
        <v>80</v>
      </c>
      <c r="B87" s="57" t="str">
        <f>Asistencia!B99</f>
        <v/>
      </c>
      <c r="C87" s="218"/>
      <c r="D87" s="219"/>
      <c r="E87" s="221"/>
      <c r="F87" s="222"/>
      <c r="G87" s="221"/>
      <c r="H87" s="222"/>
      <c r="I87" s="221"/>
      <c r="J87" s="222"/>
      <c r="K87" s="221"/>
      <c r="L87" s="222"/>
      <c r="M87" s="223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8.0" hidden="1" customHeight="1">
      <c r="A88" s="186">
        <f>Asistencia!A100</f>
        <v>81</v>
      </c>
      <c r="B88" s="57" t="str">
        <f>Asistencia!B100</f>
        <v/>
      </c>
      <c r="C88" s="218"/>
      <c r="D88" s="219"/>
      <c r="E88" s="221"/>
      <c r="F88" s="222"/>
      <c r="G88" s="221"/>
      <c r="H88" s="222"/>
      <c r="I88" s="221"/>
      <c r="J88" s="222"/>
      <c r="K88" s="221"/>
      <c r="L88" s="222"/>
      <c r="M88" s="223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8.0" hidden="1" customHeight="1">
      <c r="A89" s="186">
        <f>Asistencia!A101</f>
        <v>82</v>
      </c>
      <c r="B89" s="57" t="str">
        <f>Asistencia!B101</f>
        <v/>
      </c>
      <c r="C89" s="218"/>
      <c r="D89" s="219"/>
      <c r="E89" s="221"/>
      <c r="F89" s="222"/>
      <c r="G89" s="221"/>
      <c r="H89" s="222"/>
      <c r="I89" s="221"/>
      <c r="J89" s="222"/>
      <c r="K89" s="221"/>
      <c r="L89" s="222"/>
      <c r="M89" s="223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8.0" hidden="1" customHeight="1">
      <c r="A90" s="186">
        <f>Asistencia!A102</f>
        <v>83</v>
      </c>
      <c r="B90" s="57" t="str">
        <f>Asistencia!B102</f>
        <v/>
      </c>
      <c r="C90" s="218"/>
      <c r="D90" s="219"/>
      <c r="E90" s="221"/>
      <c r="F90" s="222"/>
      <c r="G90" s="221"/>
      <c r="H90" s="222"/>
      <c r="I90" s="221"/>
      <c r="J90" s="222"/>
      <c r="K90" s="221"/>
      <c r="L90" s="222"/>
      <c r="M90" s="223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8.0" hidden="1" customHeight="1">
      <c r="A91" s="186">
        <f>Asistencia!A103</f>
        <v>84</v>
      </c>
      <c r="B91" s="57" t="str">
        <f>Asistencia!B103</f>
        <v/>
      </c>
      <c r="C91" s="218"/>
      <c r="D91" s="219"/>
      <c r="E91" s="221"/>
      <c r="F91" s="222"/>
      <c r="G91" s="221"/>
      <c r="H91" s="222"/>
      <c r="I91" s="221"/>
      <c r="J91" s="222"/>
      <c r="K91" s="221"/>
      <c r="L91" s="222"/>
      <c r="M91" s="223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8.0" hidden="1" customHeight="1">
      <c r="A92" s="186">
        <f>Asistencia!A104</f>
        <v>85</v>
      </c>
      <c r="B92" s="57" t="str">
        <f>Asistencia!B104</f>
        <v/>
      </c>
      <c r="C92" s="218"/>
      <c r="D92" s="219"/>
      <c r="E92" s="221"/>
      <c r="F92" s="222"/>
      <c r="G92" s="221"/>
      <c r="H92" s="222"/>
      <c r="I92" s="221"/>
      <c r="J92" s="222"/>
      <c r="K92" s="221"/>
      <c r="L92" s="222"/>
      <c r="M92" s="223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8.0" hidden="1" customHeight="1">
      <c r="A93" s="186">
        <f>Asistencia!A105</f>
        <v>86</v>
      </c>
      <c r="B93" s="57" t="str">
        <f>Asistencia!B105</f>
        <v/>
      </c>
      <c r="C93" s="218"/>
      <c r="D93" s="219"/>
      <c r="E93" s="221"/>
      <c r="F93" s="222"/>
      <c r="G93" s="221"/>
      <c r="H93" s="222"/>
      <c r="I93" s="221"/>
      <c r="J93" s="222"/>
      <c r="K93" s="221"/>
      <c r="L93" s="222"/>
      <c r="M93" s="223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8.0" hidden="1" customHeight="1">
      <c r="A94" s="186">
        <f>Asistencia!A106</f>
        <v>87</v>
      </c>
      <c r="B94" s="57" t="str">
        <f>Asistencia!B106</f>
        <v/>
      </c>
      <c r="C94" s="218"/>
      <c r="D94" s="219"/>
      <c r="E94" s="221"/>
      <c r="F94" s="222"/>
      <c r="G94" s="221"/>
      <c r="H94" s="222"/>
      <c r="I94" s="221"/>
      <c r="J94" s="222"/>
      <c r="K94" s="221"/>
      <c r="L94" s="222"/>
      <c r="M94" s="223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8.0" hidden="1" customHeight="1">
      <c r="A95" s="186">
        <f>Asistencia!A107</f>
        <v>88</v>
      </c>
      <c r="B95" s="57" t="str">
        <f>Asistencia!B107</f>
        <v/>
      </c>
      <c r="C95" s="218"/>
      <c r="D95" s="219"/>
      <c r="E95" s="221"/>
      <c r="F95" s="222"/>
      <c r="G95" s="221"/>
      <c r="H95" s="222"/>
      <c r="I95" s="221"/>
      <c r="J95" s="222"/>
      <c r="K95" s="221"/>
      <c r="L95" s="222"/>
      <c r="M95" s="223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8.0" hidden="1" customHeight="1">
      <c r="A96" s="186">
        <f>Asistencia!A108</f>
        <v>89</v>
      </c>
      <c r="B96" s="57" t="str">
        <f>Asistencia!B108</f>
        <v/>
      </c>
      <c r="C96" s="218"/>
      <c r="D96" s="219"/>
      <c r="E96" s="221"/>
      <c r="F96" s="222"/>
      <c r="G96" s="221"/>
      <c r="H96" s="222"/>
      <c r="I96" s="221"/>
      <c r="J96" s="222"/>
      <c r="K96" s="221"/>
      <c r="L96" s="222"/>
      <c r="M96" s="223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8.0" hidden="1" customHeight="1">
      <c r="A97" s="186">
        <f>Asistencia!A109</f>
        <v>90</v>
      </c>
      <c r="B97" s="57" t="str">
        <f>Asistencia!B109</f>
        <v/>
      </c>
      <c r="C97" s="218"/>
      <c r="D97" s="219"/>
      <c r="E97" s="221"/>
      <c r="F97" s="222"/>
      <c r="G97" s="221"/>
      <c r="H97" s="222"/>
      <c r="I97" s="221"/>
      <c r="J97" s="222"/>
      <c r="K97" s="221"/>
      <c r="L97" s="222"/>
      <c r="M97" s="223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8.0" hidden="1" customHeight="1">
      <c r="A98" s="186">
        <f>Asistencia!A110</f>
        <v>91</v>
      </c>
      <c r="B98" s="57" t="str">
        <f>Asistencia!B110</f>
        <v/>
      </c>
      <c r="C98" s="218"/>
      <c r="D98" s="219"/>
      <c r="E98" s="221"/>
      <c r="F98" s="222"/>
      <c r="G98" s="221"/>
      <c r="H98" s="222"/>
      <c r="I98" s="221"/>
      <c r="J98" s="222"/>
      <c r="K98" s="221"/>
      <c r="L98" s="222"/>
      <c r="M98" s="223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8.0" hidden="1" customHeight="1">
      <c r="A99" s="186">
        <f>Asistencia!A111</f>
        <v>92</v>
      </c>
      <c r="B99" s="57" t="str">
        <f>Asistencia!B111</f>
        <v/>
      </c>
      <c r="C99" s="218"/>
      <c r="D99" s="219"/>
      <c r="E99" s="221"/>
      <c r="F99" s="222"/>
      <c r="G99" s="221"/>
      <c r="H99" s="222"/>
      <c r="I99" s="221"/>
      <c r="J99" s="222"/>
      <c r="K99" s="221"/>
      <c r="L99" s="222"/>
      <c r="M99" s="223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8.0" hidden="1" customHeight="1">
      <c r="A100" s="186">
        <f>Asistencia!A112</f>
        <v>93</v>
      </c>
      <c r="B100" s="57" t="str">
        <f>Asistencia!B112</f>
        <v/>
      </c>
      <c r="C100" s="218"/>
      <c r="D100" s="219"/>
      <c r="E100" s="221"/>
      <c r="F100" s="222"/>
      <c r="G100" s="221"/>
      <c r="H100" s="222"/>
      <c r="I100" s="221"/>
      <c r="J100" s="222"/>
      <c r="K100" s="221"/>
      <c r="L100" s="222"/>
      <c r="M100" s="223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8.0" hidden="1" customHeight="1">
      <c r="A101" s="186">
        <f>Asistencia!A113</f>
        <v>94</v>
      </c>
      <c r="B101" s="57" t="str">
        <f>Asistencia!B113</f>
        <v/>
      </c>
      <c r="C101" s="218"/>
      <c r="D101" s="219"/>
      <c r="E101" s="221"/>
      <c r="F101" s="222"/>
      <c r="G101" s="221"/>
      <c r="H101" s="222"/>
      <c r="I101" s="221"/>
      <c r="J101" s="222"/>
      <c r="K101" s="221"/>
      <c r="L101" s="222"/>
      <c r="M101" s="223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8.0" hidden="1" customHeight="1">
      <c r="A102" s="186">
        <f>Asistencia!A114</f>
        <v>95</v>
      </c>
      <c r="B102" s="57" t="str">
        <f>Asistencia!B114</f>
        <v/>
      </c>
      <c r="C102" s="218"/>
      <c r="D102" s="219"/>
      <c r="E102" s="221"/>
      <c r="F102" s="222"/>
      <c r="G102" s="221"/>
      <c r="H102" s="222"/>
      <c r="I102" s="221"/>
      <c r="J102" s="222"/>
      <c r="K102" s="221"/>
      <c r="L102" s="222"/>
      <c r="M102" s="223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8.0" hidden="1" customHeight="1">
      <c r="A103" s="186">
        <f>Asistencia!A115</f>
        <v>96</v>
      </c>
      <c r="B103" s="57" t="str">
        <f>Asistencia!B115</f>
        <v/>
      </c>
      <c r="C103" s="218"/>
      <c r="D103" s="219"/>
      <c r="E103" s="221"/>
      <c r="F103" s="222"/>
      <c r="G103" s="221"/>
      <c r="H103" s="222"/>
      <c r="I103" s="221"/>
      <c r="J103" s="222"/>
      <c r="K103" s="221"/>
      <c r="L103" s="222"/>
      <c r="M103" s="223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8.0" hidden="1" customHeight="1">
      <c r="A104" s="186">
        <f>Asistencia!A116</f>
        <v>97</v>
      </c>
      <c r="B104" s="57" t="str">
        <f>Asistencia!B116</f>
        <v/>
      </c>
      <c r="C104" s="218"/>
      <c r="D104" s="219"/>
      <c r="E104" s="221"/>
      <c r="F104" s="222"/>
      <c r="G104" s="221"/>
      <c r="H104" s="222"/>
      <c r="I104" s="221"/>
      <c r="J104" s="222"/>
      <c r="K104" s="221"/>
      <c r="L104" s="222"/>
      <c r="M104" s="223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8.0" hidden="1" customHeight="1">
      <c r="A105" s="186">
        <f>Asistencia!A117</f>
        <v>98</v>
      </c>
      <c r="B105" s="57" t="str">
        <f>Asistencia!B117</f>
        <v/>
      </c>
      <c r="C105" s="218"/>
      <c r="D105" s="219"/>
      <c r="E105" s="221"/>
      <c r="F105" s="222"/>
      <c r="G105" s="221"/>
      <c r="H105" s="222"/>
      <c r="I105" s="221"/>
      <c r="J105" s="222"/>
      <c r="K105" s="221"/>
      <c r="L105" s="222"/>
      <c r="M105" s="223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8.0" hidden="1" customHeight="1">
      <c r="A106" s="186">
        <f>Asistencia!A118</f>
        <v>99</v>
      </c>
      <c r="B106" s="57" t="str">
        <f>Asistencia!B118</f>
        <v/>
      </c>
      <c r="C106" s="218"/>
      <c r="D106" s="219"/>
      <c r="E106" s="221"/>
      <c r="F106" s="222"/>
      <c r="G106" s="221"/>
      <c r="H106" s="222"/>
      <c r="I106" s="221"/>
      <c r="J106" s="222"/>
      <c r="K106" s="221"/>
      <c r="L106" s="222"/>
      <c r="M106" s="223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8.0" hidden="1" customHeight="1">
      <c r="A107" s="186">
        <f>Asistencia!A119</f>
        <v>100</v>
      </c>
      <c r="B107" s="57" t="str">
        <f>Asistencia!B119</f>
        <v/>
      </c>
      <c r="C107" s="218"/>
      <c r="D107" s="219"/>
      <c r="E107" s="221"/>
      <c r="F107" s="222"/>
      <c r="G107" s="221"/>
      <c r="H107" s="222"/>
      <c r="I107" s="221"/>
      <c r="J107" s="222"/>
      <c r="K107" s="221"/>
      <c r="L107" s="222"/>
      <c r="M107" s="223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.5" customHeight="1">
      <c r="A108" s="224"/>
      <c r="B108" s="225" t="s">
        <v>42</v>
      </c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4.5" customHeight="1">
      <c r="A109" s="35"/>
      <c r="B109" s="226" t="s">
        <v>42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227" t="s">
        <v>2203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4.5" customHeight="1">
      <c r="A111" s="35"/>
      <c r="B111" s="226" t="s">
        <v>42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39.0" customHeight="1">
      <c r="A112" s="228"/>
      <c r="B112" s="229" t="str">
        <f>"AL FINAL DEL MES, FAVOR DE INFORMAR SI ALGUN"&amp;IF(Asistencia!$D$4="H","O","A")&amp;" DE L"&amp;IF(Asistencia!$D$4="H","O","A")&amp;"S HERMAN"&amp;IF(Asistencia!$D$4="H","O","A")&amp;"S, TUVO ALGUNA BENDICIÓN O EVENTO DE LOS ABAJO DESCRITOS
Dios les pague."</f>
        <v>AL FINAL DEL MES, FAVOR DE INFORMAR SI ALGUNO DE LOS HERMANOS, TUVO ALGUNA BENDICIÓN O EVENTO DE LOS ABAJO DESCRITOS
Dios les pague.</v>
      </c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1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.5" customHeight="1">
      <c r="A113" s="35"/>
      <c r="B113" s="226" t="s">
        <v>42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39.0" customHeight="1">
      <c r="A114" s="232"/>
      <c r="B114" s="233" t="s">
        <v>2204</v>
      </c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autoFilter ref="$B$7:$B$114">
    <filterColumn colId="0">
      <customFilters>
        <customFilter operator="notEqual" val=" "/>
      </customFilters>
    </filterColumn>
  </autoFilter>
  <mergeCells count="11">
    <mergeCell ref="G6:H6"/>
    <mergeCell ref="I6:J6"/>
    <mergeCell ref="K6:L6"/>
    <mergeCell ref="M6:M7"/>
    <mergeCell ref="C1:J1"/>
    <mergeCell ref="C2:J2"/>
    <mergeCell ref="F3:I3"/>
    <mergeCell ref="C5:L5"/>
    <mergeCell ref="A6:A7"/>
    <mergeCell ref="C6:D6"/>
    <mergeCell ref="E6:F6"/>
  </mergeCells>
  <conditionalFormatting sqref="A8:A107">
    <cfRule type="expression" dxfId="0" priority="1">
      <formula>AND(B8&lt;&gt;"",B9="")</formula>
    </cfRule>
  </conditionalFormatting>
  <dataValidations>
    <dataValidation type="list" allowBlank="1" showErrorMessage="1" sqref="J4">
      <formula1>DÍA</formula1>
    </dataValidation>
  </dataValidations>
  <printOptions horizontalCentered="1" verticalCentered="1"/>
  <pageMargins bottom="0.1968503937007874" footer="0.0" header="0.0" left="0.0" right="0.1968503937007874" top="0.196850393700787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5.57"/>
    <col customWidth="1" min="3" max="13" width="11.14"/>
    <col customWidth="1" min="14" max="26" width="10.71"/>
  </cols>
  <sheetData>
    <row r="1">
      <c r="A1" s="35"/>
      <c r="B1" s="190"/>
      <c r="C1" s="191" t="s">
        <v>2194</v>
      </c>
      <c r="K1" s="192"/>
      <c r="L1" s="35"/>
      <c r="M1" s="35"/>
    </row>
    <row r="2">
      <c r="A2" s="35"/>
      <c r="B2" s="190"/>
      <c r="C2" s="193" t="s">
        <v>2195</v>
      </c>
      <c r="K2" s="192"/>
      <c r="L2" s="35"/>
      <c r="M2" s="35"/>
    </row>
    <row r="3">
      <c r="A3" s="35"/>
      <c r="B3" s="194"/>
      <c r="C3" s="194"/>
      <c r="D3" s="35"/>
      <c r="E3" s="195" t="s">
        <v>2196</v>
      </c>
      <c r="F3" s="196">
        <v>43252.0</v>
      </c>
      <c r="G3" s="25"/>
      <c r="H3" s="25"/>
      <c r="I3" s="25"/>
      <c r="J3" s="35"/>
      <c r="K3" s="35"/>
      <c r="L3" s="35"/>
      <c r="M3" s="35"/>
    </row>
    <row r="4">
      <c r="A4" s="194"/>
      <c r="B4" s="197" t="s">
        <v>2205</v>
      </c>
      <c r="C4" s="198" t="s">
        <v>2206</v>
      </c>
      <c r="D4" s="199"/>
      <c r="E4" s="199"/>
      <c r="F4" s="199"/>
      <c r="G4" s="199"/>
      <c r="H4" s="35"/>
      <c r="I4" s="195" t="s">
        <v>2197</v>
      </c>
      <c r="J4" s="200" t="s">
        <v>19</v>
      </c>
      <c r="K4" s="201"/>
      <c r="L4" s="35"/>
      <c r="M4" s="35"/>
    </row>
    <row r="5">
      <c r="A5" s="202"/>
      <c r="B5" s="199"/>
      <c r="C5" s="203" t="s">
        <v>2198</v>
      </c>
      <c r="D5" s="204"/>
      <c r="E5" s="204"/>
      <c r="F5" s="204"/>
      <c r="G5" s="204"/>
      <c r="H5" s="204"/>
      <c r="I5" s="204"/>
      <c r="J5" s="204"/>
      <c r="K5" s="204"/>
      <c r="L5" s="205"/>
      <c r="M5" s="35"/>
    </row>
    <row r="6">
      <c r="A6" s="206" t="s">
        <v>103</v>
      </c>
      <c r="B6" s="236" t="s">
        <v>2199</v>
      </c>
      <c r="C6" s="208"/>
      <c r="D6" s="209"/>
      <c r="E6" s="208"/>
      <c r="F6" s="209"/>
      <c r="G6" s="208"/>
      <c r="H6" s="209"/>
      <c r="I6" s="208"/>
      <c r="J6" s="209"/>
      <c r="K6" s="208"/>
      <c r="L6" s="209"/>
      <c r="M6" s="210" t="s">
        <v>2200</v>
      </c>
    </row>
    <row r="7">
      <c r="A7" s="211"/>
      <c r="B7" s="211"/>
      <c r="C7" s="213" t="s">
        <v>2201</v>
      </c>
      <c r="D7" s="214" t="s">
        <v>2202</v>
      </c>
      <c r="E7" s="213" t="s">
        <v>2201</v>
      </c>
      <c r="F7" s="214" t="s">
        <v>2202</v>
      </c>
      <c r="G7" s="213" t="s">
        <v>2201</v>
      </c>
      <c r="H7" s="214" t="s">
        <v>2202</v>
      </c>
      <c r="I7" s="213" t="s">
        <v>2201</v>
      </c>
      <c r="J7" s="214" t="s">
        <v>2202</v>
      </c>
      <c r="K7" s="213" t="s">
        <v>2201</v>
      </c>
      <c r="L7" s="214" t="s">
        <v>2202</v>
      </c>
      <c r="M7" s="211"/>
    </row>
    <row r="8">
      <c r="A8" s="186">
        <v>1.0</v>
      </c>
      <c r="B8" s="57" t="s">
        <v>167</v>
      </c>
      <c r="C8" s="215"/>
      <c r="D8" s="216"/>
      <c r="E8" s="215"/>
      <c r="F8" s="216"/>
      <c r="G8" s="215"/>
      <c r="H8" s="216"/>
      <c r="I8" s="215"/>
      <c r="J8" s="216"/>
      <c r="K8" s="215"/>
      <c r="L8" s="216"/>
      <c r="M8" s="217"/>
    </row>
    <row r="9">
      <c r="A9" s="186">
        <v>2.0</v>
      </c>
      <c r="B9" s="57" t="s">
        <v>183</v>
      </c>
      <c r="C9" s="218"/>
      <c r="D9" s="219"/>
      <c r="E9" s="218"/>
      <c r="F9" s="219"/>
      <c r="G9" s="218"/>
      <c r="H9" s="219"/>
      <c r="I9" s="218"/>
      <c r="J9" s="219"/>
      <c r="K9" s="218"/>
      <c r="L9" s="219"/>
      <c r="M9" s="220"/>
    </row>
    <row r="10">
      <c r="A10" s="186">
        <v>3.0</v>
      </c>
      <c r="B10" s="57" t="s">
        <v>2207</v>
      </c>
      <c r="C10" s="218"/>
      <c r="D10" s="219"/>
      <c r="E10" s="221"/>
      <c r="F10" s="222"/>
      <c r="G10" s="221"/>
      <c r="H10" s="222"/>
      <c r="I10" s="221"/>
      <c r="J10" s="222"/>
      <c r="K10" s="221"/>
      <c r="L10" s="222"/>
      <c r="M10" s="223"/>
    </row>
    <row r="11">
      <c r="A11" s="186">
        <v>4.0</v>
      </c>
      <c r="B11" s="57" t="s">
        <v>243</v>
      </c>
      <c r="C11" s="218"/>
      <c r="D11" s="219"/>
      <c r="E11" s="218"/>
      <c r="F11" s="219"/>
      <c r="G11" s="218"/>
      <c r="H11" s="219"/>
      <c r="I11" s="218"/>
      <c r="J11" s="219"/>
      <c r="K11" s="218"/>
      <c r="L11" s="219"/>
      <c r="M11" s="220"/>
    </row>
    <row r="12">
      <c r="A12" s="186">
        <v>5.0</v>
      </c>
      <c r="B12" s="57" t="s">
        <v>295</v>
      </c>
      <c r="C12" s="221"/>
      <c r="D12" s="222"/>
      <c r="E12" s="221"/>
      <c r="F12" s="222"/>
      <c r="G12" s="221"/>
      <c r="H12" s="222"/>
      <c r="I12" s="221"/>
      <c r="J12" s="222"/>
      <c r="K12" s="221"/>
      <c r="L12" s="222"/>
      <c r="M12" s="223"/>
    </row>
    <row r="13">
      <c r="A13" s="186">
        <v>6.0</v>
      </c>
      <c r="B13" s="57" t="s">
        <v>404</v>
      </c>
      <c r="C13" s="218"/>
      <c r="D13" s="219"/>
      <c r="E13" s="218"/>
      <c r="F13" s="219"/>
      <c r="G13" s="218"/>
      <c r="H13" s="219"/>
      <c r="I13" s="218"/>
      <c r="J13" s="219"/>
      <c r="K13" s="218"/>
      <c r="L13" s="219"/>
      <c r="M13" s="220"/>
    </row>
    <row r="14">
      <c r="A14" s="186">
        <v>7.0</v>
      </c>
      <c r="B14" s="57" t="s">
        <v>406</v>
      </c>
      <c r="C14" s="221"/>
      <c r="D14" s="222"/>
      <c r="E14" s="221"/>
      <c r="F14" s="222"/>
      <c r="G14" s="221"/>
      <c r="H14" s="222"/>
      <c r="I14" s="221"/>
      <c r="J14" s="222"/>
      <c r="K14" s="221"/>
      <c r="L14" s="222"/>
      <c r="M14" s="223"/>
    </row>
    <row r="15">
      <c r="A15" s="186">
        <v>8.0</v>
      </c>
      <c r="B15" s="57" t="s">
        <v>508</v>
      </c>
      <c r="C15" s="218"/>
      <c r="D15" s="219"/>
      <c r="E15" s="218"/>
      <c r="F15" s="219"/>
      <c r="G15" s="218"/>
      <c r="H15" s="219"/>
      <c r="I15" s="218"/>
      <c r="J15" s="219"/>
      <c r="K15" s="218"/>
      <c r="L15" s="219"/>
      <c r="M15" s="220"/>
    </row>
    <row r="16">
      <c r="A16" s="186">
        <v>9.0</v>
      </c>
      <c r="B16" s="57" t="s">
        <v>747</v>
      </c>
      <c r="C16" s="221"/>
      <c r="D16" s="222"/>
      <c r="E16" s="221"/>
      <c r="F16" s="222"/>
      <c r="G16" s="221"/>
      <c r="H16" s="222"/>
      <c r="I16" s="221"/>
      <c r="J16" s="222"/>
      <c r="K16" s="221"/>
      <c r="L16" s="222"/>
      <c r="M16" s="223"/>
    </row>
    <row r="17">
      <c r="A17" s="186">
        <v>10.0</v>
      </c>
      <c r="B17" s="57" t="s">
        <v>754</v>
      </c>
      <c r="C17" s="218"/>
      <c r="D17" s="219"/>
      <c r="E17" s="218"/>
      <c r="F17" s="219"/>
      <c r="G17" s="218"/>
      <c r="H17" s="219"/>
      <c r="I17" s="218"/>
      <c r="J17" s="219"/>
      <c r="K17" s="218"/>
      <c r="L17" s="219"/>
      <c r="M17" s="220"/>
    </row>
    <row r="18">
      <c r="A18" s="186">
        <v>11.0</v>
      </c>
      <c r="B18" s="57" t="s">
        <v>815</v>
      </c>
      <c r="C18" s="221"/>
      <c r="D18" s="222"/>
      <c r="E18" s="221"/>
      <c r="F18" s="222"/>
      <c r="G18" s="221"/>
      <c r="H18" s="222"/>
      <c r="I18" s="221"/>
      <c r="J18" s="222"/>
      <c r="K18" s="221"/>
      <c r="L18" s="222"/>
      <c r="M18" s="223"/>
    </row>
    <row r="19">
      <c r="A19" s="186">
        <v>12.0</v>
      </c>
      <c r="B19" s="57" t="s">
        <v>869</v>
      </c>
      <c r="C19" s="218"/>
      <c r="D19" s="219"/>
      <c r="E19" s="218"/>
      <c r="F19" s="219"/>
      <c r="G19" s="218"/>
      <c r="H19" s="219"/>
      <c r="I19" s="218"/>
      <c r="J19" s="219"/>
      <c r="K19" s="218"/>
      <c r="L19" s="219"/>
      <c r="M19" s="220"/>
    </row>
    <row r="20">
      <c r="A20" s="186">
        <v>13.0</v>
      </c>
      <c r="B20" s="57" t="s">
        <v>883</v>
      </c>
      <c r="C20" s="221"/>
      <c r="D20" s="222"/>
      <c r="E20" s="221"/>
      <c r="F20" s="222"/>
      <c r="G20" s="221"/>
      <c r="H20" s="222"/>
      <c r="I20" s="221"/>
      <c r="J20" s="222"/>
      <c r="K20" s="221"/>
      <c r="L20" s="222"/>
      <c r="M20" s="223"/>
    </row>
    <row r="21" ht="15.75" customHeight="1">
      <c r="A21" s="186">
        <v>14.0</v>
      </c>
      <c r="B21" s="57" t="s">
        <v>1076</v>
      </c>
      <c r="C21" s="218"/>
      <c r="D21" s="219"/>
      <c r="E21" s="218"/>
      <c r="F21" s="219"/>
      <c r="G21" s="218"/>
      <c r="H21" s="219"/>
      <c r="I21" s="218"/>
      <c r="J21" s="219"/>
      <c r="K21" s="218"/>
      <c r="L21" s="219"/>
      <c r="M21" s="220"/>
    </row>
    <row r="22" ht="15.75" customHeight="1">
      <c r="A22" s="186">
        <v>15.0</v>
      </c>
      <c r="B22" s="57" t="s">
        <v>1078</v>
      </c>
      <c r="C22" s="221"/>
      <c r="D22" s="222"/>
      <c r="E22" s="221"/>
      <c r="F22" s="222"/>
      <c r="G22" s="221"/>
      <c r="H22" s="222"/>
      <c r="I22" s="221"/>
      <c r="J22" s="222"/>
      <c r="K22" s="221"/>
      <c r="L22" s="222"/>
      <c r="M22" s="223"/>
    </row>
    <row r="23" ht="15.75" customHeight="1">
      <c r="A23" s="186">
        <v>16.0</v>
      </c>
      <c r="B23" s="57" t="s">
        <v>1136</v>
      </c>
      <c r="C23" s="218"/>
      <c r="D23" s="219"/>
      <c r="E23" s="218"/>
      <c r="F23" s="219"/>
      <c r="G23" s="218"/>
      <c r="H23" s="219"/>
      <c r="I23" s="218"/>
      <c r="J23" s="219"/>
      <c r="K23" s="218"/>
      <c r="L23" s="219"/>
      <c r="M23" s="220"/>
    </row>
    <row r="24" ht="15.75" customHeight="1">
      <c r="A24" s="186">
        <v>17.0</v>
      </c>
      <c r="B24" s="57" t="s">
        <v>1194</v>
      </c>
      <c r="C24" s="221"/>
      <c r="D24" s="222"/>
      <c r="E24" s="221"/>
      <c r="F24" s="222"/>
      <c r="G24" s="221"/>
      <c r="H24" s="222"/>
      <c r="I24" s="221"/>
      <c r="J24" s="222"/>
      <c r="K24" s="221"/>
      <c r="L24" s="222"/>
      <c r="M24" s="223"/>
    </row>
    <row r="25" ht="15.75" customHeight="1">
      <c r="A25" s="186">
        <v>18.0</v>
      </c>
      <c r="B25" s="57" t="s">
        <v>1201</v>
      </c>
      <c r="C25" s="218"/>
      <c r="D25" s="219"/>
      <c r="E25" s="218"/>
      <c r="F25" s="219"/>
      <c r="G25" s="218"/>
      <c r="H25" s="219"/>
      <c r="I25" s="218"/>
      <c r="J25" s="219"/>
      <c r="K25" s="218"/>
      <c r="L25" s="219"/>
      <c r="M25" s="220"/>
    </row>
    <row r="26" ht="15.75" customHeight="1">
      <c r="A26" s="186">
        <v>19.0</v>
      </c>
      <c r="B26" s="57" t="s">
        <v>1278</v>
      </c>
      <c r="C26" s="221"/>
      <c r="D26" s="222"/>
      <c r="E26" s="221"/>
      <c r="F26" s="222"/>
      <c r="G26" s="221"/>
      <c r="H26" s="222"/>
      <c r="I26" s="221"/>
      <c r="J26" s="222"/>
      <c r="K26" s="221"/>
      <c r="L26" s="222"/>
      <c r="M26" s="223"/>
    </row>
    <row r="27" ht="15.75" customHeight="1">
      <c r="A27" s="186">
        <v>20.0</v>
      </c>
      <c r="B27" s="57" t="s">
        <v>1284</v>
      </c>
      <c r="C27" s="218"/>
      <c r="D27" s="219"/>
      <c r="E27" s="218"/>
      <c r="F27" s="219"/>
      <c r="G27" s="218"/>
      <c r="H27" s="219"/>
      <c r="I27" s="218"/>
      <c r="J27" s="219"/>
      <c r="K27" s="218"/>
      <c r="L27" s="219"/>
      <c r="M27" s="220"/>
    </row>
    <row r="28" ht="15.75" customHeight="1">
      <c r="A28" s="186">
        <v>21.0</v>
      </c>
      <c r="B28" s="57" t="s">
        <v>1313</v>
      </c>
      <c r="C28" s="221"/>
      <c r="D28" s="222"/>
      <c r="E28" s="221"/>
      <c r="F28" s="222"/>
      <c r="G28" s="221"/>
      <c r="H28" s="222"/>
      <c r="I28" s="221"/>
      <c r="J28" s="222"/>
      <c r="K28" s="221"/>
      <c r="L28" s="222"/>
      <c r="M28" s="223"/>
    </row>
    <row r="29" ht="15.75" customHeight="1">
      <c r="A29" s="186">
        <v>22.0</v>
      </c>
      <c r="B29" s="57" t="s">
        <v>1326</v>
      </c>
      <c r="C29" s="218"/>
      <c r="D29" s="219"/>
      <c r="E29" s="218"/>
      <c r="F29" s="219"/>
      <c r="G29" s="218"/>
      <c r="H29" s="219"/>
      <c r="I29" s="218"/>
      <c r="J29" s="219"/>
      <c r="K29" s="218"/>
      <c r="L29" s="219"/>
      <c r="M29" s="220"/>
    </row>
    <row r="30" ht="15.75" customHeight="1">
      <c r="A30" s="186">
        <v>23.0</v>
      </c>
      <c r="B30" s="57" t="s">
        <v>1432</v>
      </c>
      <c r="C30" s="218"/>
      <c r="D30" s="219"/>
      <c r="E30" s="221"/>
      <c r="F30" s="222"/>
      <c r="G30" s="221"/>
      <c r="H30" s="222"/>
      <c r="I30" s="221"/>
      <c r="J30" s="222"/>
      <c r="K30" s="221"/>
      <c r="L30" s="222"/>
      <c r="M30" s="223"/>
    </row>
    <row r="31" ht="15.75" customHeight="1">
      <c r="A31" s="186">
        <v>24.0</v>
      </c>
      <c r="B31" s="57" t="s">
        <v>1453</v>
      </c>
      <c r="C31" s="218"/>
      <c r="D31" s="219"/>
      <c r="E31" s="218"/>
      <c r="F31" s="219"/>
      <c r="G31" s="218"/>
      <c r="H31" s="219"/>
      <c r="I31" s="218"/>
      <c r="J31" s="219"/>
      <c r="K31" s="218"/>
      <c r="L31" s="219"/>
      <c r="M31" s="220"/>
    </row>
    <row r="32" ht="15.75" customHeight="1">
      <c r="A32" s="186">
        <v>25.0</v>
      </c>
      <c r="B32" s="57" t="s">
        <v>1613</v>
      </c>
      <c r="C32" s="218"/>
      <c r="D32" s="219"/>
      <c r="E32" s="221"/>
      <c r="F32" s="222"/>
      <c r="G32" s="221"/>
      <c r="H32" s="222"/>
      <c r="I32" s="221"/>
      <c r="J32" s="222"/>
      <c r="K32" s="221"/>
      <c r="L32" s="222"/>
      <c r="M32" s="223"/>
    </row>
    <row r="33" ht="15.75" customHeight="1">
      <c r="A33" s="186">
        <v>26.0</v>
      </c>
      <c r="B33" s="57" t="s">
        <v>1628</v>
      </c>
      <c r="C33" s="218"/>
      <c r="D33" s="219"/>
      <c r="E33" s="221"/>
      <c r="F33" s="222"/>
      <c r="G33" s="221"/>
      <c r="H33" s="222"/>
      <c r="I33" s="221"/>
      <c r="J33" s="222"/>
      <c r="K33" s="221"/>
      <c r="L33" s="222"/>
      <c r="M33" s="223"/>
    </row>
    <row r="34" ht="15.75" customHeight="1">
      <c r="A34" s="186">
        <v>27.0</v>
      </c>
      <c r="B34" s="57" t="s">
        <v>1635</v>
      </c>
      <c r="C34" s="218"/>
      <c r="D34" s="219"/>
      <c r="E34" s="221"/>
      <c r="F34" s="222"/>
      <c r="G34" s="221"/>
      <c r="H34" s="222"/>
      <c r="I34" s="221"/>
      <c r="J34" s="222"/>
      <c r="K34" s="221"/>
      <c r="L34" s="222"/>
      <c r="M34" s="223"/>
    </row>
    <row r="35" ht="15.75" customHeight="1">
      <c r="A35" s="186">
        <v>28.0</v>
      </c>
      <c r="B35" s="57" t="s">
        <v>1665</v>
      </c>
      <c r="C35" s="218"/>
      <c r="D35" s="219"/>
      <c r="E35" s="221"/>
      <c r="F35" s="222"/>
      <c r="G35" s="221"/>
      <c r="H35" s="222"/>
      <c r="I35" s="221"/>
      <c r="J35" s="222"/>
      <c r="K35" s="221"/>
      <c r="L35" s="222"/>
      <c r="M35" s="223"/>
    </row>
    <row r="36" ht="15.75" customHeight="1">
      <c r="A36" s="186">
        <v>29.0</v>
      </c>
      <c r="B36" s="57" t="s">
        <v>1775</v>
      </c>
      <c r="C36" s="218"/>
      <c r="D36" s="219"/>
      <c r="E36" s="221"/>
      <c r="F36" s="222"/>
      <c r="G36" s="221"/>
      <c r="H36" s="222"/>
      <c r="I36" s="221"/>
      <c r="J36" s="222"/>
      <c r="K36" s="221"/>
      <c r="L36" s="222"/>
      <c r="M36" s="223"/>
    </row>
    <row r="37" ht="15.75" customHeight="1">
      <c r="A37" s="186">
        <v>30.0</v>
      </c>
      <c r="B37" s="57" t="s">
        <v>1827</v>
      </c>
      <c r="C37" s="218"/>
      <c r="D37" s="219"/>
      <c r="E37" s="221"/>
      <c r="F37" s="222"/>
      <c r="G37" s="221"/>
      <c r="H37" s="222"/>
      <c r="I37" s="221"/>
      <c r="J37" s="222"/>
      <c r="K37" s="221"/>
      <c r="L37" s="222"/>
      <c r="M37" s="223"/>
    </row>
    <row r="38" ht="15.75" customHeight="1">
      <c r="A38" s="186">
        <v>31.0</v>
      </c>
      <c r="B38" s="57" t="s">
        <v>1867</v>
      </c>
      <c r="C38" s="218"/>
      <c r="D38" s="219"/>
      <c r="E38" s="221"/>
      <c r="F38" s="222"/>
      <c r="G38" s="221"/>
      <c r="H38" s="222"/>
      <c r="I38" s="221"/>
      <c r="J38" s="222"/>
      <c r="K38" s="221"/>
      <c r="L38" s="222"/>
      <c r="M38" s="223"/>
    </row>
    <row r="39" ht="15.75" customHeight="1">
      <c r="A39" s="186">
        <v>32.0</v>
      </c>
      <c r="B39" s="57" t="s">
        <v>21</v>
      </c>
      <c r="C39" s="218"/>
      <c r="D39" s="219"/>
      <c r="E39" s="221"/>
      <c r="F39" s="222"/>
      <c r="G39" s="221"/>
      <c r="H39" s="222"/>
      <c r="I39" s="221"/>
      <c r="J39" s="222"/>
      <c r="K39" s="221"/>
      <c r="L39" s="222"/>
      <c r="M39" s="223"/>
    </row>
    <row r="40" ht="15.75" customHeight="1">
      <c r="A40" s="186">
        <v>33.0</v>
      </c>
      <c r="B40" s="57" t="s">
        <v>1936</v>
      </c>
      <c r="C40" s="218"/>
      <c r="D40" s="219"/>
      <c r="E40" s="221"/>
      <c r="F40" s="222"/>
      <c r="G40" s="221"/>
      <c r="H40" s="222"/>
      <c r="I40" s="221"/>
      <c r="J40" s="222"/>
      <c r="K40" s="221"/>
      <c r="L40" s="222"/>
      <c r="M40" s="223"/>
    </row>
    <row r="41" ht="15.75" customHeight="1">
      <c r="A41" s="186">
        <v>34.0</v>
      </c>
      <c r="B41" s="57" t="s">
        <v>1982</v>
      </c>
      <c r="C41" s="218"/>
      <c r="D41" s="219"/>
      <c r="E41" s="221"/>
      <c r="F41" s="222"/>
      <c r="G41" s="221"/>
      <c r="H41" s="222"/>
      <c r="I41" s="221"/>
      <c r="J41" s="222"/>
      <c r="K41" s="221"/>
      <c r="L41" s="222"/>
      <c r="M41" s="223"/>
    </row>
    <row r="42" ht="15.75" customHeight="1">
      <c r="A42" s="186">
        <v>35.0</v>
      </c>
      <c r="B42" s="57" t="s">
        <v>2047</v>
      </c>
      <c r="C42" s="218"/>
      <c r="D42" s="219"/>
      <c r="E42" s="221"/>
      <c r="F42" s="222"/>
      <c r="G42" s="221"/>
      <c r="H42" s="222"/>
      <c r="I42" s="221"/>
      <c r="J42" s="222"/>
      <c r="K42" s="221"/>
      <c r="L42" s="222"/>
      <c r="M42" s="223"/>
    </row>
    <row r="43" ht="15.75" customHeight="1">
      <c r="A43" s="186">
        <v>36.0</v>
      </c>
      <c r="B43" s="57" t="s">
        <v>2114</v>
      </c>
      <c r="C43" s="218"/>
      <c r="D43" s="219"/>
      <c r="E43" s="221"/>
      <c r="F43" s="222"/>
      <c r="G43" s="221"/>
      <c r="H43" s="222"/>
      <c r="I43" s="221"/>
      <c r="J43" s="222"/>
      <c r="K43" s="221"/>
      <c r="L43" s="222"/>
      <c r="M43" s="223"/>
    </row>
    <row r="44" ht="15.75" customHeight="1">
      <c r="A44" s="186">
        <v>37.0</v>
      </c>
      <c r="B44" s="57" t="s">
        <v>2133</v>
      </c>
      <c r="C44" s="218"/>
      <c r="D44" s="219"/>
      <c r="E44" s="221"/>
      <c r="F44" s="222"/>
      <c r="G44" s="221"/>
      <c r="H44" s="222"/>
      <c r="I44" s="221"/>
      <c r="J44" s="222"/>
      <c r="K44" s="221"/>
      <c r="L44" s="222"/>
      <c r="M44" s="223"/>
    </row>
    <row r="45" ht="15.75" customHeight="1">
      <c r="A45" s="224"/>
      <c r="B45" s="225" t="s">
        <v>42</v>
      </c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</row>
    <row r="46" ht="15.75" customHeight="1">
      <c r="A46" s="35"/>
      <c r="B46" s="226" t="s">
        <v>42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ht="15.75" customHeight="1">
      <c r="A47" s="35"/>
      <c r="B47" s="227" t="s">
        <v>2203</v>
      </c>
      <c r="M47" s="35"/>
    </row>
    <row r="48" ht="15.75" customHeight="1">
      <c r="A48" s="35"/>
      <c r="B48" s="226" t="s">
        <v>42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ht="15.75" customHeight="1">
      <c r="A49" s="228"/>
      <c r="B49" s="229" t="s">
        <v>2208</v>
      </c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8"/>
    </row>
    <row r="50" ht="15.75" customHeight="1">
      <c r="A50" s="35"/>
      <c r="B50" s="226" t="s">
        <v>42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ht="15.75" customHeight="1">
      <c r="A51" s="232"/>
      <c r="B51" s="233" t="s">
        <v>2204</v>
      </c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F6"/>
    <mergeCell ref="G6:H6"/>
    <mergeCell ref="B47:L47"/>
    <mergeCell ref="B49:M49"/>
    <mergeCell ref="I6:J6"/>
    <mergeCell ref="K6:L6"/>
    <mergeCell ref="M6:M7"/>
    <mergeCell ref="C1:J1"/>
    <mergeCell ref="C2:J2"/>
    <mergeCell ref="F3:I3"/>
    <mergeCell ref="C5:L5"/>
    <mergeCell ref="A6:A7"/>
    <mergeCell ref="B6:B7"/>
    <mergeCell ref="C6:D6"/>
  </mergeCells>
  <conditionalFormatting sqref="A8:A37 A43:A44">
    <cfRule type="expression" dxfId="0" priority="1">
      <formula>AND(B8&lt;&gt;"",B9="")</formula>
    </cfRule>
  </conditionalFormatting>
  <conditionalFormatting sqref="A38:A40">
    <cfRule type="expression" dxfId="0" priority="2">
      <formula>AND(B38&lt;&gt;"",B43="")</formula>
    </cfRule>
  </conditionalFormatting>
  <conditionalFormatting sqref="A41">
    <cfRule type="expression" dxfId="0" priority="3">
      <formula>AND(B41&lt;&gt;"",B45="")</formula>
    </cfRule>
  </conditionalFormatting>
  <conditionalFormatting sqref="A42">
    <cfRule type="expression" dxfId="0" priority="4">
      <formula>AND(B42&lt;&gt;"",B45="")</formula>
    </cfRule>
  </conditionalFormatting>
  <dataValidations>
    <dataValidation type="list" allowBlank="1" showErrorMessage="1" sqref="J4">
      <formula1>DÍA</formula1>
    </dataValidation>
  </dataValidations>
  <printOptions/>
  <pageMargins bottom="0.7480314960629921" footer="0.0" header="0.0" left="0.4330708661417323" right="0.4330708661417323" top="0.7480314960629921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10.14"/>
    <col customWidth="1" min="3" max="3" width="35.0"/>
    <col customWidth="1" min="4" max="4" width="4.14"/>
    <col customWidth="1" min="5" max="5" width="4.71"/>
    <col customWidth="1" min="6" max="6" width="3.71"/>
    <col customWidth="1" min="7" max="7" width="6.14"/>
    <col customWidth="1" min="8" max="8" width="4.57"/>
    <col customWidth="1" min="9" max="9" width="10.29"/>
    <col customWidth="1" min="10" max="10" width="4.71"/>
    <col customWidth="1" min="11" max="11" width="12.71"/>
    <col customWidth="1" min="12" max="12" width="37.29"/>
    <col customWidth="1" min="13" max="13" width="10.29"/>
    <col customWidth="1" min="14" max="14" width="56.43"/>
    <col customWidth="1" min="15" max="15" width="11.43"/>
    <col customWidth="1" min="16" max="26" width="10.71"/>
  </cols>
  <sheetData>
    <row r="1" ht="18.75" customHeight="1">
      <c r="A1" s="31"/>
      <c r="B1" s="32"/>
      <c r="C1" s="33" t="str">
        <f>"Total: "&amp;SUBTOTAL(3,$C$4:$C$10)</f>
        <v>Total: 7</v>
      </c>
      <c r="D1" s="31"/>
      <c r="E1" s="31"/>
      <c r="F1" s="31"/>
      <c r="G1" s="31"/>
      <c r="H1" s="31"/>
      <c r="I1" s="34"/>
      <c r="J1" s="31"/>
      <c r="K1" s="31"/>
      <c r="L1" s="35"/>
      <c r="M1" s="34"/>
      <c r="N1" s="35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8.75" customHeight="1">
      <c r="A2" s="31"/>
      <c r="B2" s="31"/>
      <c r="C2" s="36"/>
      <c r="D2" s="31"/>
      <c r="E2" s="31"/>
      <c r="F2" s="31"/>
      <c r="G2" s="31"/>
      <c r="H2" s="31"/>
      <c r="I2" s="34"/>
      <c r="J2" s="31"/>
      <c r="K2" s="31"/>
      <c r="L2" s="35"/>
      <c r="M2" s="34"/>
      <c r="N2" s="3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239" t="s">
        <v>103</v>
      </c>
      <c r="B3" s="239" t="s">
        <v>104</v>
      </c>
      <c r="C3" s="240" t="s">
        <v>105</v>
      </c>
      <c r="D3" s="239" t="s">
        <v>106</v>
      </c>
      <c r="E3" s="239" t="s">
        <v>2209</v>
      </c>
      <c r="F3" s="241" t="s">
        <v>107</v>
      </c>
      <c r="G3" s="241" t="s">
        <v>108</v>
      </c>
      <c r="H3" s="241" t="s">
        <v>109</v>
      </c>
      <c r="I3" s="242" t="s">
        <v>110</v>
      </c>
      <c r="J3" s="243" t="s">
        <v>111</v>
      </c>
      <c r="K3" s="243" t="s">
        <v>112</v>
      </c>
      <c r="L3" s="243" t="s">
        <v>113</v>
      </c>
      <c r="M3" s="242" t="s">
        <v>114</v>
      </c>
      <c r="N3" s="241" t="s">
        <v>115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8.75" customHeight="1">
      <c r="A4" s="56"/>
      <c r="B4" s="56" t="str">
        <f t="shared" ref="B4:B174" si="1">IF(C4="","",D4&amp;F4&amp;COUNTIFS($D$4:D4,D4,$F$4:F4,F4))</f>
        <v>HJ1</v>
      </c>
      <c r="C4" s="57" t="s">
        <v>2210</v>
      </c>
      <c r="D4" s="56" t="s">
        <v>117</v>
      </c>
      <c r="E4" s="56" t="s">
        <v>40</v>
      </c>
      <c r="F4" s="56" t="s">
        <v>30</v>
      </c>
      <c r="G4" s="56" t="s">
        <v>118</v>
      </c>
      <c r="H4" s="56" t="s">
        <v>118</v>
      </c>
      <c r="I4" s="59">
        <v>37852.0</v>
      </c>
      <c r="J4" s="56">
        <f t="shared" ref="J4:J174" si="2">IF(C4="","",DATEDIF(I4,TODAY(),"Y"))</f>
        <v>22</v>
      </c>
      <c r="K4" s="56">
        <v>3.314707502E9</v>
      </c>
      <c r="L4" s="60" t="s">
        <v>201</v>
      </c>
      <c r="M4" s="59">
        <v>42943.0</v>
      </c>
      <c r="N4" s="60"/>
      <c r="O4" s="34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8.75" customHeight="1">
      <c r="A5" s="56"/>
      <c r="B5" s="56" t="str">
        <f t="shared" si="1"/>
        <v>HMa1</v>
      </c>
      <c r="C5" s="57" t="s">
        <v>2137</v>
      </c>
      <c r="D5" s="56" t="s">
        <v>117</v>
      </c>
      <c r="E5" s="56" t="s">
        <v>16</v>
      </c>
      <c r="F5" s="56" t="s">
        <v>18</v>
      </c>
      <c r="G5" s="56" t="s">
        <v>118</v>
      </c>
      <c r="H5" s="56" t="s">
        <v>118</v>
      </c>
      <c r="I5" s="59">
        <v>16742.0</v>
      </c>
      <c r="J5" s="56">
        <f t="shared" si="2"/>
        <v>80</v>
      </c>
      <c r="K5" s="56">
        <v>3.314989868E9</v>
      </c>
      <c r="L5" s="60" t="s">
        <v>2138</v>
      </c>
      <c r="M5" s="59">
        <v>43002.0</v>
      </c>
      <c r="N5" s="60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8.75" customHeight="1">
      <c r="A6" s="56"/>
      <c r="B6" s="56" t="str">
        <f t="shared" si="1"/>
        <v>HD1</v>
      </c>
      <c r="C6" s="57" t="s">
        <v>372</v>
      </c>
      <c r="D6" s="56" t="s">
        <v>117</v>
      </c>
      <c r="E6" s="56" t="s">
        <v>40</v>
      </c>
      <c r="F6" s="56" t="s">
        <v>49</v>
      </c>
      <c r="G6" s="56" t="s">
        <v>118</v>
      </c>
      <c r="H6" s="56" t="s">
        <v>118</v>
      </c>
      <c r="I6" s="59">
        <v>35210.0</v>
      </c>
      <c r="J6" s="56">
        <f t="shared" si="2"/>
        <v>29</v>
      </c>
      <c r="K6" s="56">
        <v>3.334973578E9</v>
      </c>
      <c r="L6" s="60" t="s">
        <v>373</v>
      </c>
      <c r="M6" s="59">
        <v>43003.0</v>
      </c>
      <c r="N6" s="60"/>
      <c r="O6" s="35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8.75" customHeight="1">
      <c r="A7" s="56"/>
      <c r="B7" s="56" t="str">
        <f t="shared" si="1"/>
        <v>MS1</v>
      </c>
      <c r="C7" s="57" t="s">
        <v>1651</v>
      </c>
      <c r="D7" s="56" t="s">
        <v>128</v>
      </c>
      <c r="E7" s="56" t="s">
        <v>40</v>
      </c>
      <c r="F7" s="56" t="s">
        <v>43</v>
      </c>
      <c r="G7" s="56" t="s">
        <v>118</v>
      </c>
      <c r="H7" s="56" t="s">
        <v>118</v>
      </c>
      <c r="I7" s="59">
        <v>37605.0</v>
      </c>
      <c r="J7" s="56">
        <f t="shared" si="2"/>
        <v>23</v>
      </c>
      <c r="K7" s="56">
        <v>3.321101304E9</v>
      </c>
      <c r="L7" s="60" t="s">
        <v>1652</v>
      </c>
      <c r="M7" s="59">
        <v>42983.0</v>
      </c>
      <c r="N7" s="60"/>
      <c r="O7" s="35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8.75" customHeight="1">
      <c r="A8" s="56"/>
      <c r="B8" s="56" t="str">
        <f t="shared" si="1"/>
        <v>MD1</v>
      </c>
      <c r="C8" s="57" t="s">
        <v>2211</v>
      </c>
      <c r="D8" s="56" t="s">
        <v>128</v>
      </c>
      <c r="E8" s="56" t="s">
        <v>40</v>
      </c>
      <c r="F8" s="56" t="s">
        <v>49</v>
      </c>
      <c r="G8" s="56" t="s">
        <v>118</v>
      </c>
      <c r="H8" s="56" t="s">
        <v>118</v>
      </c>
      <c r="I8" s="59">
        <v>37188.0</v>
      </c>
      <c r="J8" s="56">
        <f t="shared" si="2"/>
        <v>24</v>
      </c>
      <c r="K8" s="56">
        <v>3.31857048E9</v>
      </c>
      <c r="L8" s="60" t="s">
        <v>428</v>
      </c>
      <c r="M8" s="59">
        <v>42985.0</v>
      </c>
      <c r="N8" s="60"/>
      <c r="O8" s="34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56"/>
      <c r="B9" s="56" t="str">
        <f t="shared" si="1"/>
        <v>MD2</v>
      </c>
      <c r="C9" s="57" t="s">
        <v>1315</v>
      </c>
      <c r="D9" s="56" t="s">
        <v>128</v>
      </c>
      <c r="E9" s="56" t="s">
        <v>40</v>
      </c>
      <c r="F9" s="56" t="s">
        <v>49</v>
      </c>
      <c r="G9" s="56" t="s">
        <v>118</v>
      </c>
      <c r="H9" s="56" t="s">
        <v>118</v>
      </c>
      <c r="I9" s="59">
        <v>30146.0</v>
      </c>
      <c r="J9" s="56">
        <f t="shared" si="2"/>
        <v>43</v>
      </c>
      <c r="K9" s="56">
        <v>3.322426265E9</v>
      </c>
      <c r="L9" s="60" t="s">
        <v>1316</v>
      </c>
      <c r="M9" s="59">
        <v>42992.0</v>
      </c>
      <c r="N9" s="60"/>
      <c r="O9" s="34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8.75" customHeight="1">
      <c r="A10" s="56"/>
      <c r="B10" s="56" t="str">
        <f t="shared" si="1"/>
        <v>MV1</v>
      </c>
      <c r="C10" s="57" t="s">
        <v>1748</v>
      </c>
      <c r="D10" s="56" t="s">
        <v>128</v>
      </c>
      <c r="E10" s="56" t="s">
        <v>40</v>
      </c>
      <c r="F10" s="56" t="s">
        <v>36</v>
      </c>
      <c r="G10" s="56" t="s">
        <v>118</v>
      </c>
      <c r="H10" s="56" t="s">
        <v>118</v>
      </c>
      <c r="I10" s="59">
        <v>37743.0</v>
      </c>
      <c r="J10" s="56">
        <f t="shared" si="2"/>
        <v>22</v>
      </c>
      <c r="K10" s="56">
        <v>3.319964457E9</v>
      </c>
      <c r="L10" s="60" t="s">
        <v>1749</v>
      </c>
      <c r="M10" s="59">
        <v>43045.0</v>
      </c>
      <c r="N10" s="60" t="s">
        <v>2212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8.75" customHeight="1">
      <c r="A11" s="31"/>
      <c r="B11" s="56" t="str">
        <f t="shared" si="1"/>
        <v>MS2</v>
      </c>
      <c r="C11" s="57" t="s">
        <v>2213</v>
      </c>
      <c r="D11" s="56" t="s">
        <v>128</v>
      </c>
      <c r="E11" s="56" t="s">
        <v>40</v>
      </c>
      <c r="F11" s="56" t="s">
        <v>43</v>
      </c>
      <c r="G11" s="56" t="s">
        <v>165</v>
      </c>
      <c r="H11" s="56" t="s">
        <v>118</v>
      </c>
      <c r="I11" s="59">
        <v>35070.0</v>
      </c>
      <c r="J11" s="56">
        <f t="shared" si="2"/>
        <v>30</v>
      </c>
      <c r="K11" s="56">
        <v>3.317083896E9</v>
      </c>
      <c r="L11" s="60" t="s">
        <v>2026</v>
      </c>
      <c r="M11" s="59">
        <v>43074.0</v>
      </c>
      <c r="N11" s="35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8.75" customHeight="1">
      <c r="A12" s="31"/>
      <c r="B12" s="56" t="str">
        <f t="shared" si="1"/>
        <v>MV2</v>
      </c>
      <c r="C12" s="57" t="s">
        <v>2214</v>
      </c>
      <c r="D12" s="56" t="s">
        <v>128</v>
      </c>
      <c r="E12" s="56" t="s">
        <v>34</v>
      </c>
      <c r="F12" s="56" t="s">
        <v>36</v>
      </c>
      <c r="G12" s="56" t="s">
        <v>118</v>
      </c>
      <c r="H12" s="56" t="s">
        <v>118</v>
      </c>
      <c r="I12" s="59">
        <v>25420.0</v>
      </c>
      <c r="J12" s="56">
        <f t="shared" si="2"/>
        <v>56</v>
      </c>
      <c r="K12" s="56"/>
      <c r="L12" s="60" t="s">
        <v>1558</v>
      </c>
      <c r="M12" s="59">
        <v>43078.0</v>
      </c>
      <c r="N12" s="35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8.75" customHeight="1">
      <c r="A13" s="31"/>
      <c r="B13" s="56" t="str">
        <f t="shared" si="1"/>
        <v>MJ1</v>
      </c>
      <c r="C13" s="57" t="s">
        <v>1319</v>
      </c>
      <c r="D13" s="56" t="s">
        <v>128</v>
      </c>
      <c r="E13" s="56" t="s">
        <v>34</v>
      </c>
      <c r="F13" s="56" t="s">
        <v>30</v>
      </c>
      <c r="G13" s="56" t="s">
        <v>118</v>
      </c>
      <c r="H13" s="56" t="s">
        <v>118</v>
      </c>
      <c r="I13" s="59"/>
      <c r="J13" s="56">
        <f t="shared" si="2"/>
        <v>126</v>
      </c>
      <c r="K13" s="56">
        <v>3.541080321E9</v>
      </c>
      <c r="L13" s="60" t="s">
        <v>1320</v>
      </c>
      <c r="M13" s="59">
        <v>43117.0</v>
      </c>
      <c r="N13" s="35" t="s">
        <v>2215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8.75" customHeight="1">
      <c r="A14" s="31"/>
      <c r="B14" s="56" t="str">
        <f t="shared" si="1"/>
        <v>MS3</v>
      </c>
      <c r="C14" s="57" t="s">
        <v>1642</v>
      </c>
      <c r="D14" s="56" t="s">
        <v>128</v>
      </c>
      <c r="E14" s="56" t="s">
        <v>40</v>
      </c>
      <c r="F14" s="56" t="s">
        <v>43</v>
      </c>
      <c r="G14" s="56" t="s">
        <v>118</v>
      </c>
      <c r="H14" s="56" t="s">
        <v>118</v>
      </c>
      <c r="I14" s="59">
        <v>36527.0</v>
      </c>
      <c r="J14" s="56">
        <f t="shared" si="2"/>
        <v>26</v>
      </c>
      <c r="K14" s="56">
        <v>3.319996068E9</v>
      </c>
      <c r="L14" s="60" t="s">
        <v>1305</v>
      </c>
      <c r="M14" s="59">
        <v>43115.0</v>
      </c>
      <c r="N14" s="35" t="s">
        <v>2216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8.75" customHeight="1">
      <c r="A15" s="31"/>
      <c r="B15" s="56" t="str">
        <f t="shared" si="1"/>
        <v>MS4</v>
      </c>
      <c r="C15" s="57" t="s">
        <v>704</v>
      </c>
      <c r="D15" s="56" t="s">
        <v>128</v>
      </c>
      <c r="E15" s="56" t="s">
        <v>40</v>
      </c>
      <c r="F15" s="56" t="s">
        <v>43</v>
      </c>
      <c r="G15" s="56" t="s">
        <v>118</v>
      </c>
      <c r="H15" s="56" t="s">
        <v>118</v>
      </c>
      <c r="I15" s="59">
        <v>37940.0</v>
      </c>
      <c r="J15" s="56">
        <f t="shared" si="2"/>
        <v>22</v>
      </c>
      <c r="K15" s="56">
        <v>3.311636973E9</v>
      </c>
      <c r="L15" s="60" t="s">
        <v>705</v>
      </c>
      <c r="M15" s="59">
        <v>43103.0</v>
      </c>
      <c r="N15" s="35" t="s">
        <v>2217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8.75" customHeight="1">
      <c r="A16" s="31"/>
      <c r="B16" s="56" t="str">
        <f t="shared" si="1"/>
        <v>MV3</v>
      </c>
      <c r="C16" s="57" t="s">
        <v>1794</v>
      </c>
      <c r="D16" s="56" t="s">
        <v>128</v>
      </c>
      <c r="E16" s="56" t="s">
        <v>16</v>
      </c>
      <c r="F16" s="56" t="s">
        <v>36</v>
      </c>
      <c r="G16" s="56" t="s">
        <v>118</v>
      </c>
      <c r="H16" s="56" t="s">
        <v>118</v>
      </c>
      <c r="I16" s="59">
        <v>24316.0</v>
      </c>
      <c r="J16" s="56">
        <f t="shared" si="2"/>
        <v>59</v>
      </c>
      <c r="K16" s="56">
        <v>3.31319631E9</v>
      </c>
      <c r="L16" s="60" t="s">
        <v>1795</v>
      </c>
      <c r="M16" s="59">
        <v>43103.0</v>
      </c>
      <c r="N16" s="35" t="s">
        <v>2218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8.75" customHeight="1">
      <c r="A17" s="31"/>
      <c r="B17" s="56" t="str">
        <f t="shared" si="1"/>
        <v>HV1</v>
      </c>
      <c r="C17" s="57" t="s">
        <v>1535</v>
      </c>
      <c r="D17" s="56" t="s">
        <v>117</v>
      </c>
      <c r="E17" s="56" t="s">
        <v>40</v>
      </c>
      <c r="F17" s="56" t="s">
        <v>36</v>
      </c>
      <c r="G17" s="56" t="s">
        <v>118</v>
      </c>
      <c r="H17" s="56" t="s">
        <v>118</v>
      </c>
      <c r="I17" s="59">
        <v>34213.0</v>
      </c>
      <c r="J17" s="56">
        <f t="shared" si="2"/>
        <v>32</v>
      </c>
      <c r="K17" s="56">
        <v>3.311316545E9</v>
      </c>
      <c r="L17" s="60"/>
      <c r="M17" s="59">
        <v>43123.0</v>
      </c>
      <c r="N17" s="35" t="s">
        <v>2219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8.75" customHeight="1">
      <c r="A18" s="31"/>
      <c r="B18" s="56" t="str">
        <f t="shared" si="1"/>
        <v>HS1</v>
      </c>
      <c r="C18" s="57" t="s">
        <v>768</v>
      </c>
      <c r="D18" s="56" t="s">
        <v>117</v>
      </c>
      <c r="E18" s="56" t="s">
        <v>40</v>
      </c>
      <c r="F18" s="56" t="s">
        <v>43</v>
      </c>
      <c r="G18" s="56" t="s">
        <v>165</v>
      </c>
      <c r="H18" s="56" t="s">
        <v>118</v>
      </c>
      <c r="I18" s="59">
        <v>37816.0</v>
      </c>
      <c r="J18" s="56">
        <f t="shared" si="2"/>
        <v>22</v>
      </c>
      <c r="K18" s="56">
        <v>3.331191945E9</v>
      </c>
      <c r="L18" s="60" t="s">
        <v>769</v>
      </c>
      <c r="M18" s="59">
        <v>43128.0</v>
      </c>
      <c r="N18" s="35" t="s">
        <v>2220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8.75" customHeight="1">
      <c r="A19" s="31"/>
      <c r="B19" s="56" t="str">
        <f t="shared" si="1"/>
        <v>HJ2</v>
      </c>
      <c r="C19" s="57" t="s">
        <v>617</v>
      </c>
      <c r="D19" s="56" t="s">
        <v>117</v>
      </c>
      <c r="E19" s="56" t="s">
        <v>40</v>
      </c>
      <c r="F19" s="56" t="s">
        <v>30</v>
      </c>
      <c r="G19" s="56" t="s">
        <v>118</v>
      </c>
      <c r="H19" s="56" t="s">
        <v>118</v>
      </c>
      <c r="I19" s="59">
        <v>33933.0</v>
      </c>
      <c r="J19" s="56">
        <f t="shared" si="2"/>
        <v>33</v>
      </c>
      <c r="K19" s="56">
        <v>3.318254382E9</v>
      </c>
      <c r="L19" s="60" t="s">
        <v>618</v>
      </c>
      <c r="M19" s="59">
        <v>43115.0</v>
      </c>
      <c r="N19" s="35" t="s">
        <v>2221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8.75" customHeight="1">
      <c r="A20" s="31"/>
      <c r="B20" s="56" t="str">
        <f t="shared" si="1"/>
        <v>HD2</v>
      </c>
      <c r="C20" s="57" t="s">
        <v>349</v>
      </c>
      <c r="D20" s="56" t="s">
        <v>117</v>
      </c>
      <c r="E20" s="56" t="s">
        <v>40</v>
      </c>
      <c r="F20" s="56" t="s">
        <v>49</v>
      </c>
      <c r="G20" s="56" t="s">
        <v>118</v>
      </c>
      <c r="H20" s="56" t="s">
        <v>118</v>
      </c>
      <c r="I20" s="59">
        <v>36609.0</v>
      </c>
      <c r="J20" s="56">
        <f t="shared" si="2"/>
        <v>26</v>
      </c>
      <c r="K20" s="56">
        <v>5.537782007E9</v>
      </c>
      <c r="L20" s="60" t="s">
        <v>350</v>
      </c>
      <c r="M20" s="59">
        <v>43107.0</v>
      </c>
      <c r="N20" s="35" t="s">
        <v>2222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8.75" customHeight="1">
      <c r="A21" s="31"/>
      <c r="B21" s="56" t="str">
        <f t="shared" si="1"/>
        <v>HD3</v>
      </c>
      <c r="C21" s="57" t="s">
        <v>1152</v>
      </c>
      <c r="D21" s="56" t="s">
        <v>117</v>
      </c>
      <c r="E21" s="56" t="s">
        <v>40</v>
      </c>
      <c r="F21" s="56" t="s">
        <v>49</v>
      </c>
      <c r="G21" s="56" t="s">
        <v>118</v>
      </c>
      <c r="H21" s="56" t="s">
        <v>118</v>
      </c>
      <c r="I21" s="59">
        <v>34395.0</v>
      </c>
      <c r="J21" s="56">
        <f t="shared" si="2"/>
        <v>32</v>
      </c>
      <c r="K21" s="56">
        <v>3.316717383E9</v>
      </c>
      <c r="L21" s="60" t="s">
        <v>1153</v>
      </c>
      <c r="M21" s="59">
        <v>43101.0</v>
      </c>
      <c r="N21" s="35" t="s">
        <v>2223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8.75" customHeight="1">
      <c r="A22" s="31"/>
      <c r="B22" s="56" t="str">
        <f t="shared" si="1"/>
        <v>MS5</v>
      </c>
      <c r="C22" s="57" t="s">
        <v>2224</v>
      </c>
      <c r="D22" s="56" t="s">
        <v>128</v>
      </c>
      <c r="E22" s="56" t="s">
        <v>40</v>
      </c>
      <c r="F22" s="56" t="s">
        <v>43</v>
      </c>
      <c r="G22" s="56" t="s">
        <v>118</v>
      </c>
      <c r="H22" s="56" t="s">
        <v>118</v>
      </c>
      <c r="I22" s="59">
        <v>35434.0</v>
      </c>
      <c r="J22" s="56">
        <f t="shared" si="2"/>
        <v>29</v>
      </c>
      <c r="K22" s="56">
        <v>3.318436092E9</v>
      </c>
      <c r="L22" s="60" t="s">
        <v>2225</v>
      </c>
      <c r="M22" s="34">
        <v>43162.0</v>
      </c>
      <c r="N22" s="35" t="s">
        <v>2226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8.75" customHeight="1">
      <c r="A23" s="31"/>
      <c r="B23" s="56" t="str">
        <f t="shared" si="1"/>
        <v>HV2</v>
      </c>
      <c r="C23" s="57" t="s">
        <v>2227</v>
      </c>
      <c r="D23" s="56" t="s">
        <v>117</v>
      </c>
      <c r="E23" s="56" t="s">
        <v>40</v>
      </c>
      <c r="F23" s="56" t="s">
        <v>36</v>
      </c>
      <c r="G23" s="56" t="s">
        <v>118</v>
      </c>
      <c r="H23" s="56" t="s">
        <v>118</v>
      </c>
      <c r="I23" s="59">
        <v>37866.0</v>
      </c>
      <c r="J23" s="56">
        <f t="shared" si="2"/>
        <v>22</v>
      </c>
      <c r="K23" s="56">
        <v>3.317712426E9</v>
      </c>
      <c r="L23" s="60" t="s">
        <v>1277</v>
      </c>
      <c r="M23" s="59">
        <v>43171.0</v>
      </c>
      <c r="N23" s="35" t="s">
        <v>2228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8.75" customHeight="1">
      <c r="A24" s="31"/>
      <c r="B24" s="56" t="str">
        <f t="shared" si="1"/>
        <v>MS6</v>
      </c>
      <c r="C24" s="57" t="s">
        <v>2229</v>
      </c>
      <c r="D24" s="56" t="s">
        <v>128</v>
      </c>
      <c r="E24" s="56" t="s">
        <v>16</v>
      </c>
      <c r="F24" s="56" t="s">
        <v>43</v>
      </c>
      <c r="G24" s="56" t="s">
        <v>118</v>
      </c>
      <c r="H24" s="56" t="s">
        <v>118</v>
      </c>
      <c r="I24" s="59">
        <v>14848.0</v>
      </c>
      <c r="J24" s="56">
        <f t="shared" si="2"/>
        <v>85</v>
      </c>
      <c r="K24" s="56">
        <v>3.320749117E9</v>
      </c>
      <c r="L24" s="60" t="s">
        <v>990</v>
      </c>
      <c r="M24" s="59">
        <v>43184.0</v>
      </c>
      <c r="N24" s="35" t="s">
        <v>2230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8.75" customHeight="1">
      <c r="A25" s="31"/>
      <c r="B25" s="56" t="str">
        <f t="shared" si="1"/>
        <v>HD4</v>
      </c>
      <c r="C25" s="57" t="s">
        <v>1264</v>
      </c>
      <c r="D25" s="56" t="s">
        <v>117</v>
      </c>
      <c r="E25" s="56" t="s">
        <v>16</v>
      </c>
      <c r="F25" s="56" t="s">
        <v>49</v>
      </c>
      <c r="G25" s="56" t="s">
        <v>118</v>
      </c>
      <c r="H25" s="56" t="s">
        <v>118</v>
      </c>
      <c r="I25" s="59">
        <v>26167.0</v>
      </c>
      <c r="J25" s="56">
        <f t="shared" si="2"/>
        <v>54</v>
      </c>
      <c r="K25" s="56">
        <v>3.321892337E9</v>
      </c>
      <c r="L25" s="60" t="s">
        <v>1265</v>
      </c>
      <c r="M25" s="59" t="s">
        <v>1266</v>
      </c>
      <c r="N25" s="35" t="s">
        <v>2231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75" customHeight="1">
      <c r="A26" s="31"/>
      <c r="B26" s="56" t="str">
        <f t="shared" si="1"/>
        <v>HD5</v>
      </c>
      <c r="C26" s="57" t="s">
        <v>392</v>
      </c>
      <c r="D26" s="56" t="s">
        <v>117</v>
      </c>
      <c r="E26" s="56" t="s">
        <v>22</v>
      </c>
      <c r="F26" s="56" t="s">
        <v>49</v>
      </c>
      <c r="G26" s="56" t="s">
        <v>118</v>
      </c>
      <c r="H26" s="56" t="s">
        <v>118</v>
      </c>
      <c r="I26" s="59">
        <v>27033.0</v>
      </c>
      <c r="J26" s="56">
        <f t="shared" si="2"/>
        <v>52</v>
      </c>
      <c r="K26" s="56">
        <v>3.310197194E9</v>
      </c>
      <c r="L26" s="60" t="s">
        <v>393</v>
      </c>
      <c r="M26" s="59">
        <v>43198.0</v>
      </c>
      <c r="N26" s="35" t="s">
        <v>2232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8.75" customHeight="1">
      <c r="A27" s="31"/>
      <c r="B27" s="56" t="str">
        <f t="shared" si="1"/>
        <v>HMa2</v>
      </c>
      <c r="C27" s="57" t="s">
        <v>799</v>
      </c>
      <c r="D27" s="56" t="s">
        <v>117</v>
      </c>
      <c r="E27" s="56" t="s">
        <v>28</v>
      </c>
      <c r="F27" s="56" t="s">
        <v>18</v>
      </c>
      <c r="G27" s="56" t="s">
        <v>118</v>
      </c>
      <c r="H27" s="56" t="s">
        <v>118</v>
      </c>
      <c r="I27" s="59">
        <v>32944.0</v>
      </c>
      <c r="J27" s="56">
        <f t="shared" si="2"/>
        <v>36</v>
      </c>
      <c r="K27" s="56">
        <v>3.33181558E9</v>
      </c>
      <c r="L27" s="60" t="s">
        <v>800</v>
      </c>
      <c r="M27" s="59">
        <v>43201.0</v>
      </c>
      <c r="N27" s="35" t="s">
        <v>2233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8.75" customHeight="1">
      <c r="A28" s="31"/>
      <c r="B28" s="56" t="str">
        <f t="shared" si="1"/>
        <v>HV3</v>
      </c>
      <c r="C28" s="57" t="s">
        <v>225</v>
      </c>
      <c r="D28" s="56" t="s">
        <v>117</v>
      </c>
      <c r="E28" s="56" t="s">
        <v>40</v>
      </c>
      <c r="F28" s="56" t="s">
        <v>36</v>
      </c>
      <c r="G28" s="56" t="s">
        <v>118</v>
      </c>
      <c r="H28" s="56" t="s">
        <v>118</v>
      </c>
      <c r="I28" s="59">
        <v>34217.0</v>
      </c>
      <c r="J28" s="56">
        <f t="shared" si="2"/>
        <v>32</v>
      </c>
      <c r="K28" s="56"/>
      <c r="L28" s="60" t="s">
        <v>226</v>
      </c>
      <c r="M28" s="59">
        <v>43201.0</v>
      </c>
      <c r="N28" s="35" t="s">
        <v>2234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8.75" customHeight="1">
      <c r="A29" s="31"/>
      <c r="B29" s="56" t="str">
        <f t="shared" si="1"/>
        <v>MMa1</v>
      </c>
      <c r="C29" s="57" t="s">
        <v>1936</v>
      </c>
      <c r="D29" s="56" t="s">
        <v>128</v>
      </c>
      <c r="E29" s="56" t="s">
        <v>40</v>
      </c>
      <c r="F29" s="56" t="s">
        <v>18</v>
      </c>
      <c r="G29" s="56" t="s">
        <v>165</v>
      </c>
      <c r="H29" s="56" t="s">
        <v>118</v>
      </c>
      <c r="I29" s="59">
        <v>37217.0</v>
      </c>
      <c r="J29" s="56">
        <f t="shared" si="2"/>
        <v>24</v>
      </c>
      <c r="K29" s="56">
        <v>3.6080847E7</v>
      </c>
      <c r="L29" s="60" t="s">
        <v>1937</v>
      </c>
      <c r="M29" s="59">
        <v>43193.0</v>
      </c>
      <c r="N29" s="35" t="s">
        <v>2235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8.75" customHeight="1">
      <c r="A30" s="31"/>
      <c r="B30" s="56" t="str">
        <f t="shared" si="1"/>
        <v>HMi1</v>
      </c>
      <c r="C30" s="57" t="s">
        <v>1511</v>
      </c>
      <c r="D30" s="56" t="s">
        <v>117</v>
      </c>
      <c r="E30" s="56" t="s">
        <v>40</v>
      </c>
      <c r="F30" s="56" t="s">
        <v>24</v>
      </c>
      <c r="G30" s="56" t="s">
        <v>118</v>
      </c>
      <c r="H30" s="56" t="s">
        <v>118</v>
      </c>
      <c r="I30" s="59">
        <v>38066.0</v>
      </c>
      <c r="J30" s="56">
        <f t="shared" si="2"/>
        <v>22</v>
      </c>
      <c r="K30" s="56">
        <v>3.318729482E9</v>
      </c>
      <c r="L30" s="60" t="s">
        <v>1507</v>
      </c>
      <c r="M30" s="59">
        <v>43215.0</v>
      </c>
      <c r="N30" s="35" t="s">
        <v>638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8.75" customHeight="1">
      <c r="A31" s="31"/>
      <c r="B31" s="56" t="str">
        <f t="shared" si="1"/>
        <v>HV4</v>
      </c>
      <c r="C31" s="57" t="s">
        <v>879</v>
      </c>
      <c r="D31" s="56" t="s">
        <v>117</v>
      </c>
      <c r="E31" s="56" t="s">
        <v>40</v>
      </c>
      <c r="F31" s="56" t="s">
        <v>36</v>
      </c>
      <c r="G31" s="56" t="s">
        <v>118</v>
      </c>
      <c r="H31" s="56" t="s">
        <v>118</v>
      </c>
      <c r="I31" s="59">
        <v>37975.0</v>
      </c>
      <c r="J31" s="56">
        <f t="shared" si="2"/>
        <v>22</v>
      </c>
      <c r="K31" s="56"/>
      <c r="L31" s="60" t="s">
        <v>880</v>
      </c>
      <c r="M31" s="59">
        <v>43203.0</v>
      </c>
      <c r="N31" s="35" t="s">
        <v>638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8.75" customHeight="1">
      <c r="A32" s="31"/>
      <c r="B32" s="56" t="str">
        <f t="shared" si="1"/>
        <v>MD3</v>
      </c>
      <c r="C32" s="57" t="s">
        <v>461</v>
      </c>
      <c r="D32" s="56" t="s">
        <v>128</v>
      </c>
      <c r="E32" s="56" t="s">
        <v>40</v>
      </c>
      <c r="F32" s="56" t="s">
        <v>49</v>
      </c>
      <c r="G32" s="56" t="s">
        <v>118</v>
      </c>
      <c r="H32" s="56" t="s">
        <v>118</v>
      </c>
      <c r="I32" s="59">
        <v>34695.0</v>
      </c>
      <c r="J32" s="56">
        <f t="shared" si="2"/>
        <v>31</v>
      </c>
      <c r="K32" s="56"/>
      <c r="L32" s="60" t="s">
        <v>462</v>
      </c>
      <c r="M32" s="59">
        <v>43177.0</v>
      </c>
      <c r="N32" s="35" t="s">
        <v>2236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8.75" customHeight="1">
      <c r="A33" s="31"/>
      <c r="B33" s="56" t="str">
        <f t="shared" si="1"/>
        <v>HS2</v>
      </c>
      <c r="C33" s="57" t="s">
        <v>1089</v>
      </c>
      <c r="D33" s="56" t="s">
        <v>117</v>
      </c>
      <c r="E33" s="56" t="s">
        <v>40</v>
      </c>
      <c r="F33" s="56" t="s">
        <v>43</v>
      </c>
      <c r="G33" s="56" t="s">
        <v>118</v>
      </c>
      <c r="H33" s="56" t="s">
        <v>118</v>
      </c>
      <c r="I33" s="59">
        <v>37932.0</v>
      </c>
      <c r="J33" s="56">
        <f t="shared" si="2"/>
        <v>22</v>
      </c>
      <c r="K33" s="56">
        <v>3.84117134E9</v>
      </c>
      <c r="L33" s="60" t="s">
        <v>1090</v>
      </c>
      <c r="M33" s="59">
        <v>43154.0</v>
      </c>
      <c r="N33" s="35" t="s">
        <v>2237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8.75" customHeight="1">
      <c r="A34" s="31"/>
      <c r="B34" s="56" t="str">
        <f t="shared" si="1"/>
        <v>MD4</v>
      </c>
      <c r="C34" s="57" t="s">
        <v>521</v>
      </c>
      <c r="D34" s="56" t="s">
        <v>128</v>
      </c>
      <c r="E34" s="56" t="s">
        <v>22</v>
      </c>
      <c r="F34" s="56" t="s">
        <v>49</v>
      </c>
      <c r="G34" s="56" t="s">
        <v>118</v>
      </c>
      <c r="H34" s="56" t="s">
        <v>118</v>
      </c>
      <c r="I34" s="59">
        <v>29849.0</v>
      </c>
      <c r="J34" s="56">
        <f t="shared" si="2"/>
        <v>44</v>
      </c>
      <c r="K34" s="56">
        <v>3.321715607E9</v>
      </c>
      <c r="L34" s="60" t="s">
        <v>522</v>
      </c>
      <c r="M34" s="59">
        <v>43131.0</v>
      </c>
      <c r="N34" s="35" t="s">
        <v>2238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8.75" customHeight="1">
      <c r="A35" s="31"/>
      <c r="B35" s="56" t="str">
        <f t="shared" si="1"/>
        <v>HD6</v>
      </c>
      <c r="C35" s="57" t="s">
        <v>1919</v>
      </c>
      <c r="D35" s="56" t="s">
        <v>117</v>
      </c>
      <c r="E35" s="56" t="s">
        <v>34</v>
      </c>
      <c r="F35" s="56" t="s">
        <v>49</v>
      </c>
      <c r="G35" s="56" t="s">
        <v>118</v>
      </c>
      <c r="H35" s="56" t="s">
        <v>118</v>
      </c>
      <c r="I35" s="59">
        <v>28237.0</v>
      </c>
      <c r="J35" s="56">
        <f t="shared" si="2"/>
        <v>49</v>
      </c>
      <c r="K35" s="56" t="s">
        <v>570</v>
      </c>
      <c r="L35" s="60"/>
      <c r="M35" s="59">
        <v>43223.0</v>
      </c>
      <c r="N35" s="35" t="s">
        <v>2239</v>
      </c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8.75" customHeight="1">
      <c r="A36" s="31"/>
      <c r="B36" s="56" t="str">
        <f t="shared" si="1"/>
        <v>HD7</v>
      </c>
      <c r="C36" s="57" t="s">
        <v>2056</v>
      </c>
      <c r="D36" s="56" t="s">
        <v>117</v>
      </c>
      <c r="E36" s="56" t="s">
        <v>40</v>
      </c>
      <c r="F36" s="56" t="s">
        <v>49</v>
      </c>
      <c r="G36" s="56" t="s">
        <v>118</v>
      </c>
      <c r="H36" s="56" t="s">
        <v>118</v>
      </c>
      <c r="I36" s="59">
        <v>38093.0</v>
      </c>
      <c r="J36" s="56">
        <f t="shared" si="2"/>
        <v>22</v>
      </c>
      <c r="K36" s="56">
        <v>3.331080997E9</v>
      </c>
      <c r="L36" s="60" t="s">
        <v>2057</v>
      </c>
      <c r="M36" s="59">
        <v>43221.0</v>
      </c>
      <c r="N36" s="35" t="s">
        <v>638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8.75" customHeight="1">
      <c r="A37" s="31"/>
      <c r="B37" s="56" t="str">
        <f t="shared" si="1"/>
        <v>MS7</v>
      </c>
      <c r="C37" s="57" t="s">
        <v>569</v>
      </c>
      <c r="D37" s="56" t="s">
        <v>128</v>
      </c>
      <c r="E37" s="56" t="s">
        <v>40</v>
      </c>
      <c r="F37" s="56" t="s">
        <v>43</v>
      </c>
      <c r="G37" s="56" t="s">
        <v>118</v>
      </c>
      <c r="H37" s="56" t="s">
        <v>118</v>
      </c>
      <c r="I37" s="59">
        <v>37395.0</v>
      </c>
      <c r="J37" s="56">
        <f t="shared" si="2"/>
        <v>23</v>
      </c>
      <c r="K37" s="56" t="s">
        <v>570</v>
      </c>
      <c r="L37" s="60" t="s">
        <v>568</v>
      </c>
      <c r="M37" s="59">
        <v>43233.0</v>
      </c>
      <c r="N37" s="35" t="s">
        <v>2240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8.75" customHeight="1">
      <c r="A38" s="31"/>
      <c r="B38" s="56" t="str">
        <f t="shared" si="1"/>
        <v>MJ2</v>
      </c>
      <c r="C38" s="57" t="s">
        <v>761</v>
      </c>
      <c r="D38" s="56" t="s">
        <v>128</v>
      </c>
      <c r="E38" s="56" t="s">
        <v>28</v>
      </c>
      <c r="F38" s="56" t="s">
        <v>30</v>
      </c>
      <c r="G38" s="56" t="s">
        <v>118</v>
      </c>
      <c r="H38" s="56" t="s">
        <v>118</v>
      </c>
      <c r="I38" s="59">
        <v>32379.0</v>
      </c>
      <c r="J38" s="56">
        <f t="shared" si="2"/>
        <v>37</v>
      </c>
      <c r="K38" s="56">
        <v>3.316330392E9</v>
      </c>
      <c r="L38" s="60" t="s">
        <v>532</v>
      </c>
      <c r="M38" s="59">
        <v>43244.0</v>
      </c>
      <c r="N38" s="35" t="s">
        <v>2241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8.75" customHeight="1">
      <c r="A39" s="31"/>
      <c r="B39" s="56" t="str">
        <f t="shared" si="1"/>
        <v>MS8</v>
      </c>
      <c r="C39" s="57" t="s">
        <v>2242</v>
      </c>
      <c r="D39" s="56" t="s">
        <v>128</v>
      </c>
      <c r="E39" s="56" t="s">
        <v>40</v>
      </c>
      <c r="F39" s="56" t="s">
        <v>43</v>
      </c>
      <c r="G39" s="56" t="s">
        <v>118</v>
      </c>
      <c r="H39" s="56" t="s">
        <v>118</v>
      </c>
      <c r="I39" s="59">
        <v>38059.0</v>
      </c>
      <c r="J39" s="56">
        <f t="shared" si="2"/>
        <v>22</v>
      </c>
      <c r="K39" s="56" t="s">
        <v>570</v>
      </c>
      <c r="L39" s="60" t="s">
        <v>971</v>
      </c>
      <c r="M39" s="59">
        <v>43209.0</v>
      </c>
      <c r="N39" s="35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8.75" customHeight="1">
      <c r="A40" s="31"/>
      <c r="B40" s="56" t="str">
        <f t="shared" si="1"/>
        <v>MS9</v>
      </c>
      <c r="C40" s="57" t="s">
        <v>1384</v>
      </c>
      <c r="D40" s="56" t="s">
        <v>128</v>
      </c>
      <c r="E40" s="56" t="s">
        <v>40</v>
      </c>
      <c r="F40" s="56" t="s">
        <v>43</v>
      </c>
      <c r="G40" s="56" t="s">
        <v>118</v>
      </c>
      <c r="H40" s="56" t="s">
        <v>118</v>
      </c>
      <c r="I40" s="59">
        <v>33898.0</v>
      </c>
      <c r="J40" s="56">
        <f t="shared" si="2"/>
        <v>33</v>
      </c>
      <c r="K40" s="56"/>
      <c r="L40" s="60" t="s">
        <v>1385</v>
      </c>
      <c r="M40" s="59">
        <v>43269.0</v>
      </c>
      <c r="N40" s="60" t="s">
        <v>242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8.75" customHeight="1">
      <c r="A41" s="31"/>
      <c r="B41" s="56" t="str">
        <f t="shared" si="1"/>
        <v>MMa2</v>
      </c>
      <c r="C41" s="57" t="s">
        <v>1250</v>
      </c>
      <c r="D41" s="56" t="s">
        <v>128</v>
      </c>
      <c r="E41" s="56" t="s">
        <v>22</v>
      </c>
      <c r="F41" s="56" t="s">
        <v>18</v>
      </c>
      <c r="G41" s="56" t="s">
        <v>118</v>
      </c>
      <c r="H41" s="56" t="s">
        <v>118</v>
      </c>
      <c r="I41" s="59"/>
      <c r="J41" s="56">
        <f t="shared" si="2"/>
        <v>126</v>
      </c>
      <c r="K41" s="56">
        <v>3.312138088E9</v>
      </c>
      <c r="L41" s="60"/>
      <c r="M41" s="59">
        <v>43257.0</v>
      </c>
      <c r="N41" s="60" t="s">
        <v>1251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8.75" customHeight="1">
      <c r="A42" s="31"/>
      <c r="B42" s="56" t="str">
        <f t="shared" si="1"/>
        <v>MS10</v>
      </c>
      <c r="C42" s="57" t="s">
        <v>2243</v>
      </c>
      <c r="D42" s="56" t="s">
        <v>128</v>
      </c>
      <c r="E42" s="56" t="s">
        <v>22</v>
      </c>
      <c r="F42" s="56" t="s">
        <v>43</v>
      </c>
      <c r="G42" s="56" t="s">
        <v>118</v>
      </c>
      <c r="H42" s="56" t="s">
        <v>118</v>
      </c>
      <c r="I42" s="59"/>
      <c r="J42" s="56">
        <f t="shared" si="2"/>
        <v>126</v>
      </c>
      <c r="K42" s="56"/>
      <c r="L42" s="60"/>
      <c r="M42" s="59">
        <v>43265.0</v>
      </c>
      <c r="N42" s="60" t="s">
        <v>1193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8.75" customHeight="1">
      <c r="A43" s="31"/>
      <c r="B43" s="56" t="str">
        <f t="shared" si="1"/>
        <v>HS3</v>
      </c>
      <c r="C43" s="57" t="s">
        <v>719</v>
      </c>
      <c r="D43" s="56" t="s">
        <v>117</v>
      </c>
      <c r="E43" s="56" t="s">
        <v>40</v>
      </c>
      <c r="F43" s="56" t="s">
        <v>43</v>
      </c>
      <c r="G43" s="56" t="s">
        <v>118</v>
      </c>
      <c r="H43" s="56" t="s">
        <v>165</v>
      </c>
      <c r="I43" s="59">
        <v>35199.0</v>
      </c>
      <c r="J43" s="56">
        <f t="shared" si="2"/>
        <v>29</v>
      </c>
      <c r="K43" s="56">
        <v>3.322357449E9</v>
      </c>
      <c r="L43" s="60" t="s">
        <v>720</v>
      </c>
      <c r="M43" s="59">
        <v>43138.0</v>
      </c>
      <c r="N43" s="35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8.75" customHeight="1">
      <c r="A44" s="31"/>
      <c r="B44" s="56" t="str">
        <f t="shared" si="1"/>
        <v>MMa3</v>
      </c>
      <c r="C44" s="57" t="s">
        <v>1762</v>
      </c>
      <c r="D44" s="56" t="s">
        <v>128</v>
      </c>
      <c r="E44" s="56" t="s">
        <v>22</v>
      </c>
      <c r="F44" s="56" t="s">
        <v>18</v>
      </c>
      <c r="G44" s="56" t="s">
        <v>118</v>
      </c>
      <c r="H44" s="56" t="s">
        <v>118</v>
      </c>
      <c r="I44" s="59">
        <v>25752.0</v>
      </c>
      <c r="J44" s="56">
        <f t="shared" si="2"/>
        <v>55</v>
      </c>
      <c r="K44" s="56">
        <v>3.339669158E9</v>
      </c>
      <c r="L44" s="60" t="s">
        <v>1763</v>
      </c>
      <c r="M44" s="59">
        <v>43411.0</v>
      </c>
      <c r="N44" s="60" t="s">
        <v>1403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8.75" customHeight="1">
      <c r="A45" s="31"/>
      <c r="B45" s="56" t="str">
        <f t="shared" si="1"/>
        <v>HMa3</v>
      </c>
      <c r="C45" s="57" t="s">
        <v>1733</v>
      </c>
      <c r="D45" s="56" t="s">
        <v>117</v>
      </c>
      <c r="E45" s="56" t="s">
        <v>40</v>
      </c>
      <c r="F45" s="56" t="s">
        <v>18</v>
      </c>
      <c r="G45" s="56" t="s">
        <v>118</v>
      </c>
      <c r="H45" s="56" t="s">
        <v>118</v>
      </c>
      <c r="I45" s="59">
        <v>37704.0</v>
      </c>
      <c r="J45" s="56">
        <f t="shared" si="2"/>
        <v>23</v>
      </c>
      <c r="K45" s="56">
        <v>3.317142185E9</v>
      </c>
      <c r="L45" s="60"/>
      <c r="M45" s="59">
        <v>43290.0</v>
      </c>
      <c r="N45" s="60" t="s">
        <v>233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8.75" customHeight="1">
      <c r="A46" s="31"/>
      <c r="B46" s="56" t="str">
        <f t="shared" si="1"/>
        <v>MS11</v>
      </c>
      <c r="C46" s="57" t="s">
        <v>544</v>
      </c>
      <c r="D46" s="56" t="s">
        <v>128</v>
      </c>
      <c r="E46" s="56" t="s">
        <v>28</v>
      </c>
      <c r="F46" s="56" t="s">
        <v>43</v>
      </c>
      <c r="G46" s="56" t="s">
        <v>118</v>
      </c>
      <c r="H46" s="56" t="s">
        <v>118</v>
      </c>
      <c r="I46" s="59">
        <v>34335.0</v>
      </c>
      <c r="J46" s="56">
        <f t="shared" si="2"/>
        <v>32</v>
      </c>
      <c r="K46" s="56">
        <v>3.314062964E9</v>
      </c>
      <c r="L46" s="60" t="s">
        <v>545</v>
      </c>
      <c r="M46" s="59">
        <v>43298.0</v>
      </c>
      <c r="N46" s="60" t="s">
        <v>546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8.75" customHeight="1">
      <c r="A47" s="31"/>
      <c r="B47" s="56" t="str">
        <f t="shared" si="1"/>
        <v>MMi1</v>
      </c>
      <c r="C47" s="57" t="s">
        <v>1986</v>
      </c>
      <c r="D47" s="56" t="s">
        <v>128</v>
      </c>
      <c r="E47" s="56" t="s">
        <v>22</v>
      </c>
      <c r="F47" s="56" t="s">
        <v>24</v>
      </c>
      <c r="G47" s="56" t="s">
        <v>118</v>
      </c>
      <c r="H47" s="56" t="s">
        <v>118</v>
      </c>
      <c r="I47" s="59">
        <v>28377.0</v>
      </c>
      <c r="J47" s="56">
        <f t="shared" si="2"/>
        <v>48</v>
      </c>
      <c r="K47" s="56">
        <v>3.8013335E7</v>
      </c>
      <c r="L47" s="60" t="s">
        <v>1987</v>
      </c>
      <c r="M47" s="59">
        <v>43281.0</v>
      </c>
      <c r="N47" s="60" t="s">
        <v>1988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8.75" customHeight="1">
      <c r="A48" s="31"/>
      <c r="B48" s="56" t="str">
        <f t="shared" si="1"/>
        <v>MMa4</v>
      </c>
      <c r="C48" s="57" t="s">
        <v>1401</v>
      </c>
      <c r="D48" s="56" t="s">
        <v>128</v>
      </c>
      <c r="E48" s="56" t="s">
        <v>22</v>
      </c>
      <c r="F48" s="56" t="s">
        <v>18</v>
      </c>
      <c r="G48" s="56" t="s">
        <v>118</v>
      </c>
      <c r="H48" s="56" t="s">
        <v>118</v>
      </c>
      <c r="I48" s="59">
        <v>28309.0</v>
      </c>
      <c r="J48" s="56">
        <f t="shared" si="2"/>
        <v>48</v>
      </c>
      <c r="K48" s="56">
        <v>3.31844186E9</v>
      </c>
      <c r="L48" s="60" t="s">
        <v>1402</v>
      </c>
      <c r="M48" s="59">
        <v>43315.0</v>
      </c>
      <c r="N48" s="60" t="s">
        <v>1403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8.75" customHeight="1">
      <c r="A49" s="31"/>
      <c r="B49" s="56" t="str">
        <f t="shared" si="1"/>
        <v>HS4</v>
      </c>
      <c r="C49" s="57" t="s">
        <v>1621</v>
      </c>
      <c r="D49" s="56" t="s">
        <v>117</v>
      </c>
      <c r="E49" s="56" t="s">
        <v>40</v>
      </c>
      <c r="F49" s="56" t="s">
        <v>43</v>
      </c>
      <c r="G49" s="56" t="s">
        <v>118</v>
      </c>
      <c r="H49" s="56" t="s">
        <v>118</v>
      </c>
      <c r="I49" s="59">
        <v>35480.0</v>
      </c>
      <c r="J49" s="56">
        <f t="shared" si="2"/>
        <v>29</v>
      </c>
      <c r="K49" s="56">
        <v>7.771115331E9</v>
      </c>
      <c r="L49" s="60" t="s">
        <v>1622</v>
      </c>
      <c r="M49" s="59">
        <v>43334.0</v>
      </c>
      <c r="N49" s="60" t="s">
        <v>486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8.75" customHeight="1">
      <c r="A50" s="31"/>
      <c r="B50" s="56" t="str">
        <f t="shared" si="1"/>
        <v>HS5</v>
      </c>
      <c r="C50" s="57" t="s">
        <v>241</v>
      </c>
      <c r="D50" s="56" t="s">
        <v>117</v>
      </c>
      <c r="E50" s="56" t="s">
        <v>40</v>
      </c>
      <c r="F50" s="56" t="s">
        <v>43</v>
      </c>
      <c r="G50" s="56" t="s">
        <v>118</v>
      </c>
      <c r="H50" s="56" t="s">
        <v>118</v>
      </c>
      <c r="I50" s="59">
        <v>32746.0</v>
      </c>
      <c r="J50" s="56">
        <f t="shared" si="2"/>
        <v>36</v>
      </c>
      <c r="K50" s="56"/>
      <c r="L50" s="60"/>
      <c r="M50" s="59">
        <v>43335.0</v>
      </c>
      <c r="N50" s="60" t="s">
        <v>242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8.75" customHeight="1">
      <c r="A51" s="31"/>
      <c r="B51" s="56" t="str">
        <f t="shared" si="1"/>
        <v>HMa4</v>
      </c>
      <c r="C51" s="57" t="s">
        <v>690</v>
      </c>
      <c r="D51" s="56" t="s">
        <v>117</v>
      </c>
      <c r="E51" s="56" t="s">
        <v>16</v>
      </c>
      <c r="F51" s="56" t="s">
        <v>18</v>
      </c>
      <c r="G51" s="56" t="s">
        <v>118</v>
      </c>
      <c r="H51" s="56" t="s">
        <v>118</v>
      </c>
      <c r="I51" s="59">
        <v>15131.0</v>
      </c>
      <c r="J51" s="56">
        <f t="shared" si="2"/>
        <v>84</v>
      </c>
      <c r="K51" s="56">
        <v>3.312610509E9</v>
      </c>
      <c r="L51" s="60" t="s">
        <v>691</v>
      </c>
      <c r="M51" s="59">
        <v>43330.0</v>
      </c>
      <c r="N51" s="60" t="s">
        <v>692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8.75" customHeight="1">
      <c r="A52" s="31"/>
      <c r="B52" s="56" t="str">
        <f t="shared" si="1"/>
        <v>MS12</v>
      </c>
      <c r="C52" s="57" t="s">
        <v>1200</v>
      </c>
      <c r="D52" s="56" t="s">
        <v>128</v>
      </c>
      <c r="E52" s="56" t="s">
        <v>40</v>
      </c>
      <c r="F52" s="56" t="s">
        <v>43</v>
      </c>
      <c r="G52" s="56" t="s">
        <v>118</v>
      </c>
      <c r="H52" s="56" t="s">
        <v>118</v>
      </c>
      <c r="I52" s="59">
        <v>34034.0</v>
      </c>
      <c r="J52" s="56">
        <f t="shared" si="2"/>
        <v>33</v>
      </c>
      <c r="K52" s="56"/>
      <c r="L52" s="60" t="s">
        <v>1199</v>
      </c>
      <c r="M52" s="59">
        <v>43339.0</v>
      </c>
      <c r="N52" s="60" t="s">
        <v>486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8.75" customHeight="1">
      <c r="A53" s="31"/>
      <c r="B53" s="56" t="str">
        <f t="shared" si="1"/>
        <v>HL1</v>
      </c>
      <c r="C53" s="57" t="s">
        <v>2139</v>
      </c>
      <c r="D53" s="56" t="s">
        <v>117</v>
      </c>
      <c r="E53" s="56" t="s">
        <v>22</v>
      </c>
      <c r="F53" s="56" t="s">
        <v>12</v>
      </c>
      <c r="G53" s="56" t="s">
        <v>118</v>
      </c>
      <c r="H53" s="56" t="s">
        <v>118</v>
      </c>
      <c r="I53" s="59">
        <v>29963.0</v>
      </c>
      <c r="J53" s="56">
        <f t="shared" si="2"/>
        <v>44</v>
      </c>
      <c r="K53" s="56">
        <v>3.33157202E9</v>
      </c>
      <c r="L53" s="60" t="s">
        <v>2140</v>
      </c>
      <c r="M53" s="59">
        <v>43340.0</v>
      </c>
      <c r="N53" s="60" t="s">
        <v>2141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8.75" customHeight="1">
      <c r="A54" s="31"/>
      <c r="B54" s="56" t="str">
        <f t="shared" si="1"/>
        <v>MMi2</v>
      </c>
      <c r="C54" s="57" t="s">
        <v>1048</v>
      </c>
      <c r="D54" s="56" t="s">
        <v>128</v>
      </c>
      <c r="E54" s="56" t="s">
        <v>16</v>
      </c>
      <c r="F54" s="56" t="s">
        <v>24</v>
      </c>
      <c r="G54" s="56" t="s">
        <v>118</v>
      </c>
      <c r="H54" s="56" t="s">
        <v>118</v>
      </c>
      <c r="I54" s="59">
        <v>21808.0</v>
      </c>
      <c r="J54" s="56">
        <f t="shared" si="2"/>
        <v>66</v>
      </c>
      <c r="K54" s="56">
        <v>9.341232365E9</v>
      </c>
      <c r="L54" s="60" t="s">
        <v>1049</v>
      </c>
      <c r="M54" s="59">
        <v>43347.0</v>
      </c>
      <c r="N54" s="60" t="s">
        <v>2244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8.75" customHeight="1">
      <c r="A55" s="31"/>
      <c r="B55" s="56" t="str">
        <f t="shared" si="1"/>
        <v>MS13</v>
      </c>
      <c r="C55" s="57" t="s">
        <v>484</v>
      </c>
      <c r="D55" s="56" t="s">
        <v>128</v>
      </c>
      <c r="E55" s="56" t="s">
        <v>40</v>
      </c>
      <c r="F55" s="56" t="s">
        <v>43</v>
      </c>
      <c r="G55" s="56" t="s">
        <v>118</v>
      </c>
      <c r="H55" s="56" t="s">
        <v>118</v>
      </c>
      <c r="I55" s="59">
        <v>34060.0</v>
      </c>
      <c r="J55" s="56">
        <f t="shared" si="2"/>
        <v>33</v>
      </c>
      <c r="K55" s="56">
        <v>3.320588638E9</v>
      </c>
      <c r="L55" s="60" t="s">
        <v>485</v>
      </c>
      <c r="M55" s="59">
        <v>43350.0</v>
      </c>
      <c r="N55" s="60" t="s">
        <v>486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8.75" customHeight="1">
      <c r="A56" s="31"/>
      <c r="B56" s="56" t="str">
        <f t="shared" si="1"/>
        <v>HMi2</v>
      </c>
      <c r="C56" s="57" t="s">
        <v>231</v>
      </c>
      <c r="D56" s="56" t="s">
        <v>117</v>
      </c>
      <c r="E56" s="56" t="s">
        <v>40</v>
      </c>
      <c r="F56" s="56" t="s">
        <v>24</v>
      </c>
      <c r="G56" s="56" t="s">
        <v>118</v>
      </c>
      <c r="H56" s="56" t="s">
        <v>118</v>
      </c>
      <c r="I56" s="59">
        <v>37663.0</v>
      </c>
      <c r="J56" s="56">
        <f t="shared" si="2"/>
        <v>23</v>
      </c>
      <c r="K56" s="56">
        <v>3.6084943E7</v>
      </c>
      <c r="L56" s="60" t="s">
        <v>232</v>
      </c>
      <c r="M56" s="59">
        <v>43355.0</v>
      </c>
      <c r="N56" s="60" t="s">
        <v>233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8.75" customHeight="1">
      <c r="A57" s="31"/>
      <c r="B57" s="56" t="str">
        <f t="shared" si="1"/>
        <v>HMi3</v>
      </c>
      <c r="C57" s="57" t="s">
        <v>825</v>
      </c>
      <c r="D57" s="56" t="s">
        <v>117</v>
      </c>
      <c r="E57" s="56" t="s">
        <v>40</v>
      </c>
      <c r="F57" s="56" t="s">
        <v>24</v>
      </c>
      <c r="G57" s="56" t="s">
        <v>118</v>
      </c>
      <c r="H57" s="56" t="s">
        <v>118</v>
      </c>
      <c r="I57" s="59">
        <v>31407.0</v>
      </c>
      <c r="J57" s="56">
        <f t="shared" si="2"/>
        <v>40</v>
      </c>
      <c r="K57" s="56">
        <v>3.332019874E9</v>
      </c>
      <c r="L57" s="60" t="s">
        <v>2245</v>
      </c>
      <c r="M57" s="59">
        <v>43354.0</v>
      </c>
      <c r="N57" s="60" t="s">
        <v>1878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8.75" customHeight="1">
      <c r="A58" s="31"/>
      <c r="B58" s="56" t="str">
        <f t="shared" si="1"/>
        <v>HS6</v>
      </c>
      <c r="C58" s="57" t="s">
        <v>844</v>
      </c>
      <c r="D58" s="56" t="s">
        <v>117</v>
      </c>
      <c r="E58" s="56" t="s">
        <v>40</v>
      </c>
      <c r="F58" s="56" t="s">
        <v>43</v>
      </c>
      <c r="G58" s="56" t="s">
        <v>118</v>
      </c>
      <c r="H58" s="56" t="s">
        <v>118</v>
      </c>
      <c r="I58" s="59">
        <v>33152.0</v>
      </c>
      <c r="J58" s="56">
        <f t="shared" si="2"/>
        <v>35</v>
      </c>
      <c r="K58" s="56">
        <v>3.312345223E9</v>
      </c>
      <c r="L58" s="60" t="s">
        <v>845</v>
      </c>
      <c r="M58" s="59">
        <v>43363.0</v>
      </c>
      <c r="N58" s="60" t="s">
        <v>486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8.75" customHeight="1">
      <c r="A59" s="31"/>
      <c r="B59" s="56" t="str">
        <f t="shared" si="1"/>
        <v>MMa5</v>
      </c>
      <c r="C59" s="57" t="s">
        <v>469</v>
      </c>
      <c r="D59" s="56" t="s">
        <v>128</v>
      </c>
      <c r="E59" s="56" t="s">
        <v>34</v>
      </c>
      <c r="F59" s="56" t="s">
        <v>18</v>
      </c>
      <c r="G59" s="56" t="s">
        <v>118</v>
      </c>
      <c r="H59" s="56" t="s">
        <v>118</v>
      </c>
      <c r="I59" s="59">
        <v>17226.0</v>
      </c>
      <c r="J59" s="56">
        <f t="shared" si="2"/>
        <v>79</v>
      </c>
      <c r="K59" s="56" t="s">
        <v>470</v>
      </c>
      <c r="L59" s="60" t="s">
        <v>471</v>
      </c>
      <c r="M59" s="59">
        <v>43367.0</v>
      </c>
      <c r="N59" s="60" t="s">
        <v>472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8.75" customHeight="1">
      <c r="A60" s="31"/>
      <c r="B60" s="56" t="str">
        <f t="shared" si="1"/>
        <v>HS7</v>
      </c>
      <c r="C60" s="57" t="s">
        <v>1166</v>
      </c>
      <c r="D60" s="56" t="s">
        <v>117</v>
      </c>
      <c r="E60" s="56" t="s">
        <v>40</v>
      </c>
      <c r="F60" s="56" t="s">
        <v>43</v>
      </c>
      <c r="G60" s="56" t="s">
        <v>118</v>
      </c>
      <c r="H60" s="56" t="s">
        <v>118</v>
      </c>
      <c r="I60" s="59">
        <v>37775.0</v>
      </c>
      <c r="J60" s="56">
        <f t="shared" si="2"/>
        <v>22</v>
      </c>
      <c r="K60" s="56"/>
      <c r="L60" s="60" t="s">
        <v>1167</v>
      </c>
      <c r="M60" s="59">
        <v>43370.0</v>
      </c>
      <c r="N60" s="60" t="s">
        <v>233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8.75" customHeight="1">
      <c r="A61" s="31"/>
      <c r="B61" s="56" t="str">
        <f t="shared" si="1"/>
        <v>HD8</v>
      </c>
      <c r="C61" s="57" t="s">
        <v>1133</v>
      </c>
      <c r="D61" s="56" t="s">
        <v>117</v>
      </c>
      <c r="E61" s="56" t="s">
        <v>40</v>
      </c>
      <c r="F61" s="56" t="s">
        <v>49</v>
      </c>
      <c r="G61" s="56" t="s">
        <v>118</v>
      </c>
      <c r="H61" s="56" t="s">
        <v>118</v>
      </c>
      <c r="I61" s="59">
        <v>35354.0</v>
      </c>
      <c r="J61" s="56">
        <f t="shared" si="2"/>
        <v>29</v>
      </c>
      <c r="K61" s="56">
        <v>3.317574932E9</v>
      </c>
      <c r="L61" s="60" t="s">
        <v>1134</v>
      </c>
      <c r="M61" s="59">
        <v>43370.0</v>
      </c>
      <c r="N61" s="60" t="s">
        <v>1135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8.75" customHeight="1">
      <c r="A62" s="31"/>
      <c r="B62" s="56" t="str">
        <f t="shared" si="1"/>
        <v>HS8</v>
      </c>
      <c r="C62" s="57" t="s">
        <v>1630</v>
      </c>
      <c r="D62" s="56" t="s">
        <v>117</v>
      </c>
      <c r="E62" s="56" t="s">
        <v>40</v>
      </c>
      <c r="F62" s="56" t="s">
        <v>43</v>
      </c>
      <c r="G62" s="56" t="s">
        <v>118</v>
      </c>
      <c r="H62" s="56" t="s">
        <v>118</v>
      </c>
      <c r="I62" s="59">
        <v>37855.0</v>
      </c>
      <c r="J62" s="56">
        <f t="shared" si="2"/>
        <v>22</v>
      </c>
      <c r="K62" s="56">
        <v>3.31768947E9</v>
      </c>
      <c r="L62" s="60" t="s">
        <v>1631</v>
      </c>
      <c r="M62" s="59">
        <v>43371.0</v>
      </c>
      <c r="N62" s="60" t="s">
        <v>233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8.75" customHeight="1">
      <c r="A63" s="31"/>
      <c r="B63" s="56" t="str">
        <f t="shared" si="1"/>
        <v>HJ3</v>
      </c>
      <c r="C63" s="57" t="s">
        <v>2158</v>
      </c>
      <c r="D63" s="56" t="s">
        <v>117</v>
      </c>
      <c r="E63" s="56" t="s">
        <v>16</v>
      </c>
      <c r="F63" s="56" t="s">
        <v>30</v>
      </c>
      <c r="G63" s="56" t="s">
        <v>118</v>
      </c>
      <c r="H63" s="56" t="s">
        <v>118</v>
      </c>
      <c r="I63" s="59">
        <v>26626.0</v>
      </c>
      <c r="J63" s="56">
        <f t="shared" si="2"/>
        <v>53</v>
      </c>
      <c r="K63" s="56">
        <v>3.319937268E9</v>
      </c>
      <c r="L63" s="60" t="s">
        <v>2159</v>
      </c>
      <c r="M63" s="59">
        <v>43373.0</v>
      </c>
      <c r="N63" s="60" t="s">
        <v>2160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8.75" customHeight="1">
      <c r="A64" s="31"/>
      <c r="B64" s="56" t="str">
        <f t="shared" si="1"/>
        <v>HD9</v>
      </c>
      <c r="C64" s="57" t="s">
        <v>823</v>
      </c>
      <c r="D64" s="56" t="s">
        <v>117</v>
      </c>
      <c r="E64" s="56" t="s">
        <v>28</v>
      </c>
      <c r="F64" s="56" t="s">
        <v>49</v>
      </c>
      <c r="G64" s="56" t="s">
        <v>118</v>
      </c>
      <c r="H64" s="56" t="s">
        <v>118</v>
      </c>
      <c r="I64" s="59">
        <v>31786.0</v>
      </c>
      <c r="J64" s="56">
        <f t="shared" si="2"/>
        <v>39</v>
      </c>
      <c r="K64" s="56">
        <v>3.331834285E9</v>
      </c>
      <c r="L64" s="60" t="s">
        <v>824</v>
      </c>
      <c r="M64" s="59">
        <v>43369.0</v>
      </c>
      <c r="N64" s="60" t="s">
        <v>486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8.75" customHeight="1">
      <c r="A65" s="31"/>
      <c r="B65" s="56" t="str">
        <f t="shared" si="1"/>
        <v>HD10</v>
      </c>
      <c r="C65" s="57" t="s">
        <v>2246</v>
      </c>
      <c r="D65" s="56" t="s">
        <v>117</v>
      </c>
      <c r="E65" s="56" t="s">
        <v>40</v>
      </c>
      <c r="F65" s="56" t="s">
        <v>49</v>
      </c>
      <c r="G65" s="56" t="s">
        <v>118</v>
      </c>
      <c r="H65" s="56" t="s">
        <v>118</v>
      </c>
      <c r="I65" s="59">
        <v>38129.0</v>
      </c>
      <c r="J65" s="56">
        <f t="shared" si="2"/>
        <v>21</v>
      </c>
      <c r="K65" s="56"/>
      <c r="L65" s="60" t="s">
        <v>1010</v>
      </c>
      <c r="M65" s="59">
        <v>43368.0</v>
      </c>
      <c r="N65" s="60" t="s">
        <v>202</v>
      </c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8.75" customHeight="1">
      <c r="A66" s="31"/>
      <c r="B66" s="56" t="str">
        <f t="shared" si="1"/>
        <v>MD5</v>
      </c>
      <c r="C66" s="57" t="s">
        <v>1851</v>
      </c>
      <c r="D66" s="56" t="s">
        <v>128</v>
      </c>
      <c r="E66" s="56" t="s">
        <v>40</v>
      </c>
      <c r="F66" s="56" t="s">
        <v>49</v>
      </c>
      <c r="G66" s="56" t="s">
        <v>118</v>
      </c>
      <c r="H66" s="56" t="s">
        <v>118</v>
      </c>
      <c r="I66" s="59">
        <v>33559.0</v>
      </c>
      <c r="J66" s="56">
        <f t="shared" si="2"/>
        <v>34</v>
      </c>
      <c r="K66" s="56">
        <v>3.321163E9</v>
      </c>
      <c r="L66" s="60" t="s">
        <v>1852</v>
      </c>
      <c r="M66" s="59">
        <v>43375.0</v>
      </c>
      <c r="N66" s="60" t="s">
        <v>486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8.75" customHeight="1">
      <c r="A67" s="31"/>
      <c r="B67" s="56" t="str">
        <f t="shared" si="1"/>
        <v>MD6</v>
      </c>
      <c r="C67" s="57" t="s">
        <v>2142</v>
      </c>
      <c r="D67" s="56" t="s">
        <v>128</v>
      </c>
      <c r="E67" s="56" t="s">
        <v>34</v>
      </c>
      <c r="F67" s="56" t="s">
        <v>49</v>
      </c>
      <c r="G67" s="56" t="s">
        <v>118</v>
      </c>
      <c r="H67" s="56" t="s">
        <v>118</v>
      </c>
      <c r="I67" s="59">
        <v>22881.0</v>
      </c>
      <c r="J67" s="56">
        <f t="shared" si="2"/>
        <v>63</v>
      </c>
      <c r="K67" s="56">
        <v>3.316333155E9</v>
      </c>
      <c r="L67" s="60" t="s">
        <v>2143</v>
      </c>
      <c r="M67" s="59">
        <v>43376.0</v>
      </c>
      <c r="N67" s="60" t="s">
        <v>2144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8.75" customHeight="1">
      <c r="A68" s="31"/>
      <c r="B68" s="56" t="str">
        <f t="shared" si="1"/>
        <v>HS9</v>
      </c>
      <c r="C68" s="57" t="s">
        <v>2247</v>
      </c>
      <c r="D68" s="56" t="s">
        <v>117</v>
      </c>
      <c r="E68" s="56" t="s">
        <v>40</v>
      </c>
      <c r="F68" s="56" t="s">
        <v>43</v>
      </c>
      <c r="G68" s="56" t="s">
        <v>118</v>
      </c>
      <c r="H68" s="56" t="s">
        <v>118</v>
      </c>
      <c r="I68" s="59">
        <v>37804.0</v>
      </c>
      <c r="J68" s="56">
        <f t="shared" si="2"/>
        <v>22</v>
      </c>
      <c r="K68" s="56">
        <v>3.313369072E9</v>
      </c>
      <c r="L68" s="60" t="s">
        <v>1181</v>
      </c>
      <c r="M68" s="59">
        <v>43376.0</v>
      </c>
      <c r="N68" s="60" t="s">
        <v>233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8.75" customHeight="1">
      <c r="A69" s="31"/>
      <c r="B69" s="56" t="str">
        <f t="shared" si="1"/>
        <v>HMi4</v>
      </c>
      <c r="C69" s="57" t="s">
        <v>2020</v>
      </c>
      <c r="D69" s="56" t="s">
        <v>117</v>
      </c>
      <c r="E69" s="56" t="s">
        <v>40</v>
      </c>
      <c r="F69" s="56" t="s">
        <v>24</v>
      </c>
      <c r="G69" s="56" t="s">
        <v>118</v>
      </c>
      <c r="H69" s="56" t="s">
        <v>118</v>
      </c>
      <c r="I69" s="59">
        <v>37388.0</v>
      </c>
      <c r="J69" s="56">
        <f t="shared" si="2"/>
        <v>23</v>
      </c>
      <c r="K69" s="56">
        <v>3.310942269E9</v>
      </c>
      <c r="L69" s="60" t="s">
        <v>1987</v>
      </c>
      <c r="M69" s="59">
        <v>43377.0</v>
      </c>
      <c r="N69" s="60" t="s">
        <v>1915</v>
      </c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8.75" customHeight="1">
      <c r="A70" s="31"/>
      <c r="B70" s="56" t="str">
        <f t="shared" si="1"/>
        <v>HD11</v>
      </c>
      <c r="C70" s="57" t="s">
        <v>717</v>
      </c>
      <c r="D70" s="56" t="s">
        <v>117</v>
      </c>
      <c r="E70" s="56" t="s">
        <v>40</v>
      </c>
      <c r="F70" s="56" t="s">
        <v>49</v>
      </c>
      <c r="G70" s="56" t="s">
        <v>118</v>
      </c>
      <c r="H70" s="56" t="s">
        <v>118</v>
      </c>
      <c r="I70" s="59">
        <v>37904.0</v>
      </c>
      <c r="J70" s="56">
        <f t="shared" si="2"/>
        <v>22</v>
      </c>
      <c r="K70" s="56">
        <v>2.781130373E9</v>
      </c>
      <c r="L70" s="60" t="s">
        <v>476</v>
      </c>
      <c r="M70" s="59">
        <v>43383.0</v>
      </c>
      <c r="N70" s="60" t="s">
        <v>718</v>
      </c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8.75" customHeight="1">
      <c r="A71" s="31"/>
      <c r="B71" s="56" t="str">
        <f t="shared" si="1"/>
        <v>HMi5</v>
      </c>
      <c r="C71" s="57" t="s">
        <v>1057</v>
      </c>
      <c r="D71" s="56" t="s">
        <v>117</v>
      </c>
      <c r="E71" s="56" t="s">
        <v>16</v>
      </c>
      <c r="F71" s="56" t="s">
        <v>24</v>
      </c>
      <c r="G71" s="56" t="s">
        <v>118</v>
      </c>
      <c r="H71" s="56" t="s">
        <v>118</v>
      </c>
      <c r="I71" s="59">
        <v>19661.0</v>
      </c>
      <c r="J71" s="56">
        <f t="shared" si="2"/>
        <v>72</v>
      </c>
      <c r="K71" s="56">
        <v>9.341232365E9</v>
      </c>
      <c r="L71" s="60" t="s">
        <v>1049</v>
      </c>
      <c r="M71" s="59">
        <v>43393.0</v>
      </c>
      <c r="N71" s="60" t="s">
        <v>718</v>
      </c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8.75" customHeight="1">
      <c r="A72" s="31"/>
      <c r="B72" s="56" t="str">
        <f t="shared" si="1"/>
        <v>HV5</v>
      </c>
      <c r="C72" s="57" t="s">
        <v>2248</v>
      </c>
      <c r="D72" s="56" t="s">
        <v>117</v>
      </c>
      <c r="E72" s="56" t="s">
        <v>22</v>
      </c>
      <c r="F72" s="56" t="s">
        <v>36</v>
      </c>
      <c r="G72" s="56" t="s">
        <v>118</v>
      </c>
      <c r="H72" s="56" t="s">
        <v>118</v>
      </c>
      <c r="I72" s="59">
        <v>31164.0</v>
      </c>
      <c r="J72" s="56">
        <f t="shared" si="2"/>
        <v>40</v>
      </c>
      <c r="K72" s="56">
        <v>3.327101057E9</v>
      </c>
      <c r="L72" s="60" t="s">
        <v>1125</v>
      </c>
      <c r="M72" s="59">
        <v>43396.0</v>
      </c>
      <c r="N72" s="60" t="s">
        <v>486</v>
      </c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8.75" customHeight="1">
      <c r="A73" s="31"/>
      <c r="B73" s="56" t="str">
        <f t="shared" si="1"/>
        <v>MV4</v>
      </c>
      <c r="C73" s="57" t="s">
        <v>1887</v>
      </c>
      <c r="D73" s="56" t="s">
        <v>128</v>
      </c>
      <c r="E73" s="56" t="s">
        <v>28</v>
      </c>
      <c r="F73" s="56" t="s">
        <v>36</v>
      </c>
      <c r="G73" s="56" t="s">
        <v>118</v>
      </c>
      <c r="H73" s="56" t="s">
        <v>118</v>
      </c>
      <c r="I73" s="59">
        <v>33619.0</v>
      </c>
      <c r="J73" s="56">
        <f t="shared" si="2"/>
        <v>34</v>
      </c>
      <c r="K73" s="56">
        <v>3.345938409E9</v>
      </c>
      <c r="L73" s="60" t="s">
        <v>1125</v>
      </c>
      <c r="M73" s="59">
        <v>43396.0</v>
      </c>
      <c r="N73" s="60" t="s">
        <v>486</v>
      </c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8.75" customHeight="1">
      <c r="A74" s="31"/>
      <c r="B74" s="56" t="str">
        <f t="shared" si="1"/>
        <v>HS10</v>
      </c>
      <c r="C74" s="57" t="s">
        <v>531</v>
      </c>
      <c r="D74" s="56" t="s">
        <v>117</v>
      </c>
      <c r="E74" s="56" t="s">
        <v>40</v>
      </c>
      <c r="F74" s="56" t="s">
        <v>43</v>
      </c>
      <c r="G74" s="56" t="s">
        <v>118</v>
      </c>
      <c r="H74" s="56" t="s">
        <v>118</v>
      </c>
      <c r="I74" s="59">
        <v>37455.0</v>
      </c>
      <c r="J74" s="56">
        <f t="shared" si="2"/>
        <v>23</v>
      </c>
      <c r="K74" s="56">
        <v>3.326688116E9</v>
      </c>
      <c r="L74" s="60" t="s">
        <v>532</v>
      </c>
      <c r="M74" s="59">
        <v>43433.0</v>
      </c>
      <c r="N74" s="60" t="s">
        <v>233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8.75" customHeight="1">
      <c r="A75" s="31"/>
      <c r="B75" s="56" t="str">
        <f t="shared" si="1"/>
        <v>HD12</v>
      </c>
      <c r="C75" s="57" t="s">
        <v>1764</v>
      </c>
      <c r="D75" s="56" t="s">
        <v>117</v>
      </c>
      <c r="E75" s="56" t="s">
        <v>40</v>
      </c>
      <c r="F75" s="56" t="s">
        <v>49</v>
      </c>
      <c r="G75" s="56" t="s">
        <v>118</v>
      </c>
      <c r="H75" s="56" t="s">
        <v>118</v>
      </c>
      <c r="I75" s="59">
        <v>34451.0</v>
      </c>
      <c r="J75" s="56">
        <f t="shared" si="2"/>
        <v>31</v>
      </c>
      <c r="K75" s="56">
        <v>4.271365698E9</v>
      </c>
      <c r="L75" s="60" t="s">
        <v>1765</v>
      </c>
      <c r="M75" s="59">
        <v>43419.0</v>
      </c>
      <c r="N75" s="60" t="s">
        <v>486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8.75" customHeight="1">
      <c r="A76" s="31"/>
      <c r="B76" s="56" t="str">
        <f t="shared" si="1"/>
        <v>HMi6</v>
      </c>
      <c r="C76" s="57" t="s">
        <v>1095</v>
      </c>
      <c r="D76" s="56" t="s">
        <v>117</v>
      </c>
      <c r="E76" s="56" t="s">
        <v>34</v>
      </c>
      <c r="F76" s="56" t="s">
        <v>24</v>
      </c>
      <c r="G76" s="56" t="s">
        <v>118</v>
      </c>
      <c r="H76" s="56" t="s">
        <v>118</v>
      </c>
      <c r="I76" s="59">
        <v>18270.0</v>
      </c>
      <c r="J76" s="56">
        <f t="shared" si="2"/>
        <v>76</v>
      </c>
      <c r="K76" s="56">
        <v>3.31126019E9</v>
      </c>
      <c r="L76" s="60" t="s">
        <v>1097</v>
      </c>
      <c r="M76" s="59">
        <v>43407.0</v>
      </c>
      <c r="N76" s="60" t="s">
        <v>692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8.75" customHeight="1">
      <c r="A77" s="31"/>
      <c r="B77" s="56" t="str">
        <f t="shared" si="1"/>
        <v>HMi7</v>
      </c>
      <c r="C77" s="57" t="s">
        <v>1819</v>
      </c>
      <c r="D77" s="56" t="s">
        <v>117</v>
      </c>
      <c r="E77" s="56" t="s">
        <v>16</v>
      </c>
      <c r="F77" s="56" t="s">
        <v>24</v>
      </c>
      <c r="G77" s="56" t="s">
        <v>118</v>
      </c>
      <c r="H77" s="56" t="s">
        <v>118</v>
      </c>
      <c r="I77" s="59">
        <v>26758.0</v>
      </c>
      <c r="J77" s="56">
        <f t="shared" si="2"/>
        <v>53</v>
      </c>
      <c r="K77" s="56">
        <v>3.31892786E9</v>
      </c>
      <c r="L77" s="60" t="s">
        <v>1820</v>
      </c>
      <c r="M77" s="59">
        <v>43405.0</v>
      </c>
      <c r="N77" s="60" t="s">
        <v>1780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8.75" customHeight="1">
      <c r="A78" s="31"/>
      <c r="B78" s="56" t="str">
        <f t="shared" si="1"/>
        <v>HV6</v>
      </c>
      <c r="C78" s="57" t="s">
        <v>499</v>
      </c>
      <c r="D78" s="56" t="s">
        <v>117</v>
      </c>
      <c r="E78" s="56" t="s">
        <v>28</v>
      </c>
      <c r="F78" s="56" t="s">
        <v>36</v>
      </c>
      <c r="G78" s="56" t="s">
        <v>118</v>
      </c>
      <c r="H78" s="56" t="s">
        <v>118</v>
      </c>
      <c r="I78" s="59">
        <v>33676.0</v>
      </c>
      <c r="J78" s="56">
        <f t="shared" si="2"/>
        <v>34</v>
      </c>
      <c r="K78" s="56">
        <v>3.316304331E9</v>
      </c>
      <c r="L78" s="60" t="s">
        <v>500</v>
      </c>
      <c r="M78" s="59">
        <v>43413.0</v>
      </c>
      <c r="N78" s="60" t="s">
        <v>501</v>
      </c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8.75" customHeight="1">
      <c r="A79" s="31"/>
      <c r="B79" s="56" t="str">
        <f t="shared" si="1"/>
        <v>MMi3</v>
      </c>
      <c r="C79" s="81" t="s">
        <v>27</v>
      </c>
      <c r="D79" s="56" t="s">
        <v>128</v>
      </c>
      <c r="E79" s="56" t="s">
        <v>34</v>
      </c>
      <c r="F79" s="56" t="s">
        <v>24</v>
      </c>
      <c r="G79" s="56" t="s">
        <v>118</v>
      </c>
      <c r="H79" s="56" t="s">
        <v>118</v>
      </c>
      <c r="I79" s="59">
        <v>17644.0</v>
      </c>
      <c r="J79" s="56">
        <f t="shared" si="2"/>
        <v>78</v>
      </c>
      <c r="K79" s="56">
        <v>3.6980023E7</v>
      </c>
      <c r="L79" s="60" t="s">
        <v>1953</v>
      </c>
      <c r="M79" s="59">
        <v>43417.0</v>
      </c>
      <c r="N79" s="60" t="s">
        <v>2249</v>
      </c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8.75" customHeight="1">
      <c r="A80" s="31"/>
      <c r="B80" s="56" t="str">
        <f t="shared" si="1"/>
        <v>MD7</v>
      </c>
      <c r="C80" s="57" t="s">
        <v>735</v>
      </c>
      <c r="D80" s="56" t="s">
        <v>128</v>
      </c>
      <c r="E80" s="56" t="s">
        <v>34</v>
      </c>
      <c r="F80" s="56" t="s">
        <v>49</v>
      </c>
      <c r="G80" s="56" t="s">
        <v>118</v>
      </c>
      <c r="H80" s="56" t="s">
        <v>118</v>
      </c>
      <c r="I80" s="59">
        <v>31226.0</v>
      </c>
      <c r="J80" s="56">
        <f t="shared" si="2"/>
        <v>40</v>
      </c>
      <c r="K80" s="56">
        <v>3.31781076E9</v>
      </c>
      <c r="L80" s="60" t="s">
        <v>736</v>
      </c>
      <c r="M80" s="59">
        <v>43406.0</v>
      </c>
      <c r="N80" s="60" t="s">
        <v>737</v>
      </c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8.75" customHeight="1">
      <c r="A81" s="31"/>
      <c r="B81" s="56" t="str">
        <f t="shared" si="1"/>
        <v>HL2</v>
      </c>
      <c r="C81" s="57" t="s">
        <v>124</v>
      </c>
      <c r="D81" s="56" t="s">
        <v>117</v>
      </c>
      <c r="E81" s="56" t="s">
        <v>16</v>
      </c>
      <c r="F81" s="56" t="s">
        <v>12</v>
      </c>
      <c r="G81" s="56" t="s">
        <v>118</v>
      </c>
      <c r="H81" s="56" t="s">
        <v>118</v>
      </c>
      <c r="I81" s="59">
        <v>20188.0</v>
      </c>
      <c r="J81" s="56">
        <f t="shared" si="2"/>
        <v>71</v>
      </c>
      <c r="K81" s="56">
        <v>3.322199062E9</v>
      </c>
      <c r="L81" s="60" t="s">
        <v>125</v>
      </c>
      <c r="M81" s="59">
        <v>43434.0</v>
      </c>
      <c r="N81" s="60" t="s">
        <v>126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8.75" customHeight="1">
      <c r="A82" s="31"/>
      <c r="B82" s="56" t="str">
        <f t="shared" si="1"/>
        <v>HS11</v>
      </c>
      <c r="C82" s="57" t="s">
        <v>1690</v>
      </c>
      <c r="D82" s="56" t="s">
        <v>117</v>
      </c>
      <c r="E82" s="56" t="s">
        <v>22</v>
      </c>
      <c r="F82" s="56" t="s">
        <v>43</v>
      </c>
      <c r="G82" s="56" t="s">
        <v>118</v>
      </c>
      <c r="H82" s="56" t="s">
        <v>118</v>
      </c>
      <c r="I82" s="59">
        <v>25733.0</v>
      </c>
      <c r="J82" s="56">
        <f t="shared" si="2"/>
        <v>55</v>
      </c>
      <c r="K82" s="56">
        <v>3.31345935E9</v>
      </c>
      <c r="L82" s="60" t="s">
        <v>1691</v>
      </c>
      <c r="M82" s="59">
        <v>43435.0</v>
      </c>
      <c r="N82" s="35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8.75" customHeight="1">
      <c r="A83" s="31"/>
      <c r="B83" s="56" t="str">
        <f t="shared" si="1"/>
        <v>ML1</v>
      </c>
      <c r="C83" s="57" t="s">
        <v>2250</v>
      </c>
      <c r="D83" s="56" t="s">
        <v>128</v>
      </c>
      <c r="E83" s="56" t="s">
        <v>40</v>
      </c>
      <c r="F83" s="56" t="s">
        <v>12</v>
      </c>
      <c r="G83" s="56" t="s">
        <v>165</v>
      </c>
      <c r="H83" s="56" t="s">
        <v>118</v>
      </c>
      <c r="I83" s="59">
        <v>36182.0</v>
      </c>
      <c r="J83" s="56">
        <f t="shared" si="2"/>
        <v>27</v>
      </c>
      <c r="K83" s="56">
        <v>3.321658098E9</v>
      </c>
      <c r="L83" s="60" t="s">
        <v>560</v>
      </c>
      <c r="M83" s="59">
        <v>43437.0</v>
      </c>
      <c r="N83" s="60" t="s">
        <v>561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8.75" customHeight="1">
      <c r="A84" s="31"/>
      <c r="B84" s="56" t="str">
        <f t="shared" si="1"/>
        <v>ML2</v>
      </c>
      <c r="C84" s="57" t="s">
        <v>901</v>
      </c>
      <c r="D84" s="56" t="s">
        <v>128</v>
      </c>
      <c r="E84" s="56" t="s">
        <v>28</v>
      </c>
      <c r="F84" s="56" t="s">
        <v>12</v>
      </c>
      <c r="G84" s="56" t="s">
        <v>118</v>
      </c>
      <c r="H84" s="56" t="s">
        <v>118</v>
      </c>
      <c r="I84" s="59">
        <v>33908.0</v>
      </c>
      <c r="J84" s="56">
        <f t="shared" si="2"/>
        <v>33</v>
      </c>
      <c r="K84" s="56">
        <v>3.322514509E9</v>
      </c>
      <c r="L84" s="60" t="s">
        <v>902</v>
      </c>
      <c r="M84" s="59">
        <v>43437.0</v>
      </c>
      <c r="N84" s="60" t="s">
        <v>546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8.75" customHeight="1">
      <c r="A85" s="31"/>
      <c r="B85" s="56" t="str">
        <f t="shared" si="1"/>
        <v>HV7</v>
      </c>
      <c r="C85" s="57" t="s">
        <v>2167</v>
      </c>
      <c r="D85" s="56" t="s">
        <v>117</v>
      </c>
      <c r="E85" s="56" t="s">
        <v>40</v>
      </c>
      <c r="F85" s="56" t="s">
        <v>36</v>
      </c>
      <c r="G85" s="56" t="s">
        <v>118</v>
      </c>
      <c r="H85" s="56" t="s">
        <v>118</v>
      </c>
      <c r="I85" s="59">
        <v>34722.0</v>
      </c>
      <c r="J85" s="56">
        <f t="shared" si="2"/>
        <v>31</v>
      </c>
      <c r="K85" s="93">
        <v>4.915210462801E12</v>
      </c>
      <c r="L85" s="60" t="s">
        <v>2168</v>
      </c>
      <c r="M85" s="59">
        <v>43441.0</v>
      </c>
      <c r="N85" s="60" t="s">
        <v>486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8.75" customHeight="1">
      <c r="A86" s="31"/>
      <c r="B86" s="56" t="str">
        <f t="shared" si="1"/>
        <v>MS14</v>
      </c>
      <c r="C86" s="57" t="s">
        <v>2084</v>
      </c>
      <c r="D86" s="56" t="s">
        <v>128</v>
      </c>
      <c r="E86" s="56" t="s">
        <v>40</v>
      </c>
      <c r="F86" s="56" t="s">
        <v>43</v>
      </c>
      <c r="G86" s="56" t="s">
        <v>118</v>
      </c>
      <c r="H86" s="56" t="s">
        <v>118</v>
      </c>
      <c r="I86" s="59">
        <v>38274.0</v>
      </c>
      <c r="J86" s="56">
        <f t="shared" si="2"/>
        <v>21</v>
      </c>
      <c r="K86" s="56">
        <v>3.32460681E9</v>
      </c>
      <c r="L86" s="60" t="s">
        <v>2085</v>
      </c>
      <c r="M86" s="59">
        <v>43428.0</v>
      </c>
      <c r="N86" s="60" t="s">
        <v>644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8.75" customHeight="1">
      <c r="A87" s="31"/>
      <c r="B87" s="56" t="str">
        <f t="shared" si="1"/>
        <v>MS15</v>
      </c>
      <c r="C87" s="57" t="s">
        <v>641</v>
      </c>
      <c r="D87" s="56" t="s">
        <v>128</v>
      </c>
      <c r="E87" s="56" t="s">
        <v>40</v>
      </c>
      <c r="F87" s="56" t="s">
        <v>43</v>
      </c>
      <c r="G87" s="56" t="s">
        <v>118</v>
      </c>
      <c r="H87" s="56" t="s">
        <v>118</v>
      </c>
      <c r="I87" s="59">
        <v>38278.0</v>
      </c>
      <c r="J87" s="56">
        <f t="shared" si="2"/>
        <v>21</v>
      </c>
      <c r="K87" s="56" t="s">
        <v>642</v>
      </c>
      <c r="L87" s="60" t="s">
        <v>643</v>
      </c>
      <c r="M87" s="59">
        <v>43434.0</v>
      </c>
      <c r="N87" s="60" t="s">
        <v>644</v>
      </c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8.75" customHeight="1">
      <c r="A88" s="31"/>
      <c r="B88" s="56" t="str">
        <f t="shared" si="1"/>
        <v>HS12</v>
      </c>
      <c r="C88" s="57" t="s">
        <v>2251</v>
      </c>
      <c r="D88" s="56" t="s">
        <v>117</v>
      </c>
      <c r="E88" s="56" t="s">
        <v>40</v>
      </c>
      <c r="F88" s="56" t="s">
        <v>43</v>
      </c>
      <c r="G88" s="56" t="s">
        <v>118</v>
      </c>
      <c r="H88" s="56" t="s">
        <v>118</v>
      </c>
      <c r="I88" s="59">
        <v>37481.0</v>
      </c>
      <c r="J88" s="56">
        <f t="shared" si="2"/>
        <v>23</v>
      </c>
      <c r="K88" s="56">
        <v>3.316472226E9</v>
      </c>
      <c r="L88" s="60" t="s">
        <v>119</v>
      </c>
      <c r="M88" s="59">
        <v>43468.0</v>
      </c>
      <c r="N88" s="60" t="s">
        <v>233</v>
      </c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8.75" customHeight="1">
      <c r="A89" s="31"/>
      <c r="B89" s="56" t="str">
        <f t="shared" si="1"/>
        <v>MS16</v>
      </c>
      <c r="C89" s="57" t="s">
        <v>569</v>
      </c>
      <c r="D89" s="56" t="s">
        <v>128</v>
      </c>
      <c r="E89" s="56" t="s">
        <v>40</v>
      </c>
      <c r="F89" s="56" t="s">
        <v>43</v>
      </c>
      <c r="G89" s="56" t="s">
        <v>118</v>
      </c>
      <c r="H89" s="56" t="s">
        <v>118</v>
      </c>
      <c r="I89" s="59">
        <v>37395.0</v>
      </c>
      <c r="J89" s="56">
        <f t="shared" si="2"/>
        <v>23</v>
      </c>
      <c r="K89" s="56">
        <v>3.311522115E9</v>
      </c>
      <c r="L89" s="60" t="s">
        <v>568</v>
      </c>
      <c r="M89" s="59">
        <v>43469.0</v>
      </c>
      <c r="N89" s="60" t="s">
        <v>571</v>
      </c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8.75" customHeight="1">
      <c r="A90" s="31"/>
      <c r="B90" s="56" t="str">
        <f t="shared" si="1"/>
        <v>HMa5</v>
      </c>
      <c r="C90" s="57" t="s">
        <v>673</v>
      </c>
      <c r="D90" s="56" t="s">
        <v>117</v>
      </c>
      <c r="E90" s="56" t="s">
        <v>40</v>
      </c>
      <c r="F90" s="56" t="s">
        <v>18</v>
      </c>
      <c r="G90" s="56" t="s">
        <v>118</v>
      </c>
      <c r="H90" s="56" t="s">
        <v>118</v>
      </c>
      <c r="I90" s="59">
        <v>30840.0</v>
      </c>
      <c r="J90" s="56">
        <f t="shared" si="2"/>
        <v>41</v>
      </c>
      <c r="K90" s="56"/>
      <c r="L90" s="60" t="s">
        <v>674</v>
      </c>
      <c r="M90" s="59">
        <v>43471.0</v>
      </c>
      <c r="N90" s="60" t="s">
        <v>486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8.75" customHeight="1">
      <c r="A91" s="31"/>
      <c r="B91" s="56" t="str">
        <f t="shared" si="1"/>
        <v>ML3</v>
      </c>
      <c r="C91" s="57" t="s">
        <v>1577</v>
      </c>
      <c r="D91" s="56" t="s">
        <v>128</v>
      </c>
      <c r="E91" s="56" t="s">
        <v>16</v>
      </c>
      <c r="F91" s="56" t="s">
        <v>12</v>
      </c>
      <c r="G91" s="56" t="s">
        <v>118</v>
      </c>
      <c r="H91" s="56" t="s">
        <v>118</v>
      </c>
      <c r="I91" s="59">
        <v>22869.0</v>
      </c>
      <c r="J91" s="56">
        <f t="shared" si="2"/>
        <v>63</v>
      </c>
      <c r="K91" s="56">
        <v>7.4490904165E10</v>
      </c>
      <c r="L91" s="60" t="s">
        <v>1578</v>
      </c>
      <c r="M91" s="59">
        <v>43472.0</v>
      </c>
      <c r="N91" s="60" t="s">
        <v>2252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8.75" customHeight="1">
      <c r="A92" s="31"/>
      <c r="B92" s="56" t="str">
        <f t="shared" si="1"/>
        <v>MS17</v>
      </c>
      <c r="C92" s="57" t="s">
        <v>1704</v>
      </c>
      <c r="D92" s="56" t="s">
        <v>128</v>
      </c>
      <c r="E92" s="56" t="s">
        <v>40</v>
      </c>
      <c r="F92" s="56" t="s">
        <v>43</v>
      </c>
      <c r="G92" s="56" t="s">
        <v>118</v>
      </c>
      <c r="H92" s="56" t="s">
        <v>118</v>
      </c>
      <c r="I92" s="59">
        <v>36926.0</v>
      </c>
      <c r="J92" s="56">
        <f t="shared" si="2"/>
        <v>25</v>
      </c>
      <c r="K92" s="56">
        <v>3.221026048E9</v>
      </c>
      <c r="L92" s="60" t="s">
        <v>1705</v>
      </c>
      <c r="M92" s="59">
        <v>43479.0</v>
      </c>
      <c r="N92" s="60" t="s">
        <v>1706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8.75" customHeight="1">
      <c r="A93" s="31"/>
      <c r="B93" s="56" t="str">
        <f t="shared" si="1"/>
        <v>MS18</v>
      </c>
      <c r="C93" s="57" t="s">
        <v>2172</v>
      </c>
      <c r="D93" s="56" t="s">
        <v>128</v>
      </c>
      <c r="E93" s="56" t="s">
        <v>34</v>
      </c>
      <c r="F93" s="56" t="s">
        <v>43</v>
      </c>
      <c r="G93" s="56" t="s">
        <v>118</v>
      </c>
      <c r="H93" s="56" t="s">
        <v>118</v>
      </c>
      <c r="I93" s="59">
        <v>25294.0</v>
      </c>
      <c r="J93" s="56">
        <f t="shared" si="2"/>
        <v>57</v>
      </c>
      <c r="K93" s="56">
        <v>3.312523111E9</v>
      </c>
      <c r="L93" s="60" t="s">
        <v>2173</v>
      </c>
      <c r="M93" s="59">
        <v>43479.0</v>
      </c>
      <c r="N93" s="60" t="s">
        <v>2174</v>
      </c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8.75" customHeight="1">
      <c r="A94" s="31"/>
      <c r="B94" s="56" t="str">
        <f t="shared" si="1"/>
        <v>MD8</v>
      </c>
      <c r="C94" s="57" t="s">
        <v>1721</v>
      </c>
      <c r="D94" s="56" t="s">
        <v>128</v>
      </c>
      <c r="E94" s="56" t="s">
        <v>22</v>
      </c>
      <c r="F94" s="56" t="s">
        <v>49</v>
      </c>
      <c r="G94" s="56" t="s">
        <v>118</v>
      </c>
      <c r="H94" s="56" t="s">
        <v>118</v>
      </c>
      <c r="I94" s="59">
        <v>31275.0</v>
      </c>
      <c r="J94" s="56">
        <f t="shared" si="2"/>
        <v>40</v>
      </c>
      <c r="K94" s="56">
        <v>3.374585946E9</v>
      </c>
      <c r="L94" s="60" t="s">
        <v>794</v>
      </c>
      <c r="M94" s="59">
        <v>43480.0</v>
      </c>
      <c r="N94" s="60" t="s">
        <v>1722</v>
      </c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8.75" customHeight="1">
      <c r="A95" s="31"/>
      <c r="B95" s="56" t="str">
        <f t="shared" si="1"/>
        <v>MV5</v>
      </c>
      <c r="C95" s="57" t="s">
        <v>721</v>
      </c>
      <c r="D95" s="56" t="s">
        <v>128</v>
      </c>
      <c r="E95" s="56" t="s">
        <v>28</v>
      </c>
      <c r="F95" s="56" t="s">
        <v>36</v>
      </c>
      <c r="G95" s="56" t="s">
        <v>118</v>
      </c>
      <c r="H95" s="56" t="s">
        <v>118</v>
      </c>
      <c r="I95" s="59">
        <v>34660.0</v>
      </c>
      <c r="J95" s="56">
        <f t="shared" si="2"/>
        <v>31</v>
      </c>
      <c r="K95" s="56">
        <v>3.32657025E9</v>
      </c>
      <c r="L95" s="60" t="s">
        <v>722</v>
      </c>
      <c r="M95" s="59">
        <v>43480.0</v>
      </c>
      <c r="N95" s="60" t="s">
        <v>287</v>
      </c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8.75" customHeight="1">
      <c r="A96" s="31"/>
      <c r="B96" s="56" t="str">
        <f t="shared" si="1"/>
        <v>HV8</v>
      </c>
      <c r="C96" s="57" t="s">
        <v>1876</v>
      </c>
      <c r="D96" s="56" t="s">
        <v>117</v>
      </c>
      <c r="E96" s="56" t="s">
        <v>40</v>
      </c>
      <c r="F96" s="56" t="s">
        <v>36</v>
      </c>
      <c r="G96" s="56" t="s">
        <v>118</v>
      </c>
      <c r="H96" s="56" t="s">
        <v>118</v>
      </c>
      <c r="I96" s="59">
        <v>32674.0</v>
      </c>
      <c r="J96" s="56">
        <f t="shared" si="2"/>
        <v>36</v>
      </c>
      <c r="K96" s="56">
        <v>3.317888059E9</v>
      </c>
      <c r="L96" s="60" t="s">
        <v>1877</v>
      </c>
      <c r="M96" s="59">
        <v>43480.0</v>
      </c>
      <c r="N96" s="60" t="s">
        <v>1878</v>
      </c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8.75" customHeight="1">
      <c r="A97" s="31"/>
      <c r="B97" s="56" t="str">
        <f t="shared" si="1"/>
        <v>MS19</v>
      </c>
      <c r="C97" s="57" t="s">
        <v>285</v>
      </c>
      <c r="D97" s="56" t="s">
        <v>128</v>
      </c>
      <c r="E97" s="56" t="s">
        <v>28</v>
      </c>
      <c r="F97" s="56" t="s">
        <v>43</v>
      </c>
      <c r="G97" s="56" t="s">
        <v>118</v>
      </c>
      <c r="H97" s="56" t="s">
        <v>118</v>
      </c>
      <c r="I97" s="59">
        <v>34283.0</v>
      </c>
      <c r="J97" s="56">
        <f t="shared" si="2"/>
        <v>32</v>
      </c>
      <c r="K97" s="56">
        <v>3.323201186E9</v>
      </c>
      <c r="L97" s="60" t="s">
        <v>286</v>
      </c>
      <c r="M97" s="59">
        <v>43481.0</v>
      </c>
      <c r="N97" s="60" t="s">
        <v>287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8.75" customHeight="1">
      <c r="A98" s="31"/>
      <c r="B98" s="56" t="str">
        <f t="shared" si="1"/>
        <v>HD13</v>
      </c>
      <c r="C98" s="57" t="s">
        <v>440</v>
      </c>
      <c r="D98" s="56" t="s">
        <v>117</v>
      </c>
      <c r="E98" s="56" t="s">
        <v>22</v>
      </c>
      <c r="F98" s="56" t="s">
        <v>49</v>
      </c>
      <c r="G98" s="56" t="s">
        <v>118</v>
      </c>
      <c r="H98" s="56" t="s">
        <v>118</v>
      </c>
      <c r="I98" s="59">
        <v>27500.0</v>
      </c>
      <c r="J98" s="56">
        <f t="shared" si="2"/>
        <v>51</v>
      </c>
      <c r="K98" s="56">
        <v>3.311072313E9</v>
      </c>
      <c r="L98" s="60" t="s">
        <v>441</v>
      </c>
      <c r="M98" s="59">
        <v>43481.0</v>
      </c>
      <c r="N98" s="60" t="s">
        <v>442</v>
      </c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8.75" customHeight="1">
      <c r="A99" s="31"/>
      <c r="B99" s="56" t="str">
        <f t="shared" si="1"/>
        <v>HV9</v>
      </c>
      <c r="C99" s="57" t="s">
        <v>1736</v>
      </c>
      <c r="D99" s="56" t="s">
        <v>117</v>
      </c>
      <c r="E99" s="56" t="s">
        <v>16</v>
      </c>
      <c r="F99" s="56" t="s">
        <v>36</v>
      </c>
      <c r="G99" s="56" t="s">
        <v>118</v>
      </c>
      <c r="H99" s="56" t="s">
        <v>118</v>
      </c>
      <c r="I99" s="59">
        <v>20980.0</v>
      </c>
      <c r="J99" s="56">
        <f t="shared" si="2"/>
        <v>68</v>
      </c>
      <c r="K99" s="56">
        <v>7.442088566E9</v>
      </c>
      <c r="L99" s="60" t="s">
        <v>1737</v>
      </c>
      <c r="M99" s="59">
        <v>43486.0</v>
      </c>
      <c r="N99" s="60" t="s">
        <v>126</v>
      </c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8.75" customHeight="1">
      <c r="A100" s="31"/>
      <c r="B100" s="56" t="str">
        <f t="shared" si="1"/>
        <v>HS13</v>
      </c>
      <c r="C100" s="57" t="s">
        <v>1522</v>
      </c>
      <c r="D100" s="56" t="s">
        <v>117</v>
      </c>
      <c r="E100" s="56" t="s">
        <v>40</v>
      </c>
      <c r="F100" s="56" t="s">
        <v>43</v>
      </c>
      <c r="G100" s="56" t="s">
        <v>118</v>
      </c>
      <c r="H100" s="56" t="s">
        <v>118</v>
      </c>
      <c r="I100" s="59">
        <v>35464.0</v>
      </c>
      <c r="J100" s="56">
        <f t="shared" si="2"/>
        <v>29</v>
      </c>
      <c r="K100" s="56">
        <v>3.328642963E9</v>
      </c>
      <c r="L100" s="60"/>
      <c r="M100" s="59">
        <v>43487.0</v>
      </c>
      <c r="N100" s="35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8.75" customHeight="1">
      <c r="A101" s="31"/>
      <c r="B101" s="56" t="str">
        <f t="shared" si="1"/>
        <v>MV6</v>
      </c>
      <c r="C101" s="57" t="s">
        <v>841</v>
      </c>
      <c r="D101" s="56" t="s">
        <v>128</v>
      </c>
      <c r="E101" s="56" t="s">
        <v>22</v>
      </c>
      <c r="F101" s="56" t="s">
        <v>36</v>
      </c>
      <c r="G101" s="56" t="s">
        <v>118</v>
      </c>
      <c r="H101" s="56" t="s">
        <v>118</v>
      </c>
      <c r="I101" s="59">
        <v>31353.0</v>
      </c>
      <c r="J101" s="56">
        <f t="shared" si="2"/>
        <v>40</v>
      </c>
      <c r="K101" s="56">
        <v>3.322966475E9</v>
      </c>
      <c r="L101" s="60" t="s">
        <v>842</v>
      </c>
      <c r="M101" s="59">
        <v>43488.0</v>
      </c>
      <c r="N101" s="60" t="s">
        <v>1722</v>
      </c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8.75" customHeight="1">
      <c r="A102" s="31"/>
      <c r="B102" s="56" t="str">
        <f t="shared" si="1"/>
        <v>MJ3</v>
      </c>
      <c r="C102" s="57" t="s">
        <v>835</v>
      </c>
      <c r="D102" s="56" t="s">
        <v>128</v>
      </c>
      <c r="E102" s="56" t="s">
        <v>28</v>
      </c>
      <c r="F102" s="56" t="s">
        <v>30</v>
      </c>
      <c r="G102" s="56" t="s">
        <v>118</v>
      </c>
      <c r="H102" s="56" t="s">
        <v>118</v>
      </c>
      <c r="I102" s="59">
        <v>34231.0</v>
      </c>
      <c r="J102" s="56">
        <f t="shared" si="2"/>
        <v>32</v>
      </c>
      <c r="K102" s="56">
        <v>3.333631107E9</v>
      </c>
      <c r="L102" s="60" t="s">
        <v>836</v>
      </c>
      <c r="M102" s="59">
        <v>43489.0</v>
      </c>
      <c r="N102" s="60" t="s">
        <v>837</v>
      </c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8.75" customHeight="1">
      <c r="A103" s="31"/>
      <c r="B103" s="56" t="str">
        <f t="shared" si="1"/>
        <v>HMi8</v>
      </c>
      <c r="C103" s="57" t="s">
        <v>1366</v>
      </c>
      <c r="D103" s="56" t="s">
        <v>117</v>
      </c>
      <c r="E103" s="56" t="s">
        <v>40</v>
      </c>
      <c r="F103" s="56" t="s">
        <v>24</v>
      </c>
      <c r="G103" s="56" t="s">
        <v>118</v>
      </c>
      <c r="H103" s="56" t="s">
        <v>118</v>
      </c>
      <c r="I103" s="59">
        <v>38362.0</v>
      </c>
      <c r="J103" s="56">
        <f t="shared" si="2"/>
        <v>21</v>
      </c>
      <c r="K103" s="56">
        <v>3.310848989E9</v>
      </c>
      <c r="L103" s="60" t="s">
        <v>1367</v>
      </c>
      <c r="M103" s="59">
        <v>43495.0</v>
      </c>
      <c r="N103" s="60" t="s">
        <v>202</v>
      </c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8.75" customHeight="1">
      <c r="A104" s="31"/>
      <c r="B104" s="56" t="str">
        <f t="shared" si="1"/>
        <v>HMa6</v>
      </c>
      <c r="C104" s="57" t="s">
        <v>1480</v>
      </c>
      <c r="D104" s="56" t="s">
        <v>117</v>
      </c>
      <c r="E104" s="56" t="s">
        <v>16</v>
      </c>
      <c r="F104" s="56" t="s">
        <v>18</v>
      </c>
      <c r="G104" s="56" t="s">
        <v>118</v>
      </c>
      <c r="H104" s="56" t="s">
        <v>118</v>
      </c>
      <c r="I104" s="59">
        <v>23885.0</v>
      </c>
      <c r="J104" s="56">
        <f t="shared" si="2"/>
        <v>60</v>
      </c>
      <c r="K104" s="56">
        <v>3.321903648E9</v>
      </c>
      <c r="L104" s="60" t="s">
        <v>1481</v>
      </c>
      <c r="M104" s="59">
        <v>43496.0</v>
      </c>
      <c r="N104" s="60" t="s">
        <v>1482</v>
      </c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8.75" customHeight="1">
      <c r="A105" s="31"/>
      <c r="B105" s="56" t="str">
        <f t="shared" si="1"/>
        <v>HMa7</v>
      </c>
      <c r="C105" s="57" t="s">
        <v>1229</v>
      </c>
      <c r="D105" s="56" t="s">
        <v>117</v>
      </c>
      <c r="E105" s="56" t="s">
        <v>40</v>
      </c>
      <c r="F105" s="56" t="s">
        <v>18</v>
      </c>
      <c r="G105" s="56" t="s">
        <v>118</v>
      </c>
      <c r="H105" s="56" t="s">
        <v>118</v>
      </c>
      <c r="I105" s="59">
        <v>38174.0</v>
      </c>
      <c r="J105" s="56">
        <f t="shared" si="2"/>
        <v>21</v>
      </c>
      <c r="K105" s="56">
        <v>3.310727255E9</v>
      </c>
      <c r="L105" s="60" t="s">
        <v>1230</v>
      </c>
      <c r="M105" s="59">
        <v>43501.0</v>
      </c>
      <c r="N105" s="60" t="s">
        <v>218</v>
      </c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8.75" customHeight="1">
      <c r="A106" s="31"/>
      <c r="B106" s="56" t="str">
        <f t="shared" si="1"/>
        <v>HV10</v>
      </c>
      <c r="C106" s="57" t="s">
        <v>1101</v>
      </c>
      <c r="D106" s="56" t="s">
        <v>117</v>
      </c>
      <c r="E106" s="56" t="s">
        <v>40</v>
      </c>
      <c r="F106" s="56" t="s">
        <v>36</v>
      </c>
      <c r="G106" s="56" t="s">
        <v>118</v>
      </c>
      <c r="H106" s="56" t="s">
        <v>118</v>
      </c>
      <c r="I106" s="59">
        <v>34137.0</v>
      </c>
      <c r="J106" s="56">
        <f t="shared" si="2"/>
        <v>32</v>
      </c>
      <c r="K106" s="56">
        <v>5.521045734E9</v>
      </c>
      <c r="L106" s="60"/>
      <c r="M106" s="59">
        <v>43502.0</v>
      </c>
      <c r="N106" s="60" t="s">
        <v>486</v>
      </c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8.75" customHeight="1">
      <c r="A107" s="31"/>
      <c r="B107" s="56" t="str">
        <f t="shared" si="1"/>
        <v>MS20</v>
      </c>
      <c r="C107" s="57" t="s">
        <v>1038</v>
      </c>
      <c r="D107" s="56" t="s">
        <v>128</v>
      </c>
      <c r="E107" s="56" t="s">
        <v>40</v>
      </c>
      <c r="F107" s="56" t="s">
        <v>43</v>
      </c>
      <c r="G107" s="56" t="s">
        <v>118</v>
      </c>
      <c r="H107" s="56" t="s">
        <v>118</v>
      </c>
      <c r="I107" s="59">
        <v>38244.0</v>
      </c>
      <c r="J107" s="56">
        <f t="shared" si="2"/>
        <v>21</v>
      </c>
      <c r="K107" s="56"/>
      <c r="L107" s="60" t="s">
        <v>1039</v>
      </c>
      <c r="M107" s="59">
        <v>43510.0</v>
      </c>
      <c r="N107" s="60" t="s">
        <v>235</v>
      </c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8.75" customHeight="1">
      <c r="A108" s="31"/>
      <c r="B108" s="56" t="str">
        <f t="shared" si="1"/>
        <v>HS14</v>
      </c>
      <c r="C108" s="57" t="s">
        <v>1809</v>
      </c>
      <c r="D108" s="56" t="s">
        <v>117</v>
      </c>
      <c r="E108" s="56" t="s">
        <v>40</v>
      </c>
      <c r="F108" s="56" t="s">
        <v>43</v>
      </c>
      <c r="G108" s="56" t="s">
        <v>118</v>
      </c>
      <c r="H108" s="56" t="s">
        <v>118</v>
      </c>
      <c r="I108" s="59">
        <v>38380.0</v>
      </c>
      <c r="J108" s="56">
        <f t="shared" si="2"/>
        <v>21</v>
      </c>
      <c r="K108" s="56">
        <v>7.443126912E9</v>
      </c>
      <c r="L108" s="60" t="s">
        <v>1810</v>
      </c>
      <c r="M108" s="59">
        <v>43513.0</v>
      </c>
      <c r="N108" s="60" t="s">
        <v>202</v>
      </c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8.75" customHeight="1">
      <c r="A109" s="31"/>
      <c r="B109" s="56" t="str">
        <f t="shared" si="1"/>
        <v>HMa8</v>
      </c>
      <c r="C109" s="57" t="s">
        <v>2045</v>
      </c>
      <c r="D109" s="56" t="s">
        <v>117</v>
      </c>
      <c r="E109" s="56" t="s">
        <v>40</v>
      </c>
      <c r="F109" s="56" t="s">
        <v>18</v>
      </c>
      <c r="G109" s="56" t="s">
        <v>118</v>
      </c>
      <c r="H109" s="56" t="s">
        <v>118</v>
      </c>
      <c r="I109" s="59">
        <v>38212.0</v>
      </c>
      <c r="J109" s="56">
        <f t="shared" si="2"/>
        <v>21</v>
      </c>
      <c r="K109" s="56">
        <v>3.314476105E9</v>
      </c>
      <c r="L109" s="60" t="s">
        <v>2046</v>
      </c>
      <c r="M109" s="59">
        <v>43503.0</v>
      </c>
      <c r="N109" s="60" t="s">
        <v>233</v>
      </c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8.75" customHeight="1">
      <c r="A110" s="31"/>
      <c r="B110" s="56" t="str">
        <f t="shared" si="1"/>
        <v>MJ4</v>
      </c>
      <c r="C110" s="57" t="s">
        <v>415</v>
      </c>
      <c r="D110" s="56" t="s">
        <v>128</v>
      </c>
      <c r="E110" s="56" t="s">
        <v>16</v>
      </c>
      <c r="F110" s="56" t="s">
        <v>30</v>
      </c>
      <c r="G110" s="56" t="s">
        <v>118</v>
      </c>
      <c r="H110" s="56" t="s">
        <v>118</v>
      </c>
      <c r="I110" s="59">
        <v>22546.0</v>
      </c>
      <c r="J110" s="56">
        <f t="shared" si="2"/>
        <v>64</v>
      </c>
      <c r="K110" s="56">
        <v>3.316725551E9</v>
      </c>
      <c r="L110" s="60" t="s">
        <v>416</v>
      </c>
      <c r="M110" s="59">
        <v>43513.0</v>
      </c>
      <c r="N110" s="60" t="s">
        <v>2252</v>
      </c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8.75" customHeight="1">
      <c r="A111" s="31"/>
      <c r="B111" s="56" t="str">
        <f t="shared" si="1"/>
        <v>HV11</v>
      </c>
      <c r="C111" s="57" t="s">
        <v>887</v>
      </c>
      <c r="D111" s="56" t="s">
        <v>117</v>
      </c>
      <c r="E111" s="56" t="s">
        <v>40</v>
      </c>
      <c r="F111" s="56" t="s">
        <v>36</v>
      </c>
      <c r="G111" s="56" t="s">
        <v>118</v>
      </c>
      <c r="H111" s="56" t="s">
        <v>118</v>
      </c>
      <c r="I111" s="59">
        <v>38403.0</v>
      </c>
      <c r="J111" s="56">
        <f t="shared" si="2"/>
        <v>21</v>
      </c>
      <c r="K111" s="56"/>
      <c r="L111" s="60" t="s">
        <v>888</v>
      </c>
      <c r="M111" s="59">
        <v>43531.0</v>
      </c>
      <c r="N111" s="60" t="s">
        <v>202</v>
      </c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8.75" customHeight="1">
      <c r="A112" s="31"/>
      <c r="B112" s="56" t="str">
        <f t="shared" si="1"/>
        <v>HD14</v>
      </c>
      <c r="C112" s="57" t="s">
        <v>1349</v>
      </c>
      <c r="D112" s="56" t="s">
        <v>117</v>
      </c>
      <c r="E112" s="56" t="s">
        <v>34</v>
      </c>
      <c r="F112" s="56" t="s">
        <v>49</v>
      </c>
      <c r="G112" s="56" t="s">
        <v>118</v>
      </c>
      <c r="H112" s="56" t="s">
        <v>118</v>
      </c>
      <c r="I112" s="59">
        <v>27660.0</v>
      </c>
      <c r="J112" s="56">
        <f t="shared" si="2"/>
        <v>50</v>
      </c>
      <c r="K112" s="56">
        <v>3.319614214E9</v>
      </c>
      <c r="L112" s="60" t="s">
        <v>1350</v>
      </c>
      <c r="M112" s="59">
        <v>43527.0</v>
      </c>
      <c r="N112" s="60" t="s">
        <v>467</v>
      </c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8.75" customHeight="1">
      <c r="A113" s="31"/>
      <c r="B113" s="56" t="str">
        <f t="shared" si="1"/>
        <v>MS21</v>
      </c>
      <c r="C113" s="57" t="s">
        <v>1440</v>
      </c>
      <c r="D113" s="56" t="s">
        <v>128</v>
      </c>
      <c r="E113" s="56" t="s">
        <v>40</v>
      </c>
      <c r="F113" s="56" t="s">
        <v>43</v>
      </c>
      <c r="G113" s="56" t="s">
        <v>118</v>
      </c>
      <c r="H113" s="56" t="s">
        <v>118</v>
      </c>
      <c r="I113" s="59">
        <v>35631.0</v>
      </c>
      <c r="J113" s="56">
        <f t="shared" si="2"/>
        <v>28</v>
      </c>
      <c r="K113" s="56">
        <v>3.324612095E9</v>
      </c>
      <c r="L113" s="60" t="s">
        <v>1441</v>
      </c>
      <c r="M113" s="59">
        <v>43538.0</v>
      </c>
      <c r="N113" s="60" t="s">
        <v>486</v>
      </c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8.75" customHeight="1">
      <c r="A114" s="31"/>
      <c r="B114" s="56" t="str">
        <f t="shared" si="1"/>
        <v>HS15</v>
      </c>
      <c r="C114" s="57" t="s">
        <v>1470</v>
      </c>
      <c r="D114" s="56" t="s">
        <v>117</v>
      </c>
      <c r="E114" s="56" t="s">
        <v>40</v>
      </c>
      <c r="F114" s="56" t="s">
        <v>43</v>
      </c>
      <c r="G114" s="56" t="s">
        <v>118</v>
      </c>
      <c r="H114" s="56" t="s">
        <v>118</v>
      </c>
      <c r="I114" s="59">
        <v>38241.0</v>
      </c>
      <c r="J114" s="56">
        <f t="shared" si="2"/>
        <v>21</v>
      </c>
      <c r="K114" s="56">
        <v>3.323181768E9</v>
      </c>
      <c r="L114" s="60" t="s">
        <v>1471</v>
      </c>
      <c r="M114" s="59">
        <v>43553.0</v>
      </c>
      <c r="N114" s="60" t="s">
        <v>218</v>
      </c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8.75" customHeight="1">
      <c r="A115" s="31"/>
      <c r="B115" s="56" t="str">
        <f t="shared" si="1"/>
        <v>HD15</v>
      </c>
      <c r="C115" s="57" t="s">
        <v>825</v>
      </c>
      <c r="D115" s="56" t="s">
        <v>117</v>
      </c>
      <c r="E115" s="56" t="s">
        <v>40</v>
      </c>
      <c r="F115" s="56" t="s">
        <v>49</v>
      </c>
      <c r="G115" s="56" t="s">
        <v>118</v>
      </c>
      <c r="H115" s="56" t="s">
        <v>118</v>
      </c>
      <c r="I115" s="59">
        <v>31407.0</v>
      </c>
      <c r="J115" s="56">
        <f t="shared" si="2"/>
        <v>40</v>
      </c>
      <c r="K115" s="56" t="s">
        <v>570</v>
      </c>
      <c r="L115" s="60" t="s">
        <v>826</v>
      </c>
      <c r="M115" s="59">
        <v>43544.0</v>
      </c>
      <c r="N115" s="60" t="s">
        <v>486</v>
      </c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8.75" customHeight="1">
      <c r="A116" s="31"/>
      <c r="B116" s="56" t="str">
        <f t="shared" si="1"/>
        <v>MS22</v>
      </c>
      <c r="C116" s="57" t="s">
        <v>1317</v>
      </c>
      <c r="D116" s="56" t="s">
        <v>128</v>
      </c>
      <c r="E116" s="56" t="s">
        <v>40</v>
      </c>
      <c r="F116" s="56" t="s">
        <v>43</v>
      </c>
      <c r="G116" s="56" t="s">
        <v>118</v>
      </c>
      <c r="H116" s="56" t="s">
        <v>118</v>
      </c>
      <c r="I116" s="59"/>
      <c r="J116" s="56">
        <f t="shared" si="2"/>
        <v>126</v>
      </c>
      <c r="K116" s="56">
        <v>7.712717388E9</v>
      </c>
      <c r="L116" s="60"/>
      <c r="M116" s="59">
        <v>43528.0</v>
      </c>
      <c r="N116" s="60" t="s">
        <v>1318</v>
      </c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8.75" customHeight="1">
      <c r="A117" s="31"/>
      <c r="B117" s="56" t="str">
        <f t="shared" si="1"/>
        <v>MJ5</v>
      </c>
      <c r="C117" s="57" t="s">
        <v>595</v>
      </c>
      <c r="D117" s="56" t="s">
        <v>128</v>
      </c>
      <c r="E117" s="56" t="s">
        <v>22</v>
      </c>
      <c r="F117" s="56" t="s">
        <v>30</v>
      </c>
      <c r="G117" s="56" t="s">
        <v>118</v>
      </c>
      <c r="H117" s="56" t="s">
        <v>118</v>
      </c>
      <c r="I117" s="59">
        <v>31899.0</v>
      </c>
      <c r="J117" s="56">
        <f t="shared" si="2"/>
        <v>38</v>
      </c>
      <c r="K117" s="56">
        <v>3.324521167E9</v>
      </c>
      <c r="L117" s="60" t="s">
        <v>596</v>
      </c>
      <c r="M117" s="59">
        <v>43609.0</v>
      </c>
      <c r="N117" s="60" t="s">
        <v>587</v>
      </c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8.75" customHeight="1">
      <c r="A118" s="31"/>
      <c r="B118" s="56" t="str">
        <f t="shared" si="1"/>
        <v>MJ6</v>
      </c>
      <c r="C118" s="57" t="s">
        <v>838</v>
      </c>
      <c r="D118" s="56" t="s">
        <v>128</v>
      </c>
      <c r="E118" s="56" t="s">
        <v>28</v>
      </c>
      <c r="F118" s="56" t="s">
        <v>30</v>
      </c>
      <c r="G118" s="56" t="s">
        <v>118</v>
      </c>
      <c r="H118" s="56" t="s">
        <v>118</v>
      </c>
      <c r="I118" s="59">
        <v>33015.0</v>
      </c>
      <c r="J118" s="56">
        <f t="shared" si="2"/>
        <v>35</v>
      </c>
      <c r="K118" s="56">
        <v>3.327039497E9</v>
      </c>
      <c r="L118" s="60" t="s">
        <v>839</v>
      </c>
      <c r="M118" s="59">
        <v>43615.0</v>
      </c>
      <c r="N118" s="60" t="s">
        <v>840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8.75" customHeight="1">
      <c r="A119" s="31"/>
      <c r="B119" s="56" t="str">
        <f t="shared" si="1"/>
        <v>HD16</v>
      </c>
      <c r="C119" s="57" t="s">
        <v>1236</v>
      </c>
      <c r="D119" s="56" t="s">
        <v>117</v>
      </c>
      <c r="E119" s="56" t="s">
        <v>34</v>
      </c>
      <c r="F119" s="56" t="s">
        <v>49</v>
      </c>
      <c r="G119" s="56" t="s">
        <v>118</v>
      </c>
      <c r="H119" s="56" t="s">
        <v>118</v>
      </c>
      <c r="I119" s="59">
        <v>26412.0</v>
      </c>
      <c r="J119" s="56">
        <f t="shared" si="2"/>
        <v>54</v>
      </c>
      <c r="K119" s="56">
        <v>3.316247505E9</v>
      </c>
      <c r="L119" s="60" t="s">
        <v>1237</v>
      </c>
      <c r="M119" s="59">
        <v>43598.0</v>
      </c>
      <c r="N119" s="60" t="s">
        <v>467</v>
      </c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8.75" customHeight="1">
      <c r="A120" s="31"/>
      <c r="B120" s="56" t="str">
        <f t="shared" si="1"/>
        <v>HS16</v>
      </c>
      <c r="C120" s="57" t="s">
        <v>363</v>
      </c>
      <c r="D120" s="56" t="s">
        <v>117</v>
      </c>
      <c r="E120" s="56" t="s">
        <v>40</v>
      </c>
      <c r="F120" s="56" t="s">
        <v>43</v>
      </c>
      <c r="G120" s="56" t="s">
        <v>118</v>
      </c>
      <c r="H120" s="56" t="s">
        <v>118</v>
      </c>
      <c r="I120" s="59">
        <v>38280.0</v>
      </c>
      <c r="J120" s="56">
        <f t="shared" si="2"/>
        <v>21</v>
      </c>
      <c r="K120" s="56">
        <v>3.322024509E9</v>
      </c>
      <c r="L120" s="60" t="s">
        <v>364</v>
      </c>
      <c r="M120" s="59">
        <v>43604.0</v>
      </c>
      <c r="N120" s="60" t="s">
        <v>218</v>
      </c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8.75" customHeight="1">
      <c r="A121" s="31"/>
      <c r="B121" s="56" t="str">
        <f t="shared" si="1"/>
        <v>MS23</v>
      </c>
      <c r="C121" s="57" t="s">
        <v>2150</v>
      </c>
      <c r="D121" s="56" t="s">
        <v>128</v>
      </c>
      <c r="E121" s="56" t="s">
        <v>40</v>
      </c>
      <c r="F121" s="56" t="s">
        <v>43</v>
      </c>
      <c r="G121" s="56" t="s">
        <v>118</v>
      </c>
      <c r="H121" s="56" t="s">
        <v>118</v>
      </c>
      <c r="I121" s="59">
        <v>38212.0</v>
      </c>
      <c r="J121" s="56">
        <f t="shared" si="2"/>
        <v>21</v>
      </c>
      <c r="K121" s="56"/>
      <c r="L121" s="60" t="s">
        <v>2151</v>
      </c>
      <c r="M121" s="59">
        <v>43600.0</v>
      </c>
      <c r="N121" s="60" t="s">
        <v>2152</v>
      </c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8.75" customHeight="1">
      <c r="A122" s="31"/>
      <c r="B122" s="56" t="str">
        <f t="shared" si="1"/>
        <v>MD9</v>
      </c>
      <c r="C122" s="57" t="s">
        <v>504</v>
      </c>
      <c r="D122" s="56" t="s">
        <v>128</v>
      </c>
      <c r="E122" s="56" t="s">
        <v>22</v>
      </c>
      <c r="F122" s="56" t="s">
        <v>49</v>
      </c>
      <c r="G122" s="56" t="s">
        <v>118</v>
      </c>
      <c r="H122" s="56" t="s">
        <v>118</v>
      </c>
      <c r="I122" s="59">
        <v>30573.0</v>
      </c>
      <c r="J122" s="56">
        <f t="shared" si="2"/>
        <v>42</v>
      </c>
      <c r="K122" s="56">
        <v>3.321189847E9</v>
      </c>
      <c r="L122" s="60" t="s">
        <v>399</v>
      </c>
      <c r="M122" s="59">
        <v>43597.0</v>
      </c>
      <c r="N122" s="60" t="s">
        <v>505</v>
      </c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8.75" customHeight="1">
      <c r="A123" s="31"/>
      <c r="B123" s="56" t="str">
        <f t="shared" si="1"/>
        <v>MV7</v>
      </c>
      <c r="C123" s="57" t="s">
        <v>1623</v>
      </c>
      <c r="D123" s="56" t="s">
        <v>128</v>
      </c>
      <c r="E123" s="56" t="s">
        <v>40</v>
      </c>
      <c r="F123" s="56" t="s">
        <v>36</v>
      </c>
      <c r="G123" s="56" t="s">
        <v>118</v>
      </c>
      <c r="H123" s="56" t="s">
        <v>118</v>
      </c>
      <c r="I123" s="59">
        <v>37037.0</v>
      </c>
      <c r="J123" s="56">
        <f t="shared" si="2"/>
        <v>24</v>
      </c>
      <c r="K123" s="56">
        <v>7.771115331E9</v>
      </c>
      <c r="L123" s="60" t="s">
        <v>1624</v>
      </c>
      <c r="M123" s="59">
        <v>43607.0</v>
      </c>
      <c r="N123" s="60" t="s">
        <v>1625</v>
      </c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8.75" customHeight="1">
      <c r="A124" s="31"/>
      <c r="B124" s="56" t="str">
        <f t="shared" si="1"/>
        <v>MMi4</v>
      </c>
      <c r="C124" s="57" t="s">
        <v>1783</v>
      </c>
      <c r="D124" s="56" t="s">
        <v>128</v>
      </c>
      <c r="E124" s="56" t="s">
        <v>16</v>
      </c>
      <c r="F124" s="56" t="s">
        <v>24</v>
      </c>
      <c r="G124" s="56" t="s">
        <v>118</v>
      </c>
      <c r="H124" s="56" t="s">
        <v>118</v>
      </c>
      <c r="I124" s="59">
        <v>26058.0</v>
      </c>
      <c r="J124" s="56">
        <f t="shared" si="2"/>
        <v>54</v>
      </c>
      <c r="K124" s="56">
        <v>3.32701633E9</v>
      </c>
      <c r="L124" s="60" t="s">
        <v>1784</v>
      </c>
      <c r="M124" s="59">
        <v>43621.0</v>
      </c>
      <c r="N124" s="60" t="s">
        <v>2253</v>
      </c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8.75" customHeight="1">
      <c r="A125" s="31"/>
      <c r="B125" s="56" t="str">
        <f t="shared" si="1"/>
        <v>HJ4</v>
      </c>
      <c r="C125" s="57" t="s">
        <v>2063</v>
      </c>
      <c r="D125" s="56" t="s">
        <v>117</v>
      </c>
      <c r="E125" s="56" t="s">
        <v>16</v>
      </c>
      <c r="F125" s="56" t="s">
        <v>30</v>
      </c>
      <c r="G125" s="56" t="s">
        <v>118</v>
      </c>
      <c r="H125" s="56" t="s">
        <v>118</v>
      </c>
      <c r="I125" s="59">
        <v>26457.0</v>
      </c>
      <c r="J125" s="56">
        <f t="shared" si="2"/>
        <v>53</v>
      </c>
      <c r="K125" s="56">
        <v>7.751146249E9</v>
      </c>
      <c r="L125" s="60" t="s">
        <v>2064</v>
      </c>
      <c r="M125" s="59">
        <v>43633.0</v>
      </c>
      <c r="N125" s="60" t="s">
        <v>1780</v>
      </c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8.75" customHeight="1">
      <c r="A126" s="31"/>
      <c r="B126" s="56" t="str">
        <f t="shared" si="1"/>
        <v>HS17</v>
      </c>
      <c r="C126" s="57" t="s">
        <v>1817</v>
      </c>
      <c r="D126" s="56" t="s">
        <v>117</v>
      </c>
      <c r="E126" s="56" t="s">
        <v>40</v>
      </c>
      <c r="F126" s="56" t="s">
        <v>43</v>
      </c>
      <c r="G126" s="56" t="s">
        <v>118</v>
      </c>
      <c r="H126" s="56" t="s">
        <v>118</v>
      </c>
      <c r="I126" s="59">
        <v>37752.0</v>
      </c>
      <c r="J126" s="56">
        <f t="shared" si="2"/>
        <v>22</v>
      </c>
      <c r="K126" s="56"/>
      <c r="L126" s="60" t="s">
        <v>1818</v>
      </c>
      <c r="M126" s="59">
        <v>43636.0</v>
      </c>
      <c r="N126" s="60" t="s">
        <v>218</v>
      </c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8.75" customHeight="1">
      <c r="A127" s="31"/>
      <c r="B127" s="56" t="str">
        <f t="shared" si="1"/>
        <v>HJ5</v>
      </c>
      <c r="C127" s="57" t="s">
        <v>200</v>
      </c>
      <c r="D127" s="56" t="s">
        <v>117</v>
      </c>
      <c r="E127" s="56" t="s">
        <v>40</v>
      </c>
      <c r="F127" s="56" t="s">
        <v>30</v>
      </c>
      <c r="G127" s="56" t="s">
        <v>118</v>
      </c>
      <c r="H127" s="56" t="s">
        <v>118</v>
      </c>
      <c r="I127" s="59">
        <v>38555.0</v>
      </c>
      <c r="J127" s="56">
        <f t="shared" si="2"/>
        <v>20</v>
      </c>
      <c r="K127" s="56"/>
      <c r="L127" s="60" t="s">
        <v>201</v>
      </c>
      <c r="M127" s="59">
        <v>43641.0</v>
      </c>
      <c r="N127" s="60" t="s">
        <v>202</v>
      </c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8.75" customHeight="1">
      <c r="A128" s="31"/>
      <c r="B128" s="56" t="str">
        <f t="shared" si="1"/>
        <v>MMi5</v>
      </c>
      <c r="C128" s="57" t="s">
        <v>175</v>
      </c>
      <c r="D128" s="56" t="s">
        <v>128</v>
      </c>
      <c r="E128" s="56" t="s">
        <v>22</v>
      </c>
      <c r="F128" s="56" t="s">
        <v>24</v>
      </c>
      <c r="G128" s="56" t="s">
        <v>118</v>
      </c>
      <c r="H128" s="56" t="s">
        <v>118</v>
      </c>
      <c r="I128" s="59">
        <v>28305.0</v>
      </c>
      <c r="J128" s="56">
        <f t="shared" si="2"/>
        <v>48</v>
      </c>
      <c r="K128" s="56">
        <v>3.33468152E9</v>
      </c>
      <c r="L128" s="60" t="s">
        <v>176</v>
      </c>
      <c r="M128" s="59">
        <v>43641.0</v>
      </c>
      <c r="N128" s="60" t="s">
        <v>177</v>
      </c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8.75" customHeight="1">
      <c r="A129" s="31"/>
      <c r="B129" s="56" t="str">
        <f t="shared" si="1"/>
        <v>HS18</v>
      </c>
      <c r="C129" s="57" t="s">
        <v>527</v>
      </c>
      <c r="D129" s="56" t="s">
        <v>117</v>
      </c>
      <c r="E129" s="56" t="s">
        <v>40</v>
      </c>
      <c r="F129" s="56" t="s">
        <v>43</v>
      </c>
      <c r="G129" s="56" t="s">
        <v>118</v>
      </c>
      <c r="H129" s="56" t="s">
        <v>118</v>
      </c>
      <c r="I129" s="59">
        <v>38550.0</v>
      </c>
      <c r="J129" s="56">
        <f t="shared" si="2"/>
        <v>20</v>
      </c>
      <c r="K129" s="56">
        <v>3.317780958E9</v>
      </c>
      <c r="L129" s="60" t="s">
        <v>528</v>
      </c>
      <c r="M129" s="59">
        <v>43641.0</v>
      </c>
      <c r="N129" s="60" t="s">
        <v>202</v>
      </c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8.75" customHeight="1">
      <c r="A130" s="31"/>
      <c r="B130" s="56" t="str">
        <f t="shared" si="1"/>
        <v>MV8</v>
      </c>
      <c r="C130" s="57" t="s">
        <v>585</v>
      </c>
      <c r="D130" s="56" t="s">
        <v>128</v>
      </c>
      <c r="E130" s="56" t="s">
        <v>28</v>
      </c>
      <c r="F130" s="56" t="s">
        <v>36</v>
      </c>
      <c r="G130" s="56" t="s">
        <v>118</v>
      </c>
      <c r="H130" s="56" t="s">
        <v>118</v>
      </c>
      <c r="I130" s="59">
        <v>32762.0</v>
      </c>
      <c r="J130" s="56">
        <f t="shared" si="2"/>
        <v>36</v>
      </c>
      <c r="K130" s="56">
        <v>3.310120359E9</v>
      </c>
      <c r="L130" s="60" t="s">
        <v>586</v>
      </c>
      <c r="M130" s="59">
        <v>43642.0</v>
      </c>
      <c r="N130" s="60" t="s">
        <v>587</v>
      </c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8.75" customHeight="1">
      <c r="A131" s="31"/>
      <c r="B131" s="56" t="str">
        <f t="shared" si="1"/>
        <v>HMi9</v>
      </c>
      <c r="C131" s="57" t="s">
        <v>2254</v>
      </c>
      <c r="D131" s="56" t="s">
        <v>117</v>
      </c>
      <c r="E131" s="56" t="s">
        <v>40</v>
      </c>
      <c r="F131" s="56" t="s">
        <v>24</v>
      </c>
      <c r="G131" s="56" t="s">
        <v>118</v>
      </c>
      <c r="H131" s="56" t="s">
        <v>118</v>
      </c>
      <c r="I131" s="59">
        <v>38557.0</v>
      </c>
      <c r="J131" s="56">
        <f t="shared" si="2"/>
        <v>20</v>
      </c>
      <c r="K131" s="56"/>
      <c r="L131" s="60" t="s">
        <v>958</v>
      </c>
      <c r="M131" s="59">
        <v>43643.0</v>
      </c>
      <c r="N131" s="60" t="s">
        <v>202</v>
      </c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8.75" customHeight="1">
      <c r="A132" s="31"/>
      <c r="B132" s="56" t="str">
        <f t="shared" si="1"/>
        <v>HMa9</v>
      </c>
      <c r="C132" s="57" t="s">
        <v>2153</v>
      </c>
      <c r="D132" s="56" t="s">
        <v>117</v>
      </c>
      <c r="E132" s="56" t="s">
        <v>16</v>
      </c>
      <c r="F132" s="56" t="s">
        <v>18</v>
      </c>
      <c r="G132" s="56" t="s">
        <v>118</v>
      </c>
      <c r="H132" s="56" t="s">
        <v>118</v>
      </c>
      <c r="I132" s="59">
        <v>30829.0</v>
      </c>
      <c r="J132" s="56">
        <f t="shared" si="2"/>
        <v>41</v>
      </c>
      <c r="K132" s="56">
        <v>3.323794666E9</v>
      </c>
      <c r="L132" s="60" t="s">
        <v>2154</v>
      </c>
      <c r="M132" s="59">
        <v>43621.0</v>
      </c>
      <c r="N132" s="60" t="s">
        <v>486</v>
      </c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8.75" customHeight="1">
      <c r="A133" s="31"/>
      <c r="B133" s="56" t="str">
        <f t="shared" si="1"/>
        <v>HJ6</v>
      </c>
      <c r="C133" s="57" t="s">
        <v>1363</v>
      </c>
      <c r="D133" s="56" t="s">
        <v>117</v>
      </c>
      <c r="E133" s="56" t="s">
        <v>16</v>
      </c>
      <c r="F133" s="56" t="s">
        <v>30</v>
      </c>
      <c r="G133" s="56" t="s">
        <v>118</v>
      </c>
      <c r="H133" s="56" t="s">
        <v>118</v>
      </c>
      <c r="I133" s="59">
        <v>25043.0</v>
      </c>
      <c r="J133" s="56">
        <f t="shared" si="2"/>
        <v>57</v>
      </c>
      <c r="K133" s="56">
        <v>3.33361769E9</v>
      </c>
      <c r="L133" s="60" t="s">
        <v>1364</v>
      </c>
      <c r="M133" s="59">
        <v>33805.0</v>
      </c>
      <c r="N133" s="60" t="s">
        <v>1365</v>
      </c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8.75" customHeight="1">
      <c r="A134" s="31"/>
      <c r="B134" s="56" t="str">
        <f t="shared" si="1"/>
        <v>MMi6</v>
      </c>
      <c r="C134" s="57" t="s">
        <v>1770</v>
      </c>
      <c r="D134" s="56" t="s">
        <v>128</v>
      </c>
      <c r="E134" s="56" t="s">
        <v>34</v>
      </c>
      <c r="F134" s="56" t="s">
        <v>24</v>
      </c>
      <c r="G134" s="56" t="s">
        <v>118</v>
      </c>
      <c r="H134" s="56" t="s">
        <v>118</v>
      </c>
      <c r="I134" s="59">
        <v>23259.0</v>
      </c>
      <c r="J134" s="56">
        <f t="shared" si="2"/>
        <v>62</v>
      </c>
      <c r="K134" s="56">
        <v>3.319675361E9</v>
      </c>
      <c r="L134" s="60"/>
      <c r="M134" s="59">
        <v>43674.0</v>
      </c>
      <c r="N134" s="60" t="s">
        <v>2255</v>
      </c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8.75" customHeight="1">
      <c r="A135" s="31"/>
      <c r="B135" s="56" t="str">
        <f t="shared" si="1"/>
        <v>MV9</v>
      </c>
      <c r="C135" s="57" t="s">
        <v>1531</v>
      </c>
      <c r="D135" s="56" t="s">
        <v>128</v>
      </c>
      <c r="E135" s="56" t="s">
        <v>40</v>
      </c>
      <c r="F135" s="56" t="s">
        <v>36</v>
      </c>
      <c r="G135" s="56" t="s">
        <v>118</v>
      </c>
      <c r="H135" s="56" t="s">
        <v>118</v>
      </c>
      <c r="I135" s="59">
        <v>38536.0</v>
      </c>
      <c r="J135" s="56">
        <f t="shared" si="2"/>
        <v>20</v>
      </c>
      <c r="K135" s="56">
        <v>3.6085766E7</v>
      </c>
      <c r="L135" s="60" t="s">
        <v>1532</v>
      </c>
      <c r="M135" s="59">
        <v>43674.0</v>
      </c>
      <c r="N135" s="60" t="s">
        <v>230</v>
      </c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8.75" customHeight="1">
      <c r="A136" s="31"/>
      <c r="B136" s="56" t="str">
        <f t="shared" si="1"/>
        <v>HS19</v>
      </c>
      <c r="C136" s="57" t="s">
        <v>482</v>
      </c>
      <c r="D136" s="56" t="s">
        <v>117</v>
      </c>
      <c r="E136" s="56" t="s">
        <v>40</v>
      </c>
      <c r="F136" s="56" t="s">
        <v>43</v>
      </c>
      <c r="G136" s="56" t="s">
        <v>118</v>
      </c>
      <c r="H136" s="56" t="s">
        <v>118</v>
      </c>
      <c r="I136" s="59">
        <v>38495.0</v>
      </c>
      <c r="J136" s="56">
        <f t="shared" si="2"/>
        <v>20</v>
      </c>
      <c r="K136" s="56">
        <v>3.32454595E9</v>
      </c>
      <c r="L136" s="60" t="s">
        <v>483</v>
      </c>
      <c r="M136" s="59">
        <v>43670.0</v>
      </c>
      <c r="N136" s="60" t="s">
        <v>233</v>
      </c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8.75" customHeight="1">
      <c r="A137" s="31"/>
      <c r="B137" s="56" t="str">
        <f t="shared" si="1"/>
        <v>HS20</v>
      </c>
      <c r="C137" s="57" t="s">
        <v>1913</v>
      </c>
      <c r="D137" s="56" t="s">
        <v>117</v>
      </c>
      <c r="E137" s="56" t="s">
        <v>40</v>
      </c>
      <c r="F137" s="56" t="s">
        <v>43</v>
      </c>
      <c r="G137" s="56" t="s">
        <v>118</v>
      </c>
      <c r="H137" s="56" t="s">
        <v>118</v>
      </c>
      <c r="I137" s="59">
        <v>37591.0</v>
      </c>
      <c r="J137" s="56">
        <f t="shared" si="2"/>
        <v>23</v>
      </c>
      <c r="K137" s="56">
        <v>3.322593413E9</v>
      </c>
      <c r="L137" s="60" t="s">
        <v>1914</v>
      </c>
      <c r="M137" s="59">
        <v>43668.0</v>
      </c>
      <c r="N137" s="60" t="s">
        <v>1915</v>
      </c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8.75" customHeight="1">
      <c r="A138" s="31"/>
      <c r="B138" s="56" t="str">
        <f t="shared" si="1"/>
        <v>HD17</v>
      </c>
      <c r="C138" s="57" t="s">
        <v>1643</v>
      </c>
      <c r="D138" s="56" t="s">
        <v>117</v>
      </c>
      <c r="E138" s="56" t="s">
        <v>40</v>
      </c>
      <c r="F138" s="56" t="s">
        <v>49</v>
      </c>
      <c r="G138" s="56" t="s">
        <v>118</v>
      </c>
      <c r="H138" s="56" t="s">
        <v>118</v>
      </c>
      <c r="I138" s="59">
        <v>38467.0</v>
      </c>
      <c r="J138" s="56">
        <f t="shared" si="2"/>
        <v>20</v>
      </c>
      <c r="K138" s="56"/>
      <c r="L138" s="60" t="s">
        <v>1644</v>
      </c>
      <c r="M138" s="59">
        <v>43667.0</v>
      </c>
      <c r="N138" s="60" t="s">
        <v>1645</v>
      </c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8.75" customHeight="1">
      <c r="A139" s="31"/>
      <c r="B139" s="56" t="str">
        <f t="shared" si="1"/>
        <v>HV12</v>
      </c>
      <c r="C139" s="57" t="s">
        <v>1128</v>
      </c>
      <c r="D139" s="56" t="s">
        <v>117</v>
      </c>
      <c r="E139" s="56" t="s">
        <v>40</v>
      </c>
      <c r="F139" s="56" t="s">
        <v>36</v>
      </c>
      <c r="G139" s="56" t="s">
        <v>118</v>
      </c>
      <c r="H139" s="56" t="s">
        <v>118</v>
      </c>
      <c r="I139" s="59">
        <v>38148.0</v>
      </c>
      <c r="J139" s="56">
        <f t="shared" si="2"/>
        <v>21</v>
      </c>
      <c r="K139" s="56"/>
      <c r="L139" s="60" t="s">
        <v>1129</v>
      </c>
      <c r="M139" s="59">
        <v>43651.0</v>
      </c>
      <c r="N139" s="60" t="s">
        <v>233</v>
      </c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8.75" customHeight="1">
      <c r="A140" s="31"/>
      <c r="B140" s="56" t="str">
        <f t="shared" si="1"/>
        <v>HS21</v>
      </c>
      <c r="C140" s="57" t="s">
        <v>852</v>
      </c>
      <c r="D140" s="56" t="s">
        <v>117</v>
      </c>
      <c r="E140" s="56" t="s">
        <v>40</v>
      </c>
      <c r="F140" s="56" t="s">
        <v>43</v>
      </c>
      <c r="G140" s="56" t="s">
        <v>118</v>
      </c>
      <c r="H140" s="56" t="s">
        <v>118</v>
      </c>
      <c r="I140" s="59">
        <v>38487.0</v>
      </c>
      <c r="J140" s="56">
        <f t="shared" si="2"/>
        <v>20</v>
      </c>
      <c r="K140" s="56">
        <v>3.319784853E9</v>
      </c>
      <c r="L140" s="60" t="s">
        <v>853</v>
      </c>
      <c r="M140" s="59">
        <v>43664.0</v>
      </c>
      <c r="N140" s="60" t="s">
        <v>233</v>
      </c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8.75" customHeight="1">
      <c r="A141" s="31"/>
      <c r="B141" s="56" t="str">
        <f t="shared" si="1"/>
        <v>MS24</v>
      </c>
      <c r="C141" s="57" t="s">
        <v>510</v>
      </c>
      <c r="D141" s="56" t="s">
        <v>128</v>
      </c>
      <c r="E141" s="56" t="s">
        <v>40</v>
      </c>
      <c r="F141" s="56" t="s">
        <v>43</v>
      </c>
      <c r="G141" s="56" t="s">
        <v>118</v>
      </c>
      <c r="H141" s="56" t="s">
        <v>118</v>
      </c>
      <c r="I141" s="59">
        <v>37483.0</v>
      </c>
      <c r="J141" s="56">
        <f t="shared" si="2"/>
        <v>23</v>
      </c>
      <c r="K141" s="56">
        <v>3.326529944E9</v>
      </c>
      <c r="L141" s="60" t="s">
        <v>511</v>
      </c>
      <c r="M141" s="59">
        <v>43657.0</v>
      </c>
      <c r="N141" s="60" t="s">
        <v>512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8.75" customHeight="1">
      <c r="A142" s="31"/>
      <c r="B142" s="56" t="str">
        <f t="shared" si="1"/>
        <v>HS22</v>
      </c>
      <c r="C142" s="57" t="s">
        <v>1825</v>
      </c>
      <c r="D142" s="56" t="s">
        <v>117</v>
      </c>
      <c r="E142" s="56" t="s">
        <v>40</v>
      </c>
      <c r="F142" s="56" t="s">
        <v>43</v>
      </c>
      <c r="G142" s="56" t="s">
        <v>118</v>
      </c>
      <c r="H142" s="56" t="s">
        <v>118</v>
      </c>
      <c r="I142" s="59">
        <v>38581.0</v>
      </c>
      <c r="J142" s="56">
        <f t="shared" si="2"/>
        <v>20</v>
      </c>
      <c r="K142" s="56">
        <v>3.310141723E9</v>
      </c>
      <c r="L142" s="60" t="s">
        <v>1826</v>
      </c>
      <c r="M142" s="59">
        <v>43663.0</v>
      </c>
      <c r="N142" s="60" t="s">
        <v>233</v>
      </c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8.75" customHeight="1">
      <c r="A143" s="31"/>
      <c r="B143" s="56" t="str">
        <f t="shared" si="1"/>
        <v>HS23</v>
      </c>
      <c r="C143" s="57" t="s">
        <v>917</v>
      </c>
      <c r="D143" s="56" t="s">
        <v>117</v>
      </c>
      <c r="E143" s="56" t="s">
        <v>40</v>
      </c>
      <c r="F143" s="56" t="s">
        <v>43</v>
      </c>
      <c r="G143" s="56" t="s">
        <v>118</v>
      </c>
      <c r="H143" s="56" t="s">
        <v>118</v>
      </c>
      <c r="I143" s="59">
        <v>37164.0</v>
      </c>
      <c r="J143" s="56">
        <f t="shared" si="2"/>
        <v>24</v>
      </c>
      <c r="K143" s="56">
        <v>3.6652677E7</v>
      </c>
      <c r="L143" s="60" t="s">
        <v>918</v>
      </c>
      <c r="M143" s="59">
        <v>43663.0</v>
      </c>
      <c r="N143" s="60" t="s">
        <v>512</v>
      </c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8.75" customHeight="1">
      <c r="A144" s="31"/>
      <c r="B144" s="56" t="str">
        <f t="shared" si="1"/>
        <v>HS24</v>
      </c>
      <c r="C144" s="57" t="s">
        <v>2256</v>
      </c>
      <c r="D144" s="56" t="s">
        <v>117</v>
      </c>
      <c r="E144" s="56" t="s">
        <v>40</v>
      </c>
      <c r="F144" s="56" t="s">
        <v>43</v>
      </c>
      <c r="G144" s="56" t="s">
        <v>118</v>
      </c>
      <c r="H144" s="56" t="s">
        <v>118</v>
      </c>
      <c r="I144" s="59">
        <v>38478.0</v>
      </c>
      <c r="J144" s="56">
        <f t="shared" si="2"/>
        <v>20</v>
      </c>
      <c r="K144" s="56"/>
      <c r="L144" s="60" t="s">
        <v>555</v>
      </c>
      <c r="M144" s="59">
        <v>43662.0</v>
      </c>
      <c r="N144" s="60" t="s">
        <v>233</v>
      </c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8.75" customHeight="1">
      <c r="A145" s="31"/>
      <c r="B145" s="56" t="str">
        <f t="shared" si="1"/>
        <v>HS25</v>
      </c>
      <c r="C145" s="57" t="s">
        <v>2163</v>
      </c>
      <c r="D145" s="56" t="s">
        <v>117</v>
      </c>
      <c r="E145" s="56" t="s">
        <v>40</v>
      </c>
      <c r="F145" s="56" t="s">
        <v>43</v>
      </c>
      <c r="G145" s="56" t="s">
        <v>118</v>
      </c>
      <c r="H145" s="56" t="s">
        <v>118</v>
      </c>
      <c r="I145" s="59">
        <v>38519.0</v>
      </c>
      <c r="J145" s="56">
        <f t="shared" si="2"/>
        <v>20</v>
      </c>
      <c r="K145" s="56"/>
      <c r="L145" s="60" t="s">
        <v>2164</v>
      </c>
      <c r="M145" s="59">
        <v>43662.0</v>
      </c>
      <c r="N145" s="60" t="s">
        <v>233</v>
      </c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8.75" customHeight="1">
      <c r="A146" s="31"/>
      <c r="B146" s="56" t="str">
        <f t="shared" si="1"/>
        <v>HS26</v>
      </c>
      <c r="C146" s="57" t="s">
        <v>1789</v>
      </c>
      <c r="D146" s="56" t="s">
        <v>117</v>
      </c>
      <c r="E146" s="56" t="s">
        <v>40</v>
      </c>
      <c r="F146" s="56" t="s">
        <v>43</v>
      </c>
      <c r="G146" s="56" t="s">
        <v>118</v>
      </c>
      <c r="H146" s="56" t="s">
        <v>118</v>
      </c>
      <c r="I146" s="59">
        <v>37990.0</v>
      </c>
      <c r="J146" s="56">
        <f t="shared" si="2"/>
        <v>22</v>
      </c>
      <c r="K146" s="56"/>
      <c r="L146" s="60" t="s">
        <v>1790</v>
      </c>
      <c r="M146" s="59">
        <v>43662.0</v>
      </c>
      <c r="N146" s="60" t="s">
        <v>233</v>
      </c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8.75" customHeight="1">
      <c r="A147" s="31"/>
      <c r="B147" s="56" t="str">
        <f t="shared" si="1"/>
        <v>HS27</v>
      </c>
      <c r="C147" s="57" t="s">
        <v>1555</v>
      </c>
      <c r="D147" s="56" t="s">
        <v>117</v>
      </c>
      <c r="E147" s="56" t="s">
        <v>40</v>
      </c>
      <c r="F147" s="56" t="s">
        <v>43</v>
      </c>
      <c r="G147" s="56" t="s">
        <v>118</v>
      </c>
      <c r="H147" s="56" t="s">
        <v>118</v>
      </c>
      <c r="I147" s="59">
        <v>38539.0</v>
      </c>
      <c r="J147" s="56">
        <f t="shared" si="2"/>
        <v>20</v>
      </c>
      <c r="K147" s="56"/>
      <c r="L147" s="60" t="s">
        <v>1556</v>
      </c>
      <c r="M147" s="59">
        <v>43662.0</v>
      </c>
      <c r="N147" s="60" t="s">
        <v>233</v>
      </c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8.75" customHeight="1">
      <c r="A148" s="31"/>
      <c r="B148" s="56" t="str">
        <f t="shared" si="1"/>
        <v>HMa10</v>
      </c>
      <c r="C148" s="57" t="s">
        <v>673</v>
      </c>
      <c r="D148" s="56" t="s">
        <v>117</v>
      </c>
      <c r="E148" s="56" t="s">
        <v>40</v>
      </c>
      <c r="F148" s="56" t="s">
        <v>18</v>
      </c>
      <c r="G148" s="56" t="s">
        <v>118</v>
      </c>
      <c r="H148" s="56" t="s">
        <v>118</v>
      </c>
      <c r="I148" s="59">
        <v>30840.0</v>
      </c>
      <c r="J148" s="56">
        <f t="shared" si="2"/>
        <v>41</v>
      </c>
      <c r="K148" s="56">
        <v>5.568934541E9</v>
      </c>
      <c r="L148" s="60" t="s">
        <v>674</v>
      </c>
      <c r="M148" s="59">
        <v>43694.0</v>
      </c>
      <c r="N148" s="60" t="s">
        <v>486</v>
      </c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8.75" customHeight="1">
      <c r="A149" s="31"/>
      <c r="B149" s="56" t="str">
        <f t="shared" si="1"/>
        <v>HV13</v>
      </c>
      <c r="C149" s="57" t="s">
        <v>1582</v>
      </c>
      <c r="D149" s="56" t="s">
        <v>117</v>
      </c>
      <c r="E149" s="56" t="s">
        <v>140</v>
      </c>
      <c r="F149" s="56" t="s">
        <v>36</v>
      </c>
      <c r="G149" s="56" t="s">
        <v>118</v>
      </c>
      <c r="H149" s="56" t="s">
        <v>118</v>
      </c>
      <c r="I149" s="59">
        <v>18206.0</v>
      </c>
      <c r="J149" s="56">
        <f t="shared" si="2"/>
        <v>76</v>
      </c>
      <c r="K149" s="56">
        <v>3.314032528E9</v>
      </c>
      <c r="L149" s="60" t="s">
        <v>1202</v>
      </c>
      <c r="M149" s="59"/>
      <c r="N149" s="60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8.75" customHeight="1">
      <c r="A150" s="31"/>
      <c r="B150" s="56" t="str">
        <f t="shared" si="1"/>
        <v>MMa6</v>
      </c>
      <c r="C150" s="57" t="s">
        <v>1201</v>
      </c>
      <c r="D150" s="56" t="s">
        <v>128</v>
      </c>
      <c r="E150" s="56" t="s">
        <v>140</v>
      </c>
      <c r="F150" s="56" t="s">
        <v>18</v>
      </c>
      <c r="G150" s="56" t="s">
        <v>118</v>
      </c>
      <c r="H150" s="56" t="s">
        <v>118</v>
      </c>
      <c r="I150" s="59">
        <v>18526.0</v>
      </c>
      <c r="J150" s="56">
        <f t="shared" si="2"/>
        <v>75</v>
      </c>
      <c r="K150" s="56">
        <v>3.312375698E9</v>
      </c>
      <c r="L150" s="60" t="s">
        <v>1202</v>
      </c>
      <c r="M150" s="59"/>
      <c r="N150" s="60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8.75" customHeight="1">
      <c r="A151" s="31"/>
      <c r="B151" s="56" t="str">
        <f t="shared" si="1"/>
        <v>HD18</v>
      </c>
      <c r="C151" s="57" t="s">
        <v>786</v>
      </c>
      <c r="D151" s="56" t="s">
        <v>117</v>
      </c>
      <c r="E151" s="56" t="s">
        <v>40</v>
      </c>
      <c r="F151" s="56" t="s">
        <v>49</v>
      </c>
      <c r="G151" s="56" t="s">
        <v>118</v>
      </c>
      <c r="H151" s="56" t="s">
        <v>118</v>
      </c>
      <c r="I151" s="59">
        <v>36056.0</v>
      </c>
      <c r="J151" s="56">
        <f t="shared" si="2"/>
        <v>27</v>
      </c>
      <c r="K151" s="56"/>
      <c r="L151" s="60"/>
      <c r="M151" s="59">
        <v>43697.0</v>
      </c>
      <c r="N151" s="60" t="s">
        <v>787</v>
      </c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8.75" customHeight="1">
      <c r="A152" s="31"/>
      <c r="B152" s="56" t="str">
        <f t="shared" si="1"/>
        <v>HD19</v>
      </c>
      <c r="C152" s="57" t="s">
        <v>1060</v>
      </c>
      <c r="D152" s="56" t="s">
        <v>117</v>
      </c>
      <c r="E152" s="56" t="s">
        <v>22</v>
      </c>
      <c r="F152" s="56" t="s">
        <v>49</v>
      </c>
      <c r="G152" s="56" t="s">
        <v>118</v>
      </c>
      <c r="H152" s="56" t="s">
        <v>118</v>
      </c>
      <c r="I152" s="59">
        <v>31752.0</v>
      </c>
      <c r="J152" s="56">
        <f t="shared" si="2"/>
        <v>39</v>
      </c>
      <c r="K152" s="56">
        <v>3.319957077E9</v>
      </c>
      <c r="L152" s="60" t="s">
        <v>1061</v>
      </c>
      <c r="M152" s="59">
        <v>43703.0</v>
      </c>
      <c r="N152" s="60" t="s">
        <v>2257</v>
      </c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8.75" customHeight="1">
      <c r="A153" s="31"/>
      <c r="B153" s="56" t="str">
        <f t="shared" si="1"/>
        <v>ML4</v>
      </c>
      <c r="C153" s="57" t="s">
        <v>1692</v>
      </c>
      <c r="D153" s="56" t="s">
        <v>128</v>
      </c>
      <c r="E153" s="56" t="s">
        <v>40</v>
      </c>
      <c r="F153" s="56" t="s">
        <v>12</v>
      </c>
      <c r="G153" s="56" t="s">
        <v>118</v>
      </c>
      <c r="H153" s="56" t="s">
        <v>118</v>
      </c>
      <c r="I153" s="59">
        <v>37389.0</v>
      </c>
      <c r="J153" s="56">
        <f t="shared" si="2"/>
        <v>23</v>
      </c>
      <c r="K153" s="56"/>
      <c r="L153" s="60" t="s">
        <v>1693</v>
      </c>
      <c r="M153" s="59">
        <v>43705.0</v>
      </c>
      <c r="N153" s="60" t="s">
        <v>251</v>
      </c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8.75" customHeight="1">
      <c r="A154" s="31"/>
      <c r="B154" s="56" t="str">
        <f t="shared" si="1"/>
        <v>HD20</v>
      </c>
      <c r="C154" s="57" t="s">
        <v>207</v>
      </c>
      <c r="D154" s="56" t="s">
        <v>117</v>
      </c>
      <c r="E154" s="56" t="s">
        <v>22</v>
      </c>
      <c r="F154" s="56" t="s">
        <v>49</v>
      </c>
      <c r="G154" s="56" t="s">
        <v>118</v>
      </c>
      <c r="H154" s="56" t="s">
        <v>118</v>
      </c>
      <c r="I154" s="59">
        <v>28235.0</v>
      </c>
      <c r="J154" s="56">
        <f t="shared" si="2"/>
        <v>49</v>
      </c>
      <c r="K154" s="56">
        <v>4.427678326E9</v>
      </c>
      <c r="L154" s="60" t="s">
        <v>208</v>
      </c>
      <c r="M154" s="59">
        <v>43700.0</v>
      </c>
      <c r="N154" s="60" t="s">
        <v>209</v>
      </c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8.75" customHeight="1">
      <c r="A155" s="31"/>
      <c r="B155" s="56" t="str">
        <f t="shared" si="1"/>
        <v>MJ7</v>
      </c>
      <c r="C155" s="57" t="s">
        <v>1725</v>
      </c>
      <c r="D155" s="56" t="s">
        <v>128</v>
      </c>
      <c r="E155" s="56" t="s">
        <v>22</v>
      </c>
      <c r="F155" s="56" t="s">
        <v>30</v>
      </c>
      <c r="G155" s="56" t="s">
        <v>118</v>
      </c>
      <c r="H155" s="56" t="s">
        <v>118</v>
      </c>
      <c r="I155" s="59">
        <v>26861.0</v>
      </c>
      <c r="J155" s="56">
        <f t="shared" si="2"/>
        <v>52</v>
      </c>
      <c r="K155" s="56">
        <v>7.751183081E9</v>
      </c>
      <c r="L155" s="60" t="s">
        <v>1726</v>
      </c>
      <c r="M155" s="59">
        <v>43700.0</v>
      </c>
      <c r="N155" s="60" t="s">
        <v>969</v>
      </c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8.75" customHeight="1">
      <c r="A156" s="31"/>
      <c r="B156" s="56" t="str">
        <f t="shared" si="1"/>
        <v>MJ8</v>
      </c>
      <c r="C156" s="57" t="s">
        <v>784</v>
      </c>
      <c r="D156" s="56" t="s">
        <v>128</v>
      </c>
      <c r="E156" s="56" t="s">
        <v>34</v>
      </c>
      <c r="F156" s="56" t="s">
        <v>30</v>
      </c>
      <c r="G156" s="56" t="s">
        <v>118</v>
      </c>
      <c r="H156" s="56" t="s">
        <v>118</v>
      </c>
      <c r="I156" s="59">
        <v>27129.0</v>
      </c>
      <c r="J156" s="56">
        <f t="shared" si="2"/>
        <v>52</v>
      </c>
      <c r="K156" s="56">
        <v>3.310477087E9</v>
      </c>
      <c r="L156" s="60" t="s">
        <v>785</v>
      </c>
      <c r="M156" s="59">
        <v>35671.0</v>
      </c>
      <c r="N156" s="60" t="s">
        <v>275</v>
      </c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8.75" customHeight="1">
      <c r="A157" s="31"/>
      <c r="B157" s="56" t="str">
        <f t="shared" si="1"/>
        <v>MV10</v>
      </c>
      <c r="C157" s="57" t="s">
        <v>652</v>
      </c>
      <c r="D157" s="56" t="s">
        <v>128</v>
      </c>
      <c r="E157" s="56" t="s">
        <v>22</v>
      </c>
      <c r="F157" s="56" t="s">
        <v>36</v>
      </c>
      <c r="G157" s="56" t="s">
        <v>118</v>
      </c>
      <c r="H157" s="56" t="s">
        <v>118</v>
      </c>
      <c r="I157" s="59">
        <v>29976.0</v>
      </c>
      <c r="J157" s="56">
        <f t="shared" si="2"/>
        <v>44</v>
      </c>
      <c r="K157" s="56">
        <v>3.31790898E9</v>
      </c>
      <c r="L157" s="60" t="s">
        <v>653</v>
      </c>
      <c r="M157" s="59">
        <v>43733.0</v>
      </c>
      <c r="N157" s="60" t="s">
        <v>486</v>
      </c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8.75" customHeight="1">
      <c r="A158" s="31"/>
      <c r="B158" s="56" t="str">
        <f t="shared" si="1"/>
        <v>HV14</v>
      </c>
      <c r="C158" s="57" t="s">
        <v>429</v>
      </c>
      <c r="D158" s="56" t="s">
        <v>117</v>
      </c>
      <c r="E158" s="56" t="s">
        <v>22</v>
      </c>
      <c r="F158" s="56" t="s">
        <v>36</v>
      </c>
      <c r="G158" s="56" t="s">
        <v>118</v>
      </c>
      <c r="H158" s="56" t="s">
        <v>118</v>
      </c>
      <c r="I158" s="59">
        <v>24959.0</v>
      </c>
      <c r="J158" s="56">
        <f t="shared" si="2"/>
        <v>57</v>
      </c>
      <c r="K158" s="56">
        <v>3.339643469E9</v>
      </c>
      <c r="L158" s="60"/>
      <c r="M158" s="59">
        <v>43731.0</v>
      </c>
      <c r="N158" s="60" t="s">
        <v>430</v>
      </c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8.75" customHeight="1">
      <c r="A159" s="31"/>
      <c r="B159" s="56" t="str">
        <f t="shared" si="1"/>
        <v>HJ7</v>
      </c>
      <c r="C159" s="57" t="s">
        <v>1421</v>
      </c>
      <c r="D159" s="56" t="s">
        <v>117</v>
      </c>
      <c r="E159" s="56" t="s">
        <v>22</v>
      </c>
      <c r="F159" s="56" t="s">
        <v>30</v>
      </c>
      <c r="G159" s="56" t="s">
        <v>118</v>
      </c>
      <c r="H159" s="56" t="s">
        <v>118</v>
      </c>
      <c r="I159" s="59">
        <v>29547.0</v>
      </c>
      <c r="J159" s="56">
        <f t="shared" si="2"/>
        <v>45</v>
      </c>
      <c r="K159" s="56">
        <v>3.313339387E9</v>
      </c>
      <c r="L159" s="60" t="s">
        <v>1422</v>
      </c>
      <c r="M159" s="59">
        <v>43608.0</v>
      </c>
      <c r="N159" s="60" t="s">
        <v>1423</v>
      </c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8.75" customHeight="1">
      <c r="A160" s="31"/>
      <c r="B160" s="56" t="str">
        <f t="shared" si="1"/>
        <v>HD21</v>
      </c>
      <c r="C160" s="57" t="s">
        <v>995</v>
      </c>
      <c r="D160" s="56" t="s">
        <v>117</v>
      </c>
      <c r="E160" s="56" t="s">
        <v>40</v>
      </c>
      <c r="F160" s="56" t="s">
        <v>49</v>
      </c>
      <c r="G160" s="56" t="s">
        <v>118</v>
      </c>
      <c r="H160" s="56" t="s">
        <v>118</v>
      </c>
      <c r="I160" s="59">
        <v>37884.0</v>
      </c>
      <c r="J160" s="56">
        <f t="shared" si="2"/>
        <v>22</v>
      </c>
      <c r="K160" s="56">
        <v>3.327929534E9</v>
      </c>
      <c r="L160" s="60" t="s">
        <v>996</v>
      </c>
      <c r="M160" s="59">
        <v>43725.0</v>
      </c>
      <c r="N160" s="60" t="s">
        <v>218</v>
      </c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8.75" customHeight="1">
      <c r="A161" s="31"/>
      <c r="B161" s="56" t="str">
        <f t="shared" si="1"/>
        <v>HS28</v>
      </c>
      <c r="C161" s="57" t="s">
        <v>1298</v>
      </c>
      <c r="D161" s="56" t="s">
        <v>117</v>
      </c>
      <c r="E161" s="56" t="s">
        <v>40</v>
      </c>
      <c r="F161" s="56" t="s">
        <v>43</v>
      </c>
      <c r="G161" s="56" t="s">
        <v>118</v>
      </c>
      <c r="H161" s="56" t="s">
        <v>118</v>
      </c>
      <c r="I161" s="59">
        <v>38287.0</v>
      </c>
      <c r="J161" s="56">
        <f t="shared" si="2"/>
        <v>21</v>
      </c>
      <c r="K161" s="56">
        <v>3.312135713E9</v>
      </c>
      <c r="L161" s="60" t="s">
        <v>1299</v>
      </c>
      <c r="M161" s="59">
        <v>43725.0</v>
      </c>
      <c r="N161" s="60" t="s">
        <v>218</v>
      </c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8.75" customHeight="1">
      <c r="A162" s="31"/>
      <c r="B162" s="56" t="str">
        <f t="shared" si="1"/>
        <v>HL3</v>
      </c>
      <c r="C162" s="57" t="s">
        <v>567</v>
      </c>
      <c r="D162" s="56" t="s">
        <v>117</v>
      </c>
      <c r="E162" s="56" t="s">
        <v>22</v>
      </c>
      <c r="F162" s="56" t="s">
        <v>12</v>
      </c>
      <c r="G162" s="56" t="s">
        <v>118</v>
      </c>
      <c r="H162" s="56" t="s">
        <v>118</v>
      </c>
      <c r="I162" s="59">
        <v>26624.0</v>
      </c>
      <c r="J162" s="56">
        <f t="shared" si="2"/>
        <v>53</v>
      </c>
      <c r="K162" s="56">
        <v>3.321999285E9</v>
      </c>
      <c r="L162" s="60" t="s">
        <v>568</v>
      </c>
      <c r="M162" s="59">
        <v>43718.0</v>
      </c>
      <c r="N162" s="60" t="s">
        <v>486</v>
      </c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8.75" customHeight="1">
      <c r="A163" s="31"/>
      <c r="B163" s="56" t="str">
        <f t="shared" si="1"/>
        <v>HMa11</v>
      </c>
      <c r="C163" s="57" t="s">
        <v>1787</v>
      </c>
      <c r="D163" s="56" t="s">
        <v>117</v>
      </c>
      <c r="E163" s="56" t="s">
        <v>22</v>
      </c>
      <c r="F163" s="56" t="s">
        <v>18</v>
      </c>
      <c r="G163" s="56" t="s">
        <v>118</v>
      </c>
      <c r="H163" s="56" t="s">
        <v>118</v>
      </c>
      <c r="I163" s="59">
        <v>28864.0</v>
      </c>
      <c r="J163" s="56">
        <f t="shared" si="2"/>
        <v>47</v>
      </c>
      <c r="K163" s="56">
        <v>3.325615125E9</v>
      </c>
      <c r="L163" s="60" t="s">
        <v>1788</v>
      </c>
      <c r="M163" s="59">
        <v>43718.0</v>
      </c>
      <c r="N163" s="60" t="s">
        <v>209</v>
      </c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8.75" customHeight="1">
      <c r="A164" s="31"/>
      <c r="B164" s="56" t="str">
        <f t="shared" si="1"/>
        <v>MD10</v>
      </c>
      <c r="C164" s="57" t="s">
        <v>417</v>
      </c>
      <c r="D164" s="56" t="s">
        <v>128</v>
      </c>
      <c r="E164" s="56" t="s">
        <v>34</v>
      </c>
      <c r="F164" s="56" t="s">
        <v>49</v>
      </c>
      <c r="G164" s="56" t="s">
        <v>118</v>
      </c>
      <c r="H164" s="56" t="s">
        <v>118</v>
      </c>
      <c r="I164" s="59">
        <v>30104.0</v>
      </c>
      <c r="J164" s="56">
        <f t="shared" si="2"/>
        <v>43</v>
      </c>
      <c r="K164" s="56">
        <v>3.319898586E9</v>
      </c>
      <c r="L164" s="60" t="s">
        <v>418</v>
      </c>
      <c r="M164" s="59">
        <v>43713.0</v>
      </c>
      <c r="N164" s="60" t="s">
        <v>275</v>
      </c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8.75" customHeight="1">
      <c r="A165" s="31"/>
      <c r="B165" s="56" t="str">
        <f t="shared" si="1"/>
        <v>MS25</v>
      </c>
      <c r="C165" s="57" t="s">
        <v>1198</v>
      </c>
      <c r="D165" s="56" t="s">
        <v>128</v>
      </c>
      <c r="E165" s="56" t="s">
        <v>40</v>
      </c>
      <c r="F165" s="56" t="s">
        <v>43</v>
      </c>
      <c r="G165" s="56" t="s">
        <v>118</v>
      </c>
      <c r="H165" s="56" t="s">
        <v>118</v>
      </c>
      <c r="I165" s="59">
        <v>36604.0</v>
      </c>
      <c r="J165" s="56">
        <f t="shared" si="2"/>
        <v>26</v>
      </c>
      <c r="K165" s="56">
        <v>3.31145248E9</v>
      </c>
      <c r="L165" s="60" t="s">
        <v>1199</v>
      </c>
      <c r="M165" s="59">
        <v>43710.0</v>
      </c>
      <c r="N165" s="60" t="s">
        <v>486</v>
      </c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8.75" customHeight="1">
      <c r="A166" s="31"/>
      <c r="B166" s="56" t="str">
        <f t="shared" si="1"/>
        <v>MJ9</v>
      </c>
      <c r="C166" s="57" t="s">
        <v>2258</v>
      </c>
      <c r="D166" s="56" t="s">
        <v>128</v>
      </c>
      <c r="E166" s="56" t="s">
        <v>16</v>
      </c>
      <c r="F166" s="56" t="s">
        <v>30</v>
      </c>
      <c r="G166" s="56" t="s">
        <v>118</v>
      </c>
      <c r="H166" s="56" t="s">
        <v>118</v>
      </c>
      <c r="I166" s="59">
        <v>21413.0</v>
      </c>
      <c r="J166" s="56">
        <f t="shared" si="2"/>
        <v>67</v>
      </c>
      <c r="K166" s="56">
        <v>3.321306228E9</v>
      </c>
      <c r="L166" s="60" t="s">
        <v>435</v>
      </c>
      <c r="M166" s="59">
        <v>43742.0</v>
      </c>
      <c r="N166" s="60" t="s">
        <v>436</v>
      </c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8.75" customHeight="1">
      <c r="A167" s="31"/>
      <c r="B167" s="56" t="str">
        <f t="shared" si="1"/>
        <v>MJ10</v>
      </c>
      <c r="C167" s="57" t="s">
        <v>963</v>
      </c>
      <c r="D167" s="56" t="s">
        <v>128</v>
      </c>
      <c r="E167" s="56" t="s">
        <v>34</v>
      </c>
      <c r="F167" s="56" t="s">
        <v>30</v>
      </c>
      <c r="G167" s="56" t="s">
        <v>118</v>
      </c>
      <c r="H167" s="56" t="s">
        <v>118</v>
      </c>
      <c r="I167" s="59">
        <v>29982.0</v>
      </c>
      <c r="J167" s="56">
        <f t="shared" si="2"/>
        <v>44</v>
      </c>
      <c r="K167" s="56">
        <v>3.32536964E9</v>
      </c>
      <c r="L167" s="60" t="s">
        <v>373</v>
      </c>
      <c r="M167" s="59">
        <v>43745.0</v>
      </c>
      <c r="N167" s="60" t="s">
        <v>964</v>
      </c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8.75" customHeight="1">
      <c r="A168" s="31"/>
      <c r="B168" s="56" t="str">
        <f t="shared" si="1"/>
        <v>MS26</v>
      </c>
      <c r="C168" s="57" t="s">
        <v>1497</v>
      </c>
      <c r="D168" s="56" t="s">
        <v>128</v>
      </c>
      <c r="E168" s="56" t="s">
        <v>40</v>
      </c>
      <c r="F168" s="56" t="s">
        <v>43</v>
      </c>
      <c r="G168" s="56" t="s">
        <v>118</v>
      </c>
      <c r="H168" s="56" t="s">
        <v>118</v>
      </c>
      <c r="I168" s="59">
        <v>34370.0</v>
      </c>
      <c r="J168" s="56">
        <f t="shared" si="2"/>
        <v>32</v>
      </c>
      <c r="K168" s="56" t="s">
        <v>1498</v>
      </c>
      <c r="L168" s="60" t="s">
        <v>1499</v>
      </c>
      <c r="M168" s="59">
        <v>43749.0</v>
      </c>
      <c r="N168" s="60" t="s">
        <v>2259</v>
      </c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8.75" customHeight="1">
      <c r="A169" s="31"/>
      <c r="B169" s="56" t="str">
        <f t="shared" si="1"/>
        <v>HD22</v>
      </c>
      <c r="C169" s="57" t="s">
        <v>1811</v>
      </c>
      <c r="D169" s="56" t="s">
        <v>117</v>
      </c>
      <c r="E169" s="56" t="s">
        <v>28</v>
      </c>
      <c r="F169" s="56" t="s">
        <v>49</v>
      </c>
      <c r="G169" s="56" t="s">
        <v>118</v>
      </c>
      <c r="H169" s="56" t="s">
        <v>118</v>
      </c>
      <c r="I169" s="59">
        <v>32653.0</v>
      </c>
      <c r="J169" s="56">
        <f t="shared" si="2"/>
        <v>36</v>
      </c>
      <c r="K169" s="56">
        <v>2.228507139E9</v>
      </c>
      <c r="L169" s="60" t="s">
        <v>1812</v>
      </c>
      <c r="M169" s="59">
        <v>43752.0</v>
      </c>
      <c r="N169" s="60" t="s">
        <v>1813</v>
      </c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8.75" customHeight="1">
      <c r="A170" s="31"/>
      <c r="B170" s="56" t="str">
        <f t="shared" si="1"/>
        <v>HS29</v>
      </c>
      <c r="C170" s="57" t="s">
        <v>1861</v>
      </c>
      <c r="D170" s="56" t="s">
        <v>117</v>
      </c>
      <c r="E170" s="56" t="s">
        <v>16</v>
      </c>
      <c r="F170" s="56" t="s">
        <v>43</v>
      </c>
      <c r="G170" s="56" t="s">
        <v>118</v>
      </c>
      <c r="H170" s="56" t="s">
        <v>118</v>
      </c>
      <c r="I170" s="59">
        <v>23375.0</v>
      </c>
      <c r="J170" s="56">
        <f t="shared" si="2"/>
        <v>62</v>
      </c>
      <c r="K170" s="56">
        <v>3.315028247E9</v>
      </c>
      <c r="L170" s="60" t="s">
        <v>1862</v>
      </c>
      <c r="M170" s="59">
        <v>43754.0</v>
      </c>
      <c r="N170" s="60" t="s">
        <v>805</v>
      </c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8.75" customHeight="1">
      <c r="A171" s="31"/>
      <c r="B171" s="56" t="str">
        <f t="shared" si="1"/>
        <v>HD23</v>
      </c>
      <c r="C171" s="57" t="s">
        <v>185</v>
      </c>
      <c r="D171" s="56" t="s">
        <v>117</v>
      </c>
      <c r="E171" s="56" t="s">
        <v>40</v>
      </c>
      <c r="F171" s="56" t="s">
        <v>49</v>
      </c>
      <c r="G171" s="56" t="s">
        <v>118</v>
      </c>
      <c r="H171" s="56" t="s">
        <v>118</v>
      </c>
      <c r="I171" s="59">
        <v>35119.0</v>
      </c>
      <c r="J171" s="56">
        <f t="shared" si="2"/>
        <v>30</v>
      </c>
      <c r="K171" s="56"/>
      <c r="L171" s="60" t="s">
        <v>186</v>
      </c>
      <c r="M171" s="59">
        <v>43754.0</v>
      </c>
      <c r="N171" s="60" t="s">
        <v>1711</v>
      </c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8.75" customHeight="1">
      <c r="A172" s="31"/>
      <c r="B172" s="56" t="str">
        <f t="shared" si="1"/>
        <v>MMa7</v>
      </c>
      <c r="C172" s="57" t="s">
        <v>942</v>
      </c>
      <c r="D172" s="56" t="s">
        <v>128</v>
      </c>
      <c r="E172" s="56" t="s">
        <v>28</v>
      </c>
      <c r="F172" s="56" t="s">
        <v>18</v>
      </c>
      <c r="G172" s="56" t="s">
        <v>118</v>
      </c>
      <c r="H172" s="56" t="s">
        <v>118</v>
      </c>
      <c r="I172" s="59">
        <v>34365.0</v>
      </c>
      <c r="J172" s="56">
        <f t="shared" si="2"/>
        <v>32</v>
      </c>
      <c r="K172" s="56">
        <v>5.568934541E9</v>
      </c>
      <c r="L172" s="60" t="s">
        <v>943</v>
      </c>
      <c r="M172" s="59">
        <v>43759.0</v>
      </c>
      <c r="N172" s="60" t="s">
        <v>944</v>
      </c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8.75" customHeight="1">
      <c r="A173" s="31"/>
      <c r="B173" s="56" t="str">
        <f t="shared" si="1"/>
        <v>MMi7</v>
      </c>
      <c r="C173" s="57" t="s">
        <v>803</v>
      </c>
      <c r="D173" s="56" t="s">
        <v>128</v>
      </c>
      <c r="E173" s="56" t="s">
        <v>16</v>
      </c>
      <c r="F173" s="56" t="s">
        <v>24</v>
      </c>
      <c r="G173" s="56" t="s">
        <v>118</v>
      </c>
      <c r="H173" s="56" t="s">
        <v>118</v>
      </c>
      <c r="I173" s="59"/>
      <c r="J173" s="56">
        <f t="shared" si="2"/>
        <v>126</v>
      </c>
      <c r="K173" s="56">
        <v>3.329367181E9</v>
      </c>
      <c r="L173" s="60" t="s">
        <v>804</v>
      </c>
      <c r="M173" s="59">
        <v>43763.0</v>
      </c>
      <c r="N173" s="60" t="s">
        <v>805</v>
      </c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8.75" customHeight="1">
      <c r="A174" s="31"/>
      <c r="B174" s="56" t="str">
        <f t="shared" si="1"/>
        <v>MMi8</v>
      </c>
      <c r="C174" s="57" t="s">
        <v>2053</v>
      </c>
      <c r="D174" s="56" t="s">
        <v>128</v>
      </c>
      <c r="E174" s="56" t="s">
        <v>40</v>
      </c>
      <c r="F174" s="56" t="s">
        <v>24</v>
      </c>
      <c r="G174" s="56" t="s">
        <v>118</v>
      </c>
      <c r="H174" s="56" t="s">
        <v>118</v>
      </c>
      <c r="I174" s="59">
        <v>38641.0</v>
      </c>
      <c r="J174" s="56">
        <f t="shared" si="2"/>
        <v>20</v>
      </c>
      <c r="K174" s="56"/>
      <c r="L174" s="60" t="s">
        <v>2054</v>
      </c>
      <c r="M174" s="59">
        <v>43768.0</v>
      </c>
      <c r="N174" s="60" t="s">
        <v>2055</v>
      </c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8.75" customHeight="1">
      <c r="A175" s="31"/>
      <c r="B175" s="31"/>
      <c r="C175" s="36" t="s">
        <v>2260</v>
      </c>
      <c r="D175" s="31"/>
      <c r="E175" s="31"/>
      <c r="F175" s="31"/>
      <c r="G175" s="31"/>
      <c r="H175" s="31"/>
      <c r="I175" s="34"/>
      <c r="J175" s="31"/>
      <c r="K175" s="31"/>
      <c r="L175" s="35" t="s">
        <v>2261</v>
      </c>
      <c r="M175" s="34">
        <v>43779.0</v>
      </c>
      <c r="N175" s="35" t="s">
        <v>177</v>
      </c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8.75" customHeight="1">
      <c r="A176" s="31"/>
      <c r="B176" s="56" t="str">
        <f t="shared" ref="B176:B189" si="3">IF(C176="","",D176&amp;F176&amp;COUNTIFS($D$4:D176,D176,$F$4:F176,F176))</f>
        <v>HD24</v>
      </c>
      <c r="C176" s="57" t="s">
        <v>1989</v>
      </c>
      <c r="D176" s="56" t="s">
        <v>117</v>
      </c>
      <c r="E176" s="56" t="s">
        <v>16</v>
      </c>
      <c r="F176" s="56" t="s">
        <v>49</v>
      </c>
      <c r="G176" s="56" t="s">
        <v>118</v>
      </c>
      <c r="H176" s="56" t="s">
        <v>118</v>
      </c>
      <c r="I176" s="59">
        <v>25756.0</v>
      </c>
      <c r="J176" s="56">
        <f t="shared" ref="J176:J248" si="4">IF(C176="","",DATEDIF(I176,TODAY(),"Y"))</f>
        <v>55</v>
      </c>
      <c r="K176" s="56">
        <v>3.323301058E9</v>
      </c>
      <c r="L176" s="60" t="s">
        <v>1990</v>
      </c>
      <c r="M176" s="59">
        <v>43770.0</v>
      </c>
      <c r="N176" s="60" t="s">
        <v>1991</v>
      </c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8.75" customHeight="1">
      <c r="A177" s="31"/>
      <c r="B177" s="56" t="str">
        <f t="shared" si="3"/>
        <v>HS30</v>
      </c>
      <c r="C177" s="57" t="s">
        <v>313</v>
      </c>
      <c r="D177" s="56" t="s">
        <v>117</v>
      </c>
      <c r="E177" s="56" t="s">
        <v>22</v>
      </c>
      <c r="F177" s="56" t="s">
        <v>43</v>
      </c>
      <c r="G177" s="56" t="s">
        <v>118</v>
      </c>
      <c r="H177" s="56" t="s">
        <v>118</v>
      </c>
      <c r="I177" s="59">
        <v>27543.0</v>
      </c>
      <c r="J177" s="56">
        <f t="shared" si="4"/>
        <v>50</v>
      </c>
      <c r="K177" s="56">
        <v>3.310630633E9</v>
      </c>
      <c r="L177" s="60" t="s">
        <v>314</v>
      </c>
      <c r="M177" s="59">
        <v>43773.0</v>
      </c>
      <c r="N177" s="60" t="s">
        <v>315</v>
      </c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8.75" customHeight="1">
      <c r="A178" s="31"/>
      <c r="B178" s="56" t="str">
        <f t="shared" si="3"/>
        <v>HMa12</v>
      </c>
      <c r="C178" s="57" t="s">
        <v>1778</v>
      </c>
      <c r="D178" s="56" t="s">
        <v>117</v>
      </c>
      <c r="E178" s="56" t="s">
        <v>16</v>
      </c>
      <c r="F178" s="56" t="s">
        <v>18</v>
      </c>
      <c r="G178" s="56" t="s">
        <v>118</v>
      </c>
      <c r="H178" s="56" t="s">
        <v>118</v>
      </c>
      <c r="I178" s="59">
        <v>26557.0</v>
      </c>
      <c r="J178" s="56">
        <f t="shared" si="4"/>
        <v>53</v>
      </c>
      <c r="K178" s="56">
        <v>3.331585771E9</v>
      </c>
      <c r="L178" s="60" t="s">
        <v>1779</v>
      </c>
      <c r="M178" s="59">
        <v>43774.0</v>
      </c>
      <c r="N178" s="60" t="s">
        <v>1780</v>
      </c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8.75" customHeight="1">
      <c r="A179" s="31"/>
      <c r="B179" s="56" t="str">
        <f t="shared" si="3"/>
        <v>HD25</v>
      </c>
      <c r="C179" s="57" t="s">
        <v>675</v>
      </c>
      <c r="D179" s="56" t="s">
        <v>117</v>
      </c>
      <c r="E179" s="56" t="s">
        <v>22</v>
      </c>
      <c r="F179" s="56" t="s">
        <v>49</v>
      </c>
      <c r="G179" s="56" t="s">
        <v>118</v>
      </c>
      <c r="H179" s="56" t="s">
        <v>118</v>
      </c>
      <c r="I179" s="59">
        <v>28518.0</v>
      </c>
      <c r="J179" s="56">
        <f t="shared" si="4"/>
        <v>48</v>
      </c>
      <c r="K179" s="56">
        <v>3.312712917E9</v>
      </c>
      <c r="L179" s="60" t="s">
        <v>676</v>
      </c>
      <c r="M179" s="59">
        <v>43782.0</v>
      </c>
      <c r="N179" s="60" t="s">
        <v>209</v>
      </c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8.75" customHeight="1">
      <c r="A180" s="31"/>
      <c r="B180" s="56" t="str">
        <f t="shared" si="3"/>
        <v>HL4</v>
      </c>
      <c r="C180" s="57" t="s">
        <v>1821</v>
      </c>
      <c r="D180" s="56" t="s">
        <v>117</v>
      </c>
      <c r="E180" s="56" t="s">
        <v>40</v>
      </c>
      <c r="F180" s="56" t="s">
        <v>12</v>
      </c>
      <c r="G180" s="56" t="s">
        <v>118</v>
      </c>
      <c r="H180" s="56" t="s">
        <v>118</v>
      </c>
      <c r="I180" s="59">
        <v>38661.0</v>
      </c>
      <c r="J180" s="56">
        <f t="shared" si="4"/>
        <v>20</v>
      </c>
      <c r="K180" s="56"/>
      <c r="L180" s="60" t="s">
        <v>1281</v>
      </c>
      <c r="M180" s="59">
        <v>43788.0</v>
      </c>
      <c r="N180" s="60" t="s">
        <v>1822</v>
      </c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8.75" customHeight="1">
      <c r="A181" s="31"/>
      <c r="B181" s="56" t="str">
        <f t="shared" si="3"/>
        <v>MMi9</v>
      </c>
      <c r="C181" s="57" t="s">
        <v>1468</v>
      </c>
      <c r="D181" s="56" t="s">
        <v>128</v>
      </c>
      <c r="E181" s="56" t="s">
        <v>40</v>
      </c>
      <c r="F181" s="56" t="s">
        <v>24</v>
      </c>
      <c r="G181" s="56" t="s">
        <v>118</v>
      </c>
      <c r="H181" s="56" t="s">
        <v>118</v>
      </c>
      <c r="I181" s="59">
        <v>37607.0</v>
      </c>
      <c r="J181" s="56">
        <f t="shared" si="4"/>
        <v>23</v>
      </c>
      <c r="K181" s="56">
        <v>3.329898333E9</v>
      </c>
      <c r="L181" s="60" t="s">
        <v>1469</v>
      </c>
      <c r="M181" s="59">
        <v>43791.0</v>
      </c>
      <c r="N181" s="60" t="s">
        <v>249</v>
      </c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8.75" customHeight="1">
      <c r="A182" s="31"/>
      <c r="B182" s="56" t="str">
        <f t="shared" si="3"/>
        <v>MS27</v>
      </c>
      <c r="C182" s="57" t="s">
        <v>1311</v>
      </c>
      <c r="D182" s="56" t="s">
        <v>128</v>
      </c>
      <c r="E182" s="56" t="s">
        <v>40</v>
      </c>
      <c r="F182" s="56" t="s">
        <v>43</v>
      </c>
      <c r="G182" s="56" t="s">
        <v>118</v>
      </c>
      <c r="H182" s="56" t="s">
        <v>118</v>
      </c>
      <c r="I182" s="59">
        <v>32124.0</v>
      </c>
      <c r="J182" s="56">
        <f t="shared" si="4"/>
        <v>38</v>
      </c>
      <c r="K182" s="56"/>
      <c r="L182" s="60"/>
      <c r="M182" s="59">
        <v>43792.0</v>
      </c>
      <c r="N182" s="60" t="s">
        <v>1312</v>
      </c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8.75" customHeight="1">
      <c r="A183" s="31"/>
      <c r="B183" s="56" t="str">
        <f t="shared" si="3"/>
        <v>MV11</v>
      </c>
      <c r="C183" s="57" t="s">
        <v>273</v>
      </c>
      <c r="D183" s="56" t="s">
        <v>128</v>
      </c>
      <c r="E183" s="56" t="s">
        <v>34</v>
      </c>
      <c r="F183" s="56" t="s">
        <v>36</v>
      </c>
      <c r="G183" s="56" t="s">
        <v>118</v>
      </c>
      <c r="H183" s="56" t="s">
        <v>118</v>
      </c>
      <c r="I183" s="59">
        <v>27568.0</v>
      </c>
      <c r="J183" s="56">
        <f t="shared" si="4"/>
        <v>50</v>
      </c>
      <c r="K183" s="56">
        <v>3.327009186E9</v>
      </c>
      <c r="L183" s="60" t="s">
        <v>274</v>
      </c>
      <c r="M183" s="59">
        <v>43650.0</v>
      </c>
      <c r="N183" s="60" t="s">
        <v>275</v>
      </c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8.75" customHeight="1">
      <c r="A184" s="31"/>
      <c r="B184" s="56" t="str">
        <f t="shared" si="3"/>
        <v>MV12</v>
      </c>
      <c r="C184" s="57" t="s">
        <v>848</v>
      </c>
      <c r="D184" s="56" t="s">
        <v>128</v>
      </c>
      <c r="E184" s="56" t="s">
        <v>40</v>
      </c>
      <c r="F184" s="56" t="s">
        <v>36</v>
      </c>
      <c r="G184" s="56" t="s">
        <v>165</v>
      </c>
      <c r="H184" s="56" t="s">
        <v>118</v>
      </c>
      <c r="I184" s="59">
        <v>36839.0</v>
      </c>
      <c r="J184" s="56">
        <f t="shared" si="4"/>
        <v>25</v>
      </c>
      <c r="K184" s="56">
        <v>3.317241652E9</v>
      </c>
      <c r="L184" s="60"/>
      <c r="M184" s="59">
        <v>43810.0</v>
      </c>
      <c r="N184" s="60" t="s">
        <v>849</v>
      </c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8.75" customHeight="1">
      <c r="A185" s="31"/>
      <c r="B185" s="56" t="str">
        <f t="shared" si="3"/>
        <v>HJ8</v>
      </c>
      <c r="C185" s="57" t="s">
        <v>1850</v>
      </c>
      <c r="D185" s="56" t="s">
        <v>117</v>
      </c>
      <c r="E185" s="56" t="s">
        <v>16</v>
      </c>
      <c r="F185" s="56" t="s">
        <v>30</v>
      </c>
      <c r="G185" s="56" t="s">
        <v>118</v>
      </c>
      <c r="H185" s="56" t="s">
        <v>118</v>
      </c>
      <c r="I185" s="59">
        <v>20113.0</v>
      </c>
      <c r="J185" s="56">
        <f t="shared" si="4"/>
        <v>71</v>
      </c>
      <c r="K185" s="56">
        <v>3.322897438E9</v>
      </c>
      <c r="L185" s="60" t="s">
        <v>1008</v>
      </c>
      <c r="M185" s="59">
        <v>43824.0</v>
      </c>
      <c r="N185" s="60" t="s">
        <v>700</v>
      </c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8.75" customHeight="1">
      <c r="A186" s="31"/>
      <c r="B186" s="56" t="str">
        <f t="shared" si="3"/>
        <v>HJ9</v>
      </c>
      <c r="C186" s="57" t="s">
        <v>1102</v>
      </c>
      <c r="D186" s="56" t="s">
        <v>117</v>
      </c>
      <c r="E186" s="56" t="s">
        <v>22</v>
      </c>
      <c r="F186" s="56" t="s">
        <v>30</v>
      </c>
      <c r="G186" s="56" t="s">
        <v>118</v>
      </c>
      <c r="H186" s="56" t="s">
        <v>118</v>
      </c>
      <c r="I186" s="59">
        <v>30805.0</v>
      </c>
      <c r="J186" s="56">
        <f t="shared" si="4"/>
        <v>41</v>
      </c>
      <c r="K186" s="56">
        <v>9.981814486E9</v>
      </c>
      <c r="L186" s="60" t="s">
        <v>1103</v>
      </c>
      <c r="M186" s="59">
        <v>43801.0</v>
      </c>
      <c r="N186" s="60" t="s">
        <v>1104</v>
      </c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8.75" customHeight="1">
      <c r="A187" s="31"/>
      <c r="B187" s="56" t="str">
        <f t="shared" si="3"/>
        <v>MMi10</v>
      </c>
      <c r="C187" s="244" t="s">
        <v>1783</v>
      </c>
      <c r="D187" s="56" t="s">
        <v>128</v>
      </c>
      <c r="E187" s="56" t="s">
        <v>16</v>
      </c>
      <c r="F187" s="56" t="s">
        <v>24</v>
      </c>
      <c r="G187" s="56" t="s">
        <v>118</v>
      </c>
      <c r="H187" s="56" t="s">
        <v>118</v>
      </c>
      <c r="I187" s="59">
        <v>26058.0</v>
      </c>
      <c r="J187" s="56">
        <f t="shared" si="4"/>
        <v>54</v>
      </c>
      <c r="K187" s="56">
        <v>3.32701633E9</v>
      </c>
      <c r="L187" s="60" t="s">
        <v>1784</v>
      </c>
      <c r="M187" s="59">
        <v>43812.0</v>
      </c>
      <c r="N187" s="60" t="s">
        <v>1406</v>
      </c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8.75" customHeight="1">
      <c r="A188" s="31"/>
      <c r="B188" s="56" t="str">
        <f t="shared" si="3"/>
        <v>HS31</v>
      </c>
      <c r="C188" s="57" t="s">
        <v>713</v>
      </c>
      <c r="D188" s="56" t="s">
        <v>117</v>
      </c>
      <c r="E188" s="56" t="s">
        <v>40</v>
      </c>
      <c r="F188" s="56" t="s">
        <v>43</v>
      </c>
      <c r="G188" s="56" t="s">
        <v>118</v>
      </c>
      <c r="H188" s="56" t="s">
        <v>118</v>
      </c>
      <c r="I188" s="59">
        <v>38660.0</v>
      </c>
      <c r="J188" s="56">
        <f t="shared" si="4"/>
        <v>20</v>
      </c>
      <c r="K188" s="56">
        <v>3.111269841E9</v>
      </c>
      <c r="L188" s="60" t="s">
        <v>714</v>
      </c>
      <c r="M188" s="59">
        <v>43805.0</v>
      </c>
      <c r="N188" s="60" t="s">
        <v>218</v>
      </c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8.75" customHeight="1">
      <c r="A189" s="31"/>
      <c r="B189" s="56" t="str">
        <f t="shared" si="3"/>
        <v>MJ11</v>
      </c>
      <c r="C189" s="57" t="s">
        <v>494</v>
      </c>
      <c r="D189" s="56" t="s">
        <v>128</v>
      </c>
      <c r="E189" s="56" t="s">
        <v>22</v>
      </c>
      <c r="F189" s="56" t="s">
        <v>30</v>
      </c>
      <c r="G189" s="56" t="s">
        <v>118</v>
      </c>
      <c r="H189" s="56" t="s">
        <v>118</v>
      </c>
      <c r="I189" s="59">
        <v>27815.0</v>
      </c>
      <c r="J189" s="56">
        <f t="shared" si="4"/>
        <v>50</v>
      </c>
      <c r="K189" s="56">
        <v>3.32351044E9</v>
      </c>
      <c r="L189" s="60" t="s">
        <v>495</v>
      </c>
      <c r="M189" s="59">
        <v>43801.0</v>
      </c>
      <c r="N189" s="60" t="s">
        <v>496</v>
      </c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8.75" customHeight="1">
      <c r="A190" s="31"/>
      <c r="B190" s="56" t="str">
        <f>IF(C190="","",D190&amp;F190&amp;COUNTIFS($D$190:D190,D190,$F$190:F190,F190))</f>
        <v>HMa1</v>
      </c>
      <c r="C190" s="57" t="s">
        <v>1063</v>
      </c>
      <c r="D190" s="56" t="s">
        <v>117</v>
      </c>
      <c r="E190" s="56" t="s">
        <v>40</v>
      </c>
      <c r="F190" s="56" t="s">
        <v>18</v>
      </c>
      <c r="G190" s="56" t="s">
        <v>118</v>
      </c>
      <c r="H190" s="56" t="s">
        <v>118</v>
      </c>
      <c r="I190" s="59">
        <v>38212.0</v>
      </c>
      <c r="J190" s="56">
        <f t="shared" si="4"/>
        <v>21</v>
      </c>
      <c r="K190" s="56" t="s">
        <v>1064</v>
      </c>
      <c r="L190" s="60" t="s">
        <v>1065</v>
      </c>
      <c r="M190" s="59">
        <v>43803.0</v>
      </c>
      <c r="N190" s="60" t="s">
        <v>218</v>
      </c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8.75" customHeight="1">
      <c r="A191" s="31"/>
      <c r="B191" s="56" t="str">
        <f t="shared" ref="B191:B216" si="5">IF(C191="","",D191&amp;F191&amp;COUNTIFS($D$4:D191,D191,$F$4:F191,F191))</f>
        <v>MS28</v>
      </c>
      <c r="C191" s="57" t="s">
        <v>821</v>
      </c>
      <c r="D191" s="56" t="s">
        <v>128</v>
      </c>
      <c r="E191" s="56" t="s">
        <v>40</v>
      </c>
      <c r="F191" s="56" t="s">
        <v>43</v>
      </c>
      <c r="G191" s="56" t="s">
        <v>118</v>
      </c>
      <c r="H191" s="56" t="s">
        <v>118</v>
      </c>
      <c r="I191" s="59">
        <v>38205.0</v>
      </c>
      <c r="J191" s="56">
        <f t="shared" si="4"/>
        <v>21</v>
      </c>
      <c r="K191" s="56">
        <v>3.324593435E9</v>
      </c>
      <c r="L191" s="60" t="s">
        <v>822</v>
      </c>
      <c r="M191" s="59">
        <v>43846.0</v>
      </c>
      <c r="N191" s="60" t="s">
        <v>235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8.75" customHeight="1">
      <c r="A192" s="31"/>
      <c r="B192" s="56" t="str">
        <f t="shared" si="5"/>
        <v>MS29</v>
      </c>
      <c r="C192" s="57" t="s">
        <v>1570</v>
      </c>
      <c r="D192" s="56" t="s">
        <v>128</v>
      </c>
      <c r="E192" s="56" t="s">
        <v>40</v>
      </c>
      <c r="F192" s="56" t="s">
        <v>43</v>
      </c>
      <c r="G192" s="56" t="s">
        <v>118</v>
      </c>
      <c r="H192" s="56" t="s">
        <v>118</v>
      </c>
      <c r="I192" s="59">
        <v>38715.0</v>
      </c>
      <c r="J192" s="56">
        <f t="shared" si="4"/>
        <v>20</v>
      </c>
      <c r="K192" s="56">
        <v>3.310931478E9</v>
      </c>
      <c r="L192" s="60" t="s">
        <v>1571</v>
      </c>
      <c r="M192" s="59">
        <v>43849.0</v>
      </c>
      <c r="N192" s="60" t="s">
        <v>235</v>
      </c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8.75" customHeight="1">
      <c r="A193" s="31"/>
      <c r="B193" s="56" t="str">
        <f t="shared" si="5"/>
        <v>MD11</v>
      </c>
      <c r="C193" s="57" t="s">
        <v>1015</v>
      </c>
      <c r="D193" s="56" t="s">
        <v>128</v>
      </c>
      <c r="E193" s="56" t="s">
        <v>40</v>
      </c>
      <c r="F193" s="56" t="s">
        <v>49</v>
      </c>
      <c r="G193" s="56" t="s">
        <v>118</v>
      </c>
      <c r="H193" s="56" t="s">
        <v>118</v>
      </c>
      <c r="I193" s="59">
        <v>32177.0</v>
      </c>
      <c r="J193" s="56">
        <f t="shared" si="4"/>
        <v>38</v>
      </c>
      <c r="K193" s="56">
        <v>3.313297664E9</v>
      </c>
      <c r="L193" s="60"/>
      <c r="M193" s="59">
        <v>43848.0</v>
      </c>
      <c r="N193" s="60" t="s">
        <v>486</v>
      </c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8.75" customHeight="1">
      <c r="A194" s="31"/>
      <c r="B194" s="56" t="str">
        <f t="shared" si="5"/>
        <v>MV13</v>
      </c>
      <c r="C194" s="57" t="s">
        <v>234</v>
      </c>
      <c r="D194" s="56" t="s">
        <v>128</v>
      </c>
      <c r="E194" s="56" t="s">
        <v>40</v>
      </c>
      <c r="F194" s="56" t="s">
        <v>36</v>
      </c>
      <c r="G194" s="56" t="s">
        <v>118</v>
      </c>
      <c r="H194" s="56" t="s">
        <v>118</v>
      </c>
      <c r="I194" s="59">
        <v>38456.0</v>
      </c>
      <c r="J194" s="56">
        <f t="shared" si="4"/>
        <v>21</v>
      </c>
      <c r="K194" s="56">
        <v>3.31074555E9</v>
      </c>
      <c r="L194" s="60" t="s">
        <v>232</v>
      </c>
      <c r="M194" s="59">
        <v>43846.0</v>
      </c>
      <c r="N194" s="60" t="s">
        <v>235</v>
      </c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8.75" customHeight="1">
      <c r="A195" s="31"/>
      <c r="B195" s="56" t="str">
        <f t="shared" si="5"/>
        <v>HS32</v>
      </c>
      <c r="C195" s="57" t="s">
        <v>797</v>
      </c>
      <c r="D195" s="56" t="s">
        <v>117</v>
      </c>
      <c r="E195" s="56" t="s">
        <v>40</v>
      </c>
      <c r="F195" s="56" t="s">
        <v>43</v>
      </c>
      <c r="G195" s="56" t="s">
        <v>118</v>
      </c>
      <c r="H195" s="56" t="s">
        <v>118</v>
      </c>
      <c r="I195" s="59">
        <v>37807.0</v>
      </c>
      <c r="J195" s="56">
        <f t="shared" si="4"/>
        <v>22</v>
      </c>
      <c r="K195" s="56">
        <v>3.326576454E9</v>
      </c>
      <c r="L195" s="60" t="s">
        <v>798</v>
      </c>
      <c r="M195" s="59">
        <v>43841.0</v>
      </c>
      <c r="N195" s="60" t="s">
        <v>218</v>
      </c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8.75" customHeight="1">
      <c r="A196" s="31"/>
      <c r="B196" s="56" t="str">
        <f t="shared" si="5"/>
        <v>MD12</v>
      </c>
      <c r="C196" s="57" t="s">
        <v>342</v>
      </c>
      <c r="D196" s="56" t="s">
        <v>128</v>
      </c>
      <c r="E196" s="56" t="s">
        <v>40</v>
      </c>
      <c r="F196" s="56" t="s">
        <v>49</v>
      </c>
      <c r="G196" s="56" t="s">
        <v>118</v>
      </c>
      <c r="H196" s="56" t="s">
        <v>118</v>
      </c>
      <c r="I196" s="59">
        <v>39077.0</v>
      </c>
      <c r="J196" s="56">
        <f t="shared" si="4"/>
        <v>19</v>
      </c>
      <c r="K196" s="56"/>
      <c r="L196" s="60" t="s">
        <v>343</v>
      </c>
      <c r="M196" s="59">
        <v>43843.0</v>
      </c>
      <c r="N196" s="60" t="s">
        <v>235</v>
      </c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8.75" customHeight="1">
      <c r="A197" s="31"/>
      <c r="B197" s="56" t="str">
        <f t="shared" si="5"/>
        <v>HV15</v>
      </c>
      <c r="C197" s="57" t="s">
        <v>1710</v>
      </c>
      <c r="D197" s="56" t="s">
        <v>117</v>
      </c>
      <c r="E197" s="56" t="s">
        <v>22</v>
      </c>
      <c r="F197" s="56" t="s">
        <v>36</v>
      </c>
      <c r="G197" s="56" t="s">
        <v>118</v>
      </c>
      <c r="H197" s="56" t="s">
        <v>118</v>
      </c>
      <c r="I197" s="59">
        <v>29269.0</v>
      </c>
      <c r="J197" s="56">
        <f t="shared" si="4"/>
        <v>46</v>
      </c>
      <c r="K197" s="56">
        <v>3.31790898E9</v>
      </c>
      <c r="L197" s="60" t="s">
        <v>653</v>
      </c>
      <c r="M197" s="59">
        <v>43844.0</v>
      </c>
      <c r="N197" s="60" t="s">
        <v>1711</v>
      </c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8.75" customHeight="1">
      <c r="A198" s="31"/>
      <c r="B198" s="56" t="str">
        <f t="shared" si="5"/>
        <v>HS33</v>
      </c>
      <c r="C198" s="57" t="s">
        <v>1879</v>
      </c>
      <c r="D198" s="56" t="s">
        <v>117</v>
      </c>
      <c r="E198" s="56" t="s">
        <v>22</v>
      </c>
      <c r="F198" s="56" t="s">
        <v>43</v>
      </c>
      <c r="G198" s="56" t="s">
        <v>118</v>
      </c>
      <c r="H198" s="56" t="s">
        <v>118</v>
      </c>
      <c r="I198" s="59">
        <v>28319.0</v>
      </c>
      <c r="J198" s="56">
        <f t="shared" si="4"/>
        <v>48</v>
      </c>
      <c r="K198" s="56">
        <v>3.314211939E9</v>
      </c>
      <c r="L198" s="60" t="s">
        <v>1880</v>
      </c>
      <c r="M198" s="59">
        <v>43859.0</v>
      </c>
      <c r="N198" s="60" t="s">
        <v>315</v>
      </c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8.75" customHeight="1">
      <c r="A199" s="31"/>
      <c r="B199" s="56" t="str">
        <f t="shared" si="5"/>
        <v>MS30</v>
      </c>
      <c r="C199" s="57" t="s">
        <v>1488</v>
      </c>
      <c r="D199" s="56" t="s">
        <v>128</v>
      </c>
      <c r="E199" s="56" t="s">
        <v>40</v>
      </c>
      <c r="F199" s="56" t="s">
        <v>43</v>
      </c>
      <c r="G199" s="56" t="s">
        <v>118</v>
      </c>
      <c r="H199" s="56" t="s">
        <v>118</v>
      </c>
      <c r="I199" s="59">
        <v>38669.0</v>
      </c>
      <c r="J199" s="56">
        <f t="shared" si="4"/>
        <v>20</v>
      </c>
      <c r="K199" s="56">
        <v>3.313122738E9</v>
      </c>
      <c r="L199" s="60" t="s">
        <v>1489</v>
      </c>
      <c r="M199" s="59">
        <v>43858.0</v>
      </c>
      <c r="N199" s="60" t="s">
        <v>235</v>
      </c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8.75" customHeight="1">
      <c r="A200" s="31"/>
      <c r="B200" s="56" t="str">
        <f t="shared" si="5"/>
        <v>HS34</v>
      </c>
      <c r="C200" s="57" t="s">
        <v>1716</v>
      </c>
      <c r="D200" s="56" t="s">
        <v>117</v>
      </c>
      <c r="E200" s="56" t="s">
        <v>28</v>
      </c>
      <c r="F200" s="56" t="s">
        <v>43</v>
      </c>
      <c r="G200" s="56" t="s">
        <v>118</v>
      </c>
      <c r="H200" s="56" t="s">
        <v>118</v>
      </c>
      <c r="I200" s="59">
        <v>35638.0</v>
      </c>
      <c r="J200" s="56">
        <f t="shared" si="4"/>
        <v>28</v>
      </c>
      <c r="K200" s="56">
        <v>2.491277882E9</v>
      </c>
      <c r="L200" s="60" t="s">
        <v>411</v>
      </c>
      <c r="M200" s="59">
        <v>43845.0</v>
      </c>
      <c r="N200" s="60" t="s">
        <v>1717</v>
      </c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8.75" customHeight="1">
      <c r="A201" s="31"/>
      <c r="B201" s="56" t="str">
        <f t="shared" si="5"/>
        <v>MS31</v>
      </c>
      <c r="C201" s="57" t="s">
        <v>1227</v>
      </c>
      <c r="D201" s="56" t="s">
        <v>128</v>
      </c>
      <c r="E201" s="56" t="s">
        <v>40</v>
      </c>
      <c r="F201" s="56" t="s">
        <v>43</v>
      </c>
      <c r="G201" s="56" t="s">
        <v>118</v>
      </c>
      <c r="H201" s="56" t="s">
        <v>118</v>
      </c>
      <c r="I201" s="59">
        <v>38589.0</v>
      </c>
      <c r="J201" s="56">
        <f t="shared" si="4"/>
        <v>20</v>
      </c>
      <c r="K201" s="56">
        <v>3.315550055E9</v>
      </c>
      <c r="L201" s="60" t="s">
        <v>1228</v>
      </c>
      <c r="M201" s="59">
        <v>43857.0</v>
      </c>
      <c r="N201" s="60" t="s">
        <v>235</v>
      </c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8.75" customHeight="1">
      <c r="A202" s="31"/>
      <c r="B202" s="56" t="str">
        <f t="shared" si="5"/>
        <v>HS35</v>
      </c>
      <c r="C202" s="57" t="s">
        <v>1514</v>
      </c>
      <c r="D202" s="56" t="s">
        <v>117</v>
      </c>
      <c r="E202" s="56" t="s">
        <v>40</v>
      </c>
      <c r="F202" s="56" t="s">
        <v>43</v>
      </c>
      <c r="G202" s="56" t="s">
        <v>118</v>
      </c>
      <c r="H202" s="56" t="s">
        <v>118</v>
      </c>
      <c r="I202" s="59">
        <v>38529.0</v>
      </c>
      <c r="J202" s="56">
        <f t="shared" si="4"/>
        <v>20</v>
      </c>
      <c r="K202" s="56">
        <v>3.313414645E9</v>
      </c>
      <c r="L202" s="60" t="s">
        <v>845</v>
      </c>
      <c r="M202" s="59">
        <v>43831.0</v>
      </c>
      <c r="N202" s="60" t="s">
        <v>218</v>
      </c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8.75" customHeight="1">
      <c r="A203" s="31"/>
      <c r="B203" s="56" t="str">
        <f t="shared" si="5"/>
        <v>MJ12</v>
      </c>
      <c r="C203" s="57" t="s">
        <v>1552</v>
      </c>
      <c r="D203" s="56" t="s">
        <v>128</v>
      </c>
      <c r="E203" s="56" t="s">
        <v>40</v>
      </c>
      <c r="F203" s="56" t="s">
        <v>30</v>
      </c>
      <c r="G203" s="56" t="s">
        <v>118</v>
      </c>
      <c r="H203" s="56" t="s">
        <v>118</v>
      </c>
      <c r="I203" s="59">
        <v>28731.0</v>
      </c>
      <c r="J203" s="56">
        <f t="shared" si="4"/>
        <v>47</v>
      </c>
      <c r="K203" s="56">
        <v>3.310748512E9</v>
      </c>
      <c r="L203" s="60" t="s">
        <v>1553</v>
      </c>
      <c r="M203" s="59">
        <v>43851.0</v>
      </c>
      <c r="N203" s="60" t="s">
        <v>679</v>
      </c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8.75" customHeight="1">
      <c r="A204" s="31"/>
      <c r="B204" s="56" t="str">
        <f t="shared" si="5"/>
        <v>MJ13</v>
      </c>
      <c r="C204" s="57" t="s">
        <v>257</v>
      </c>
      <c r="D204" s="56" t="s">
        <v>128</v>
      </c>
      <c r="E204" s="56" t="s">
        <v>40</v>
      </c>
      <c r="F204" s="56" t="s">
        <v>30</v>
      </c>
      <c r="G204" s="56" t="s">
        <v>118</v>
      </c>
      <c r="H204" s="56" t="s">
        <v>118</v>
      </c>
      <c r="I204" s="59">
        <v>28783.0</v>
      </c>
      <c r="J204" s="56">
        <f t="shared" si="4"/>
        <v>47</v>
      </c>
      <c r="K204" s="56" t="s">
        <v>258</v>
      </c>
      <c r="L204" s="60" t="s">
        <v>259</v>
      </c>
      <c r="M204" s="59">
        <v>43851.0</v>
      </c>
      <c r="N204" s="60" t="s">
        <v>679</v>
      </c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8.75" customHeight="1">
      <c r="A205" s="31"/>
      <c r="B205" s="56" t="str">
        <f t="shared" si="5"/>
        <v>MV14</v>
      </c>
      <c r="C205" s="57" t="s">
        <v>1353</v>
      </c>
      <c r="D205" s="56" t="s">
        <v>128</v>
      </c>
      <c r="E205" s="56" t="s">
        <v>34</v>
      </c>
      <c r="F205" s="56" t="s">
        <v>36</v>
      </c>
      <c r="G205" s="56" t="s">
        <v>118</v>
      </c>
      <c r="H205" s="56" t="s">
        <v>118</v>
      </c>
      <c r="I205" s="59">
        <v>21663.0</v>
      </c>
      <c r="J205" s="56">
        <f t="shared" si="4"/>
        <v>67</v>
      </c>
      <c r="K205" s="56">
        <v>3.320134992E9</v>
      </c>
      <c r="L205" s="60" t="s">
        <v>1354</v>
      </c>
      <c r="M205" s="59">
        <v>43860.0</v>
      </c>
      <c r="N205" s="60" t="s">
        <v>1355</v>
      </c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8.75" customHeight="1">
      <c r="A206" s="31"/>
      <c r="B206" s="56" t="str">
        <f t="shared" si="5"/>
        <v>HS36</v>
      </c>
      <c r="C206" s="57" t="s">
        <v>1231</v>
      </c>
      <c r="D206" s="56" t="s">
        <v>117</v>
      </c>
      <c r="E206" s="56" t="s">
        <v>40</v>
      </c>
      <c r="F206" s="56" t="s">
        <v>43</v>
      </c>
      <c r="G206" s="56" t="s">
        <v>118</v>
      </c>
      <c r="H206" s="56" t="s">
        <v>118</v>
      </c>
      <c r="I206" s="59">
        <v>38515.0</v>
      </c>
      <c r="J206" s="56">
        <f t="shared" si="4"/>
        <v>20</v>
      </c>
      <c r="K206" s="56">
        <v>3.32048041E9</v>
      </c>
      <c r="L206" s="60" t="s">
        <v>1232</v>
      </c>
      <c r="M206" s="59">
        <v>43861.0</v>
      </c>
      <c r="N206" s="60" t="s">
        <v>218</v>
      </c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8.75" customHeight="1">
      <c r="A207" s="31"/>
      <c r="B207" s="56" t="str">
        <f t="shared" si="5"/>
        <v>MMi11</v>
      </c>
      <c r="C207" s="57" t="s">
        <v>134</v>
      </c>
      <c r="D207" s="56" t="s">
        <v>128</v>
      </c>
      <c r="E207" s="56" t="s">
        <v>40</v>
      </c>
      <c r="F207" s="56" t="s">
        <v>24</v>
      </c>
      <c r="G207" s="56" t="s">
        <v>118</v>
      </c>
      <c r="H207" s="56" t="s">
        <v>118</v>
      </c>
      <c r="I207" s="59">
        <v>38541.0</v>
      </c>
      <c r="J207" s="56">
        <f t="shared" si="4"/>
        <v>20</v>
      </c>
      <c r="K207" s="56">
        <v>3.325006442E9</v>
      </c>
      <c r="L207" s="60" t="s">
        <v>135</v>
      </c>
      <c r="M207" s="59">
        <v>43862.0</v>
      </c>
      <c r="N207" s="60" t="s">
        <v>235</v>
      </c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8.75" customHeight="1">
      <c r="A208" s="31"/>
      <c r="B208" s="56" t="str">
        <f t="shared" si="5"/>
        <v>HJ10</v>
      </c>
      <c r="C208" s="57" t="s">
        <v>1676</v>
      </c>
      <c r="D208" s="56" t="s">
        <v>117</v>
      </c>
      <c r="E208" s="56" t="s">
        <v>40</v>
      </c>
      <c r="F208" s="56" t="s">
        <v>30</v>
      </c>
      <c r="G208" s="56" t="s">
        <v>118</v>
      </c>
      <c r="H208" s="56" t="s">
        <v>118</v>
      </c>
      <c r="I208" s="59">
        <v>38750.0</v>
      </c>
      <c r="J208" s="56">
        <f t="shared" si="4"/>
        <v>20</v>
      </c>
      <c r="K208" s="56">
        <v>3.323812705E9</v>
      </c>
      <c r="L208" s="60" t="s">
        <v>1677</v>
      </c>
      <c r="M208" s="59">
        <v>43870.0</v>
      </c>
      <c r="N208" s="60" t="s">
        <v>218</v>
      </c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8.75" customHeight="1">
      <c r="A209" s="31"/>
      <c r="B209" s="56" t="str">
        <f t="shared" si="5"/>
        <v>MMi12</v>
      </c>
      <c r="C209" s="57" t="s">
        <v>1916</v>
      </c>
      <c r="D209" s="56" t="s">
        <v>128</v>
      </c>
      <c r="E209" s="56" t="s">
        <v>16</v>
      </c>
      <c r="F209" s="56" t="s">
        <v>24</v>
      </c>
      <c r="G209" s="56" t="s">
        <v>118</v>
      </c>
      <c r="H209" s="56" t="s">
        <v>118</v>
      </c>
      <c r="I209" s="59">
        <v>24393.0</v>
      </c>
      <c r="J209" s="56">
        <f t="shared" si="4"/>
        <v>59</v>
      </c>
      <c r="K209" s="56">
        <v>3.319180281E9</v>
      </c>
      <c r="L209" s="60" t="s">
        <v>1917</v>
      </c>
      <c r="M209" s="59">
        <v>43865.0</v>
      </c>
      <c r="N209" s="60" t="s">
        <v>1918</v>
      </c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8.75" customHeight="1">
      <c r="A210" s="31"/>
      <c r="B210" s="56" t="str">
        <f t="shared" si="5"/>
        <v>MS32</v>
      </c>
      <c r="C210" s="57" t="s">
        <v>1371</v>
      </c>
      <c r="D210" s="56" t="s">
        <v>128</v>
      </c>
      <c r="E210" s="56" t="s">
        <v>40</v>
      </c>
      <c r="F210" s="56" t="s">
        <v>43</v>
      </c>
      <c r="G210" s="56" t="s">
        <v>118</v>
      </c>
      <c r="H210" s="56" t="s">
        <v>118</v>
      </c>
      <c r="I210" s="59">
        <v>33776.0</v>
      </c>
      <c r="J210" s="56">
        <f t="shared" si="4"/>
        <v>33</v>
      </c>
      <c r="K210" s="56">
        <v>3.324952425E9</v>
      </c>
      <c r="L210" s="60" t="s">
        <v>1372</v>
      </c>
      <c r="M210" s="59">
        <v>43864.0</v>
      </c>
      <c r="N210" s="60" t="s">
        <v>1373</v>
      </c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8.75" customHeight="1">
      <c r="A211" s="31"/>
      <c r="B211" s="56" t="str">
        <f t="shared" si="5"/>
        <v>MS33</v>
      </c>
      <c r="C211" s="57" t="s">
        <v>145</v>
      </c>
      <c r="D211" s="56" t="s">
        <v>128</v>
      </c>
      <c r="E211" s="56" t="s">
        <v>40</v>
      </c>
      <c r="F211" s="56" t="s">
        <v>43</v>
      </c>
      <c r="G211" s="56" t="s">
        <v>118</v>
      </c>
      <c r="H211" s="56" t="s">
        <v>118</v>
      </c>
      <c r="I211" s="59">
        <v>35717.0</v>
      </c>
      <c r="J211" s="56">
        <f t="shared" si="4"/>
        <v>28</v>
      </c>
      <c r="K211" s="56">
        <v>3.335902493E9</v>
      </c>
      <c r="L211" s="60" t="s">
        <v>2262</v>
      </c>
      <c r="M211" s="59">
        <v>43900.0</v>
      </c>
      <c r="N211" s="60" t="s">
        <v>2263</v>
      </c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8.75" customHeight="1">
      <c r="A212" s="31"/>
      <c r="B212" s="56" t="str">
        <f t="shared" si="5"/>
        <v>HJ11</v>
      </c>
      <c r="C212" s="57" t="s">
        <v>698</v>
      </c>
      <c r="D212" s="56" t="s">
        <v>117</v>
      </c>
      <c r="E212" s="56" t="s">
        <v>16</v>
      </c>
      <c r="F212" s="56" t="s">
        <v>30</v>
      </c>
      <c r="G212" s="56" t="s">
        <v>118</v>
      </c>
      <c r="H212" s="56" t="s">
        <v>118</v>
      </c>
      <c r="I212" s="59">
        <v>20054.0</v>
      </c>
      <c r="J212" s="56">
        <f t="shared" si="4"/>
        <v>71</v>
      </c>
      <c r="K212" s="56">
        <v>4.08665546E9</v>
      </c>
      <c r="L212" s="60" t="s">
        <v>699</v>
      </c>
      <c r="M212" s="59">
        <v>43895.0</v>
      </c>
      <c r="N212" s="60" t="s">
        <v>700</v>
      </c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8.75" customHeight="1">
      <c r="A213" s="31"/>
      <c r="B213" s="56" t="str">
        <f t="shared" si="5"/>
        <v>MJ14</v>
      </c>
      <c r="C213" s="57" t="s">
        <v>701</v>
      </c>
      <c r="D213" s="56" t="s">
        <v>128</v>
      </c>
      <c r="E213" s="56" t="s">
        <v>16</v>
      </c>
      <c r="F213" s="56" t="s">
        <v>30</v>
      </c>
      <c r="G213" s="56" t="s">
        <v>118</v>
      </c>
      <c r="H213" s="56" t="s">
        <v>118</v>
      </c>
      <c r="I213" s="59">
        <v>22023.0</v>
      </c>
      <c r="J213" s="56">
        <f t="shared" si="4"/>
        <v>66</v>
      </c>
      <c r="K213" s="56">
        <v>4.08665546E9</v>
      </c>
      <c r="L213" s="60" t="s">
        <v>699</v>
      </c>
      <c r="M213" s="59">
        <v>43895.0</v>
      </c>
      <c r="N213" s="60" t="s">
        <v>700</v>
      </c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8.75" customHeight="1">
      <c r="A214" s="31"/>
      <c r="B214" s="56" t="str">
        <f t="shared" si="5"/>
        <v>HD26</v>
      </c>
      <c r="C214" s="57" t="s">
        <v>1896</v>
      </c>
      <c r="D214" s="56" t="s">
        <v>117</v>
      </c>
      <c r="E214" s="56" t="s">
        <v>22</v>
      </c>
      <c r="F214" s="56" t="s">
        <v>49</v>
      </c>
      <c r="G214" s="56" t="s">
        <v>118</v>
      </c>
      <c r="H214" s="56" t="s">
        <v>118</v>
      </c>
      <c r="I214" s="59">
        <v>30785.0</v>
      </c>
      <c r="J214" s="56">
        <f t="shared" si="4"/>
        <v>42</v>
      </c>
      <c r="K214" s="56">
        <v>3.33973431E9</v>
      </c>
      <c r="L214" s="60" t="s">
        <v>1897</v>
      </c>
      <c r="M214" s="59">
        <v>43963.0</v>
      </c>
      <c r="N214" s="60" t="s">
        <v>1898</v>
      </c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8.75" customHeight="1">
      <c r="A215" s="31"/>
      <c r="B215" s="56" t="str">
        <f t="shared" si="5"/>
        <v>MD13</v>
      </c>
      <c r="C215" s="57" t="s">
        <v>658</v>
      </c>
      <c r="D215" s="56" t="s">
        <v>128</v>
      </c>
      <c r="E215" s="56" t="s">
        <v>16</v>
      </c>
      <c r="F215" s="56" t="s">
        <v>49</v>
      </c>
      <c r="G215" s="56" t="s">
        <v>118</v>
      </c>
      <c r="H215" s="56" t="s">
        <v>118</v>
      </c>
      <c r="I215" s="59">
        <v>23423.0</v>
      </c>
      <c r="J215" s="56">
        <f t="shared" si="4"/>
        <v>62</v>
      </c>
      <c r="K215" s="56">
        <v>3.32416899E9</v>
      </c>
      <c r="L215" s="60" t="s">
        <v>659</v>
      </c>
      <c r="M215" s="59">
        <v>43969.0</v>
      </c>
      <c r="N215" s="60" t="s">
        <v>1918</v>
      </c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8.75" customHeight="1">
      <c r="A216" s="31"/>
      <c r="B216" s="56" t="str">
        <f t="shared" si="5"/>
        <v>MJ15</v>
      </c>
      <c r="C216" s="57" t="s">
        <v>1901</v>
      </c>
      <c r="D216" s="56" t="s">
        <v>128</v>
      </c>
      <c r="E216" s="56" t="s">
        <v>22</v>
      </c>
      <c r="F216" s="56" t="s">
        <v>30</v>
      </c>
      <c r="G216" s="56" t="s">
        <v>118</v>
      </c>
      <c r="H216" s="56" t="s">
        <v>118</v>
      </c>
      <c r="I216" s="59">
        <v>34463.0</v>
      </c>
      <c r="J216" s="56">
        <f t="shared" si="4"/>
        <v>31</v>
      </c>
      <c r="K216" s="56">
        <v>3.325380385E9</v>
      </c>
      <c r="L216" s="60" t="s">
        <v>1902</v>
      </c>
      <c r="M216" s="59">
        <v>43803.0</v>
      </c>
      <c r="N216" s="60" t="s">
        <v>1903</v>
      </c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8.75" customHeight="1">
      <c r="A217" s="31"/>
      <c r="B217" s="56" t="str">
        <f>IF(C217="","",D217&amp;F217&amp;COUNTIFS($D$217:D217,D217,$F$217:F217,F217))</f>
        <v>HS1</v>
      </c>
      <c r="C217" s="57" t="s">
        <v>1871</v>
      </c>
      <c r="D217" s="56" t="s">
        <v>117</v>
      </c>
      <c r="E217" s="56" t="s">
        <v>40</v>
      </c>
      <c r="F217" s="56" t="s">
        <v>43</v>
      </c>
      <c r="G217" s="56" t="s">
        <v>118</v>
      </c>
      <c r="H217" s="56" t="s">
        <v>118</v>
      </c>
      <c r="I217" s="59">
        <v>37615.0</v>
      </c>
      <c r="J217" s="56">
        <f t="shared" si="4"/>
        <v>23</v>
      </c>
      <c r="K217" s="56">
        <v>3.3345435E9</v>
      </c>
      <c r="L217" s="60" t="s">
        <v>1872</v>
      </c>
      <c r="M217" s="59">
        <v>43787.0</v>
      </c>
      <c r="N217" s="60" t="s">
        <v>218</v>
      </c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8.75" customHeight="1">
      <c r="A218" s="31"/>
      <c r="B218" s="56" t="str">
        <f t="shared" ref="B218:B248" si="6">IF(C218="","",D218&amp;F218&amp;COUNTIFS($D$4:D218,D218,$F$4:F218,F218))</f>
        <v>HD27</v>
      </c>
      <c r="C218" s="57" t="s">
        <v>1374</v>
      </c>
      <c r="D218" s="56" t="s">
        <v>117</v>
      </c>
      <c r="E218" s="56" t="s">
        <v>34</v>
      </c>
      <c r="F218" s="56" t="s">
        <v>49</v>
      </c>
      <c r="G218" s="56" t="s">
        <v>118</v>
      </c>
      <c r="H218" s="56" t="s">
        <v>118</v>
      </c>
      <c r="I218" s="59">
        <v>35777.0</v>
      </c>
      <c r="J218" s="56">
        <f t="shared" si="4"/>
        <v>28</v>
      </c>
      <c r="K218" s="56">
        <v>3.321208631E9</v>
      </c>
      <c r="L218" s="60" t="s">
        <v>1372</v>
      </c>
      <c r="M218" s="59">
        <v>44023.0</v>
      </c>
      <c r="N218" s="60" t="s">
        <v>467</v>
      </c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8.75" customHeight="1">
      <c r="A219" s="31"/>
      <c r="B219" s="56" t="str">
        <f t="shared" si="6"/>
        <v>MMa8</v>
      </c>
      <c r="C219" s="57" t="s">
        <v>1381</v>
      </c>
      <c r="D219" s="56" t="s">
        <v>128</v>
      </c>
      <c r="E219" s="56" t="s">
        <v>40</v>
      </c>
      <c r="F219" s="56" t="s">
        <v>18</v>
      </c>
      <c r="G219" s="56" t="s">
        <v>118</v>
      </c>
      <c r="H219" s="56" t="s">
        <v>118</v>
      </c>
      <c r="I219" s="59">
        <v>37211.0</v>
      </c>
      <c r="J219" s="56">
        <f t="shared" si="4"/>
        <v>24</v>
      </c>
      <c r="K219" s="56">
        <v>8.662382586E9</v>
      </c>
      <c r="L219" s="60" t="s">
        <v>1382</v>
      </c>
      <c r="M219" s="59">
        <v>44065.0</v>
      </c>
      <c r="N219" s="60" t="s">
        <v>1383</v>
      </c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8.75" customHeight="1">
      <c r="A220" s="31"/>
      <c r="B220" s="56" t="str">
        <f t="shared" si="6"/>
        <v>HJ12</v>
      </c>
      <c r="C220" s="57" t="s">
        <v>725</v>
      </c>
      <c r="D220" s="56" t="s">
        <v>117</v>
      </c>
      <c r="E220" s="56" t="s">
        <v>22</v>
      </c>
      <c r="F220" s="56" t="s">
        <v>30</v>
      </c>
      <c r="G220" s="56" t="s">
        <v>118</v>
      </c>
      <c r="H220" s="56" t="s">
        <v>118</v>
      </c>
      <c r="I220" s="59">
        <v>25801.0</v>
      </c>
      <c r="J220" s="56">
        <f t="shared" si="4"/>
        <v>55</v>
      </c>
      <c r="K220" s="56">
        <v>3.319768908E9</v>
      </c>
      <c r="L220" s="60" t="s">
        <v>722</v>
      </c>
      <c r="M220" s="59">
        <v>44060.0</v>
      </c>
      <c r="N220" s="60" t="s">
        <v>315</v>
      </c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8.75" customHeight="1">
      <c r="A221" s="31"/>
      <c r="B221" s="56" t="str">
        <f t="shared" si="6"/>
        <v>MMi13</v>
      </c>
      <c r="C221" s="57" t="s">
        <v>619</v>
      </c>
      <c r="D221" s="56" t="s">
        <v>128</v>
      </c>
      <c r="E221" s="56" t="s">
        <v>40</v>
      </c>
      <c r="F221" s="56" t="s">
        <v>24</v>
      </c>
      <c r="G221" s="56" t="s">
        <v>118</v>
      </c>
      <c r="H221" s="56" t="s">
        <v>118</v>
      </c>
      <c r="I221" s="59">
        <v>37395.0</v>
      </c>
      <c r="J221" s="56">
        <f t="shared" si="4"/>
        <v>23</v>
      </c>
      <c r="K221" s="56">
        <v>3.314234474E9</v>
      </c>
      <c r="L221" s="60" t="s">
        <v>620</v>
      </c>
      <c r="M221" s="59">
        <v>44077.0</v>
      </c>
      <c r="N221" s="60" t="s">
        <v>249</v>
      </c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8.75" customHeight="1">
      <c r="A222" s="31"/>
      <c r="B222" s="56" t="str">
        <f t="shared" si="6"/>
        <v>HJ13</v>
      </c>
      <c r="C222" s="57" t="s">
        <v>351</v>
      </c>
      <c r="D222" s="56" t="s">
        <v>117</v>
      </c>
      <c r="E222" s="56" t="s">
        <v>40</v>
      </c>
      <c r="F222" s="56" t="s">
        <v>30</v>
      </c>
      <c r="G222" s="56" t="s">
        <v>118</v>
      </c>
      <c r="H222" s="56" t="s">
        <v>118</v>
      </c>
      <c r="I222" s="59">
        <v>37872.0</v>
      </c>
      <c r="J222" s="56">
        <f t="shared" si="4"/>
        <v>22</v>
      </c>
      <c r="K222" s="56">
        <v>3.333301156E9</v>
      </c>
      <c r="L222" s="60" t="s">
        <v>352</v>
      </c>
      <c r="M222" s="59">
        <v>44102.0</v>
      </c>
      <c r="N222" s="60" t="s">
        <v>1915</v>
      </c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8.75" customHeight="1">
      <c r="A223" s="31"/>
      <c r="B223" s="56" t="str">
        <f t="shared" si="6"/>
        <v>MV15</v>
      </c>
      <c r="C223" s="57" t="s">
        <v>270</v>
      </c>
      <c r="D223" s="56" t="s">
        <v>128</v>
      </c>
      <c r="E223" s="56" t="s">
        <v>40</v>
      </c>
      <c r="F223" s="56" t="s">
        <v>36</v>
      </c>
      <c r="G223" s="56" t="s">
        <v>118</v>
      </c>
      <c r="H223" s="56" t="s">
        <v>118</v>
      </c>
      <c r="I223" s="59">
        <v>36918.0</v>
      </c>
      <c r="J223" s="56">
        <f t="shared" si="4"/>
        <v>25</v>
      </c>
      <c r="K223" s="56">
        <v>2.0167835E7</v>
      </c>
      <c r="L223" s="60" t="s">
        <v>268</v>
      </c>
      <c r="M223" s="59">
        <v>44107.0</v>
      </c>
      <c r="N223" s="60" t="s">
        <v>1370</v>
      </c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8.75" customHeight="1">
      <c r="A224" s="31"/>
      <c r="B224" s="56" t="str">
        <f t="shared" si="6"/>
        <v>MJ16</v>
      </c>
      <c r="C224" s="57" t="s">
        <v>265</v>
      </c>
      <c r="D224" s="56" t="s">
        <v>128</v>
      </c>
      <c r="E224" s="56" t="s">
        <v>40</v>
      </c>
      <c r="F224" s="56" t="s">
        <v>30</v>
      </c>
      <c r="G224" s="56" t="s">
        <v>118</v>
      </c>
      <c r="H224" s="56" t="s">
        <v>118</v>
      </c>
      <c r="I224" s="59">
        <v>35341.0</v>
      </c>
      <c r="J224" s="56">
        <f t="shared" si="4"/>
        <v>29</v>
      </c>
      <c r="K224" s="56">
        <v>3.319991628E9</v>
      </c>
      <c r="L224" s="60" t="s">
        <v>266</v>
      </c>
      <c r="M224" s="59">
        <v>44128.0</v>
      </c>
      <c r="N224" s="60" t="s">
        <v>1370</v>
      </c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8.75" customHeight="1">
      <c r="A225" s="31"/>
      <c r="B225" s="56" t="str">
        <f t="shared" si="6"/>
        <v>MMa9</v>
      </c>
      <c r="C225" s="57" t="s">
        <v>564</v>
      </c>
      <c r="D225" s="56" t="s">
        <v>128</v>
      </c>
      <c r="E225" s="56" t="s">
        <v>40</v>
      </c>
      <c r="F225" s="56" t="s">
        <v>18</v>
      </c>
      <c r="G225" s="56" t="s">
        <v>118</v>
      </c>
      <c r="H225" s="56" t="s">
        <v>118</v>
      </c>
      <c r="I225" s="59">
        <v>35911.0</v>
      </c>
      <c r="J225" s="56">
        <f t="shared" si="4"/>
        <v>27</v>
      </c>
      <c r="K225" s="56">
        <v>3.312688826E9</v>
      </c>
      <c r="L225" s="60" t="s">
        <v>565</v>
      </c>
      <c r="M225" s="59">
        <v>44058.0</v>
      </c>
      <c r="N225" s="60" t="s">
        <v>2264</v>
      </c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8.75" customHeight="1">
      <c r="A226" s="31"/>
      <c r="B226" s="56" t="str">
        <f t="shared" si="6"/>
        <v>HD28</v>
      </c>
      <c r="C226" s="57" t="s">
        <v>793</v>
      </c>
      <c r="D226" s="56" t="s">
        <v>117</v>
      </c>
      <c r="E226" s="56" t="s">
        <v>40</v>
      </c>
      <c r="F226" s="56" t="s">
        <v>49</v>
      </c>
      <c r="G226" s="56" t="s">
        <v>118</v>
      </c>
      <c r="H226" s="56" t="s">
        <v>118</v>
      </c>
      <c r="I226" s="59">
        <v>36654.0</v>
      </c>
      <c r="J226" s="56">
        <f t="shared" si="4"/>
        <v>25</v>
      </c>
      <c r="K226" s="56">
        <v>3.334794439E9</v>
      </c>
      <c r="L226" s="60" t="s">
        <v>794</v>
      </c>
      <c r="M226" s="59">
        <v>44163.0</v>
      </c>
      <c r="N226" s="60" t="s">
        <v>218</v>
      </c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8.75" customHeight="1">
      <c r="A227" s="31"/>
      <c r="B227" s="56" t="str">
        <f t="shared" si="6"/>
        <v>MD14</v>
      </c>
      <c r="C227" s="57" t="s">
        <v>354</v>
      </c>
      <c r="D227" s="56" t="s">
        <v>128</v>
      </c>
      <c r="E227" s="56" t="s">
        <v>16</v>
      </c>
      <c r="F227" s="56" t="s">
        <v>49</v>
      </c>
      <c r="G227" s="56" t="s">
        <v>118</v>
      </c>
      <c r="H227" s="56" t="s">
        <v>118</v>
      </c>
      <c r="I227" s="59">
        <v>24880.0</v>
      </c>
      <c r="J227" s="56">
        <f t="shared" si="4"/>
        <v>58</v>
      </c>
      <c r="K227" s="56">
        <v>3.315026214E9</v>
      </c>
      <c r="L227" s="60" t="s">
        <v>355</v>
      </c>
      <c r="M227" s="59">
        <v>43986.0</v>
      </c>
      <c r="N227" s="60" t="s">
        <v>1406</v>
      </c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8.75" customHeight="1">
      <c r="A228" s="31"/>
      <c r="B228" s="56" t="str">
        <f t="shared" si="6"/>
        <v>HMa14</v>
      </c>
      <c r="C228" s="57" t="s">
        <v>1280</v>
      </c>
      <c r="D228" s="56" t="s">
        <v>117</v>
      </c>
      <c r="E228" s="56" t="s">
        <v>40</v>
      </c>
      <c r="F228" s="56" t="s">
        <v>18</v>
      </c>
      <c r="G228" s="56" t="s">
        <v>118</v>
      </c>
      <c r="H228" s="56" t="s">
        <v>118</v>
      </c>
      <c r="I228" s="59">
        <v>38797.0</v>
      </c>
      <c r="J228" s="56">
        <f t="shared" si="4"/>
        <v>20</v>
      </c>
      <c r="K228" s="56">
        <v>3.323113517E9</v>
      </c>
      <c r="L228" s="60" t="s">
        <v>1281</v>
      </c>
      <c r="M228" s="59">
        <v>44191.0</v>
      </c>
      <c r="N228" s="60" t="s">
        <v>202</v>
      </c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8.75" customHeight="1">
      <c r="A229" s="31"/>
      <c r="B229" s="56" t="str">
        <f t="shared" si="6"/>
        <v>MMi14</v>
      </c>
      <c r="C229" s="57" t="s">
        <v>1404</v>
      </c>
      <c r="D229" s="56" t="s">
        <v>128</v>
      </c>
      <c r="E229" s="56" t="s">
        <v>22</v>
      </c>
      <c r="F229" s="56" t="s">
        <v>24</v>
      </c>
      <c r="G229" s="56" t="s">
        <v>118</v>
      </c>
      <c r="H229" s="56" t="s">
        <v>118</v>
      </c>
      <c r="I229" s="59">
        <v>25753.0</v>
      </c>
      <c r="J229" s="56">
        <f t="shared" si="4"/>
        <v>55</v>
      </c>
      <c r="K229" s="56">
        <v>3.324612095E9</v>
      </c>
      <c r="L229" s="60" t="s">
        <v>1405</v>
      </c>
      <c r="M229" s="59">
        <v>44195.0</v>
      </c>
      <c r="N229" s="60" t="s">
        <v>1406</v>
      </c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8.75" customHeight="1">
      <c r="A230" s="31"/>
      <c r="B230" s="56" t="str">
        <f t="shared" si="6"/>
        <v>MS34</v>
      </c>
      <c r="C230" s="57" t="s">
        <v>1832</v>
      </c>
      <c r="D230" s="56" t="s">
        <v>128</v>
      </c>
      <c r="E230" s="56" t="s">
        <v>22</v>
      </c>
      <c r="F230" s="56" t="s">
        <v>43</v>
      </c>
      <c r="G230" s="56" t="s">
        <v>118</v>
      </c>
      <c r="H230" s="56" t="s">
        <v>118</v>
      </c>
      <c r="I230" s="59">
        <v>25090.0</v>
      </c>
      <c r="J230" s="56">
        <f t="shared" si="4"/>
        <v>57</v>
      </c>
      <c r="K230" s="56">
        <v>3.326750283E9</v>
      </c>
      <c r="L230" s="60" t="s">
        <v>1833</v>
      </c>
      <c r="M230" s="59">
        <v>43986.0</v>
      </c>
      <c r="N230" s="60" t="s">
        <v>2265</v>
      </c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8.75" customHeight="1">
      <c r="A231" s="31"/>
      <c r="B231" s="56" t="str">
        <f t="shared" si="6"/>
        <v>MJ17</v>
      </c>
      <c r="C231" s="57" t="s">
        <v>2067</v>
      </c>
      <c r="D231" s="56" t="s">
        <v>128</v>
      </c>
      <c r="E231" s="56" t="s">
        <v>40</v>
      </c>
      <c r="F231" s="56" t="s">
        <v>30</v>
      </c>
      <c r="G231" s="56" t="s">
        <v>118</v>
      </c>
      <c r="H231" s="56" t="s">
        <v>118</v>
      </c>
      <c r="I231" s="59">
        <v>35423.0</v>
      </c>
      <c r="J231" s="56">
        <f t="shared" si="4"/>
        <v>29</v>
      </c>
      <c r="K231" s="56">
        <v>4.851047832E9</v>
      </c>
      <c r="L231" s="60" t="s">
        <v>2068</v>
      </c>
      <c r="M231" s="59">
        <v>44161.0</v>
      </c>
      <c r="N231" s="60" t="s">
        <v>2266</v>
      </c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8.75" customHeight="1">
      <c r="A232" s="31"/>
      <c r="B232" s="56" t="str">
        <f t="shared" si="6"/>
        <v>HMi10</v>
      </c>
      <c r="C232" s="57" t="s">
        <v>2051</v>
      </c>
      <c r="D232" s="56" t="s">
        <v>117</v>
      </c>
      <c r="E232" s="56" t="s">
        <v>40</v>
      </c>
      <c r="F232" s="56" t="s">
        <v>24</v>
      </c>
      <c r="G232" s="56" t="s">
        <v>118</v>
      </c>
      <c r="H232" s="56" t="s">
        <v>118</v>
      </c>
      <c r="I232" s="59">
        <v>39064.0</v>
      </c>
      <c r="J232" s="56">
        <f t="shared" si="4"/>
        <v>19</v>
      </c>
      <c r="K232" s="56"/>
      <c r="L232" s="60" t="s">
        <v>2052</v>
      </c>
      <c r="M232" s="59">
        <v>44199.0</v>
      </c>
      <c r="N232" s="60" t="s">
        <v>202</v>
      </c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8.75" customHeight="1">
      <c r="A233" s="31"/>
      <c r="B233" s="56" t="str">
        <f t="shared" si="6"/>
        <v>MJ18</v>
      </c>
      <c r="C233" s="57" t="s">
        <v>764</v>
      </c>
      <c r="D233" s="56" t="s">
        <v>128</v>
      </c>
      <c r="E233" s="56"/>
      <c r="F233" s="56" t="s">
        <v>30</v>
      </c>
      <c r="G233" s="56" t="s">
        <v>118</v>
      </c>
      <c r="H233" s="56" t="s">
        <v>118</v>
      </c>
      <c r="I233" s="59">
        <v>31628.0</v>
      </c>
      <c r="J233" s="56">
        <f t="shared" si="4"/>
        <v>39</v>
      </c>
      <c r="K233" s="56">
        <v>3.312085302E9</v>
      </c>
      <c r="L233" s="60" t="s">
        <v>765</v>
      </c>
      <c r="M233" s="59">
        <v>44234.0</v>
      </c>
      <c r="N233" s="60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8.75" customHeight="1">
      <c r="A234" s="31"/>
      <c r="B234" s="56" t="str">
        <f t="shared" si="6"/>
        <v>HMa15</v>
      </c>
      <c r="C234" s="57" t="s">
        <v>1942</v>
      </c>
      <c r="D234" s="56" t="s">
        <v>117</v>
      </c>
      <c r="E234" s="56" t="s">
        <v>40</v>
      </c>
      <c r="F234" s="56" t="s">
        <v>18</v>
      </c>
      <c r="G234" s="56" t="s">
        <v>118</v>
      </c>
      <c r="H234" s="56" t="s">
        <v>118</v>
      </c>
      <c r="I234" s="59">
        <v>38331.0</v>
      </c>
      <c r="J234" s="56">
        <f t="shared" si="4"/>
        <v>21</v>
      </c>
      <c r="K234" s="56">
        <v>3.321295156E9</v>
      </c>
      <c r="L234" s="60" t="s">
        <v>1943</v>
      </c>
      <c r="M234" s="59">
        <v>44249.0</v>
      </c>
      <c r="N234" s="60" t="s">
        <v>1915</v>
      </c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8.75" customHeight="1">
      <c r="A235" s="31"/>
      <c r="B235" s="56" t="str">
        <f t="shared" si="6"/>
        <v>HS38</v>
      </c>
      <c r="C235" s="57" t="s">
        <v>966</v>
      </c>
      <c r="D235" s="56" t="s">
        <v>117</v>
      </c>
      <c r="E235" s="56" t="s">
        <v>34</v>
      </c>
      <c r="F235" s="56" t="s">
        <v>43</v>
      </c>
      <c r="G235" s="56" t="s">
        <v>118</v>
      </c>
      <c r="H235" s="56" t="s">
        <v>118</v>
      </c>
      <c r="I235" s="59">
        <v>29939.0</v>
      </c>
      <c r="J235" s="56">
        <f t="shared" si="4"/>
        <v>44</v>
      </c>
      <c r="K235" s="56">
        <v>3.33118799E9</v>
      </c>
      <c r="L235" s="60" t="s">
        <v>691</v>
      </c>
      <c r="M235" s="59">
        <v>44310.0</v>
      </c>
      <c r="N235" s="60" t="s">
        <v>467</v>
      </c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8.75" customHeight="1">
      <c r="A236" s="31"/>
      <c r="B236" s="56" t="str">
        <f t="shared" si="6"/>
        <v>HS39</v>
      </c>
      <c r="C236" s="57" t="s">
        <v>624</v>
      </c>
      <c r="D236" s="56" t="s">
        <v>117</v>
      </c>
      <c r="E236" s="56" t="s">
        <v>40</v>
      </c>
      <c r="F236" s="56" t="s">
        <v>43</v>
      </c>
      <c r="G236" s="56" t="s">
        <v>118</v>
      </c>
      <c r="H236" s="56" t="s">
        <v>118</v>
      </c>
      <c r="I236" s="59">
        <v>36590.0</v>
      </c>
      <c r="J236" s="56">
        <f t="shared" si="4"/>
        <v>26</v>
      </c>
      <c r="K236" s="56">
        <v>3.333202989E9</v>
      </c>
      <c r="L236" s="60"/>
      <c r="M236" s="59">
        <v>44323.0</v>
      </c>
      <c r="N236" s="60" t="s">
        <v>625</v>
      </c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8.75" customHeight="1">
      <c r="A237" s="31"/>
      <c r="B237" s="56" t="str">
        <f t="shared" si="6"/>
        <v>HD29</v>
      </c>
      <c r="C237" s="57" t="s">
        <v>547</v>
      </c>
      <c r="D237" s="56" t="s">
        <v>117</v>
      </c>
      <c r="E237" s="56" t="s">
        <v>22</v>
      </c>
      <c r="F237" s="56" t="s">
        <v>49</v>
      </c>
      <c r="G237" s="56" t="s">
        <v>118</v>
      </c>
      <c r="H237" s="56" t="s">
        <v>118</v>
      </c>
      <c r="I237" s="59">
        <v>30946.0</v>
      </c>
      <c r="J237" s="56">
        <f t="shared" si="4"/>
        <v>41</v>
      </c>
      <c r="K237" s="56">
        <v>3.327162041E9</v>
      </c>
      <c r="L237" s="60" t="s">
        <v>548</v>
      </c>
      <c r="M237" s="59">
        <v>44319.0</v>
      </c>
      <c r="N237" s="60" t="s">
        <v>549</v>
      </c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8.75" customHeight="1">
      <c r="A238" s="31"/>
      <c r="B238" s="56" t="str">
        <f t="shared" si="6"/>
        <v>HV16</v>
      </c>
      <c r="C238" s="57" t="s">
        <v>329</v>
      </c>
      <c r="D238" s="56" t="s">
        <v>117</v>
      </c>
      <c r="E238" s="56" t="s">
        <v>40</v>
      </c>
      <c r="F238" s="56" t="s">
        <v>36</v>
      </c>
      <c r="G238" s="56" t="s">
        <v>118</v>
      </c>
      <c r="H238" s="56" t="s">
        <v>118</v>
      </c>
      <c r="I238" s="59">
        <v>39225.0</v>
      </c>
      <c r="J238" s="56">
        <f t="shared" si="4"/>
        <v>18</v>
      </c>
      <c r="K238" s="56">
        <v>3.328079212E9</v>
      </c>
      <c r="L238" s="60" t="s">
        <v>330</v>
      </c>
      <c r="M238" s="59">
        <v>44358.0</v>
      </c>
      <c r="N238" s="60" t="s">
        <v>202</v>
      </c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8.75" customHeight="1">
      <c r="A239" s="31"/>
      <c r="B239" s="56" t="str">
        <f t="shared" si="6"/>
        <v>HJ14</v>
      </c>
      <c r="C239" s="57" t="s">
        <v>308</v>
      </c>
      <c r="D239" s="56" t="s">
        <v>117</v>
      </c>
      <c r="E239" s="56" t="s">
        <v>28</v>
      </c>
      <c r="F239" s="56" t="s">
        <v>30</v>
      </c>
      <c r="G239" s="56" t="s">
        <v>118</v>
      </c>
      <c r="H239" s="56" t="s">
        <v>118</v>
      </c>
      <c r="I239" s="59"/>
      <c r="J239" s="56">
        <f t="shared" si="4"/>
        <v>126</v>
      </c>
      <c r="K239" s="56">
        <v>2.29258649E9</v>
      </c>
      <c r="L239" s="60" t="s">
        <v>309</v>
      </c>
      <c r="M239" s="59">
        <v>44362.0</v>
      </c>
      <c r="N239" s="60" t="s">
        <v>310</v>
      </c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8.75" customHeight="1">
      <c r="A240" s="31"/>
      <c r="B240" s="56" t="str">
        <f t="shared" si="6"/>
        <v>HMi11</v>
      </c>
      <c r="C240" s="57" t="s">
        <v>394</v>
      </c>
      <c r="D240" s="56" t="s">
        <v>117</v>
      </c>
      <c r="E240" s="56" t="s">
        <v>40</v>
      </c>
      <c r="F240" s="56" t="s">
        <v>24</v>
      </c>
      <c r="G240" s="56" t="s">
        <v>118</v>
      </c>
      <c r="H240" s="56" t="s">
        <v>118</v>
      </c>
      <c r="I240" s="59">
        <v>37488.0</v>
      </c>
      <c r="J240" s="56">
        <f t="shared" si="4"/>
        <v>23</v>
      </c>
      <c r="K240" s="56">
        <v>3.316709123E9</v>
      </c>
      <c r="L240" s="60" t="s">
        <v>395</v>
      </c>
      <c r="M240" s="59">
        <v>44410.0</v>
      </c>
      <c r="N240" s="60" t="s">
        <v>353</v>
      </c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8.75" customHeight="1">
      <c r="A241" s="31"/>
      <c r="B241" s="56" t="str">
        <f t="shared" si="6"/>
        <v>HMa16</v>
      </c>
      <c r="C241" s="57" t="s">
        <v>465</v>
      </c>
      <c r="D241" s="56" t="s">
        <v>117</v>
      </c>
      <c r="E241" s="56" t="s">
        <v>34</v>
      </c>
      <c r="F241" s="56" t="s">
        <v>18</v>
      </c>
      <c r="G241" s="56" t="s">
        <v>118</v>
      </c>
      <c r="H241" s="56" t="s">
        <v>118</v>
      </c>
      <c r="I241" s="59">
        <v>26702.0</v>
      </c>
      <c r="J241" s="56">
        <f t="shared" si="4"/>
        <v>53</v>
      </c>
      <c r="K241" s="56">
        <v>3.324179173E9</v>
      </c>
      <c r="L241" s="60" t="s">
        <v>466</v>
      </c>
      <c r="M241" s="59">
        <v>44411.0</v>
      </c>
      <c r="N241" s="60" t="s">
        <v>467</v>
      </c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8.75" customHeight="1">
      <c r="A242" s="31"/>
      <c r="B242" s="56" t="str">
        <f t="shared" si="6"/>
        <v>HMi12</v>
      </c>
      <c r="C242" s="57" t="s">
        <v>1098</v>
      </c>
      <c r="D242" s="56" t="s">
        <v>117</v>
      </c>
      <c r="E242" s="56" t="s">
        <v>22</v>
      </c>
      <c r="F242" s="56" t="s">
        <v>24</v>
      </c>
      <c r="G242" s="56" t="s">
        <v>118</v>
      </c>
      <c r="H242" s="56" t="s">
        <v>118</v>
      </c>
      <c r="I242" s="59">
        <v>28181.0</v>
      </c>
      <c r="J242" s="56">
        <f t="shared" si="4"/>
        <v>49</v>
      </c>
      <c r="K242" s="56">
        <v>3.310760575E9</v>
      </c>
      <c r="L242" s="60" t="s">
        <v>1099</v>
      </c>
      <c r="M242" s="59">
        <v>44428.0</v>
      </c>
      <c r="N242" s="60" t="s">
        <v>1100</v>
      </c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8.75" customHeight="1">
      <c r="A243" s="31"/>
      <c r="B243" s="56" t="str">
        <f t="shared" si="6"/>
        <v>MMa10</v>
      </c>
      <c r="C243" s="57" t="s">
        <v>1743</v>
      </c>
      <c r="D243" s="56" t="s">
        <v>128</v>
      </c>
      <c r="E243" s="56" t="s">
        <v>34</v>
      </c>
      <c r="F243" s="56" t="s">
        <v>18</v>
      </c>
      <c r="G243" s="56" t="s">
        <v>118</v>
      </c>
      <c r="H243" s="56" t="s">
        <v>118</v>
      </c>
      <c r="I243" s="59">
        <v>26483.0</v>
      </c>
      <c r="J243" s="56">
        <f t="shared" si="4"/>
        <v>53</v>
      </c>
      <c r="K243" s="56">
        <v>3.321319632E9</v>
      </c>
      <c r="L243" s="60" t="s">
        <v>653</v>
      </c>
      <c r="M243" s="59">
        <v>44425.0</v>
      </c>
      <c r="N243" s="60" t="s">
        <v>1744</v>
      </c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8.75" customHeight="1">
      <c r="A244" s="31"/>
      <c r="B244" s="56" t="str">
        <f t="shared" si="6"/>
        <v>MS35</v>
      </c>
      <c r="C244" s="57" t="s">
        <v>1177</v>
      </c>
      <c r="D244" s="56" t="s">
        <v>128</v>
      </c>
      <c r="E244" s="56" t="s">
        <v>40</v>
      </c>
      <c r="F244" s="56" t="s">
        <v>43</v>
      </c>
      <c r="G244" s="56" t="s">
        <v>118</v>
      </c>
      <c r="H244" s="56" t="s">
        <v>118</v>
      </c>
      <c r="I244" s="59">
        <v>39315.0</v>
      </c>
      <c r="J244" s="56">
        <f t="shared" si="4"/>
        <v>18</v>
      </c>
      <c r="K244" s="56">
        <v>5.562173928E9</v>
      </c>
      <c r="L244" s="60" t="s">
        <v>1178</v>
      </c>
      <c r="M244" s="59">
        <v>44467.0</v>
      </c>
      <c r="N244" s="60" t="s">
        <v>1179</v>
      </c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8.75" customHeight="1">
      <c r="A245" s="31"/>
      <c r="B245" s="56" t="str">
        <f t="shared" si="6"/>
        <v>HS40</v>
      </c>
      <c r="C245" s="57" t="s">
        <v>935</v>
      </c>
      <c r="D245" s="56" t="s">
        <v>117</v>
      </c>
      <c r="E245" s="56" t="s">
        <v>40</v>
      </c>
      <c r="F245" s="56" t="s">
        <v>43</v>
      </c>
      <c r="G245" s="56" t="s">
        <v>118</v>
      </c>
      <c r="H245" s="56" t="s">
        <v>118</v>
      </c>
      <c r="I245" s="59">
        <v>36865.0</v>
      </c>
      <c r="J245" s="56">
        <f t="shared" si="4"/>
        <v>25</v>
      </c>
      <c r="K245" s="56">
        <v>3.339057472E9</v>
      </c>
      <c r="L245" s="60" t="s">
        <v>936</v>
      </c>
      <c r="M245" s="59">
        <v>44481.0</v>
      </c>
      <c r="N245" s="60" t="s">
        <v>2267</v>
      </c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8.75" customHeight="1">
      <c r="A246" s="31"/>
      <c r="B246" s="56" t="str">
        <f t="shared" si="6"/>
        <v>MD15</v>
      </c>
      <c r="C246" s="57" t="s">
        <v>311</v>
      </c>
      <c r="D246" s="56" t="s">
        <v>128</v>
      </c>
      <c r="E246" s="56" t="s">
        <v>16</v>
      </c>
      <c r="F246" s="56" t="s">
        <v>49</v>
      </c>
      <c r="G246" s="56" t="s">
        <v>118</v>
      </c>
      <c r="H246" s="56" t="s">
        <v>118</v>
      </c>
      <c r="I246" s="59">
        <v>23729.0</v>
      </c>
      <c r="J246" s="56">
        <f t="shared" si="4"/>
        <v>61</v>
      </c>
      <c r="K246" s="56">
        <v>3.313678716E9</v>
      </c>
      <c r="L246" s="60" t="s">
        <v>312</v>
      </c>
      <c r="M246" s="59">
        <v>44500.0</v>
      </c>
      <c r="N246" s="60" t="s">
        <v>1918</v>
      </c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8.75" customHeight="1">
      <c r="A247" s="31"/>
      <c r="B247" s="56" t="str">
        <f t="shared" si="6"/>
        <v>MS36</v>
      </c>
      <c r="C247" s="57" t="s">
        <v>513</v>
      </c>
      <c r="D247" s="56" t="s">
        <v>128</v>
      </c>
      <c r="E247" s="56" t="s">
        <v>40</v>
      </c>
      <c r="F247" s="56" t="s">
        <v>43</v>
      </c>
      <c r="G247" s="56" t="s">
        <v>118</v>
      </c>
      <c r="H247" s="56" t="s">
        <v>118</v>
      </c>
      <c r="I247" s="59">
        <v>38908.0</v>
      </c>
      <c r="J247" s="56">
        <f t="shared" si="4"/>
        <v>19</v>
      </c>
      <c r="K247" s="56"/>
      <c r="L247" s="60" t="s">
        <v>514</v>
      </c>
      <c r="M247" s="59">
        <v>44512.0</v>
      </c>
      <c r="N247" s="60" t="s">
        <v>515</v>
      </c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8.75" customHeight="1">
      <c r="A248" s="31"/>
      <c r="B248" s="56" t="str">
        <f t="shared" si="6"/>
        <v>HS41</v>
      </c>
      <c r="C248" s="57" t="s">
        <v>1070</v>
      </c>
      <c r="D248" s="56" t="s">
        <v>117</v>
      </c>
      <c r="E248" s="56" t="s">
        <v>40</v>
      </c>
      <c r="F248" s="56" t="s">
        <v>43</v>
      </c>
      <c r="G248" s="56" t="s">
        <v>118</v>
      </c>
      <c r="H248" s="56" t="s">
        <v>118</v>
      </c>
      <c r="I248" s="59">
        <v>39265.0</v>
      </c>
      <c r="J248" s="56">
        <f t="shared" si="4"/>
        <v>18</v>
      </c>
      <c r="K248" s="56"/>
      <c r="L248" s="60" t="s">
        <v>1071</v>
      </c>
      <c r="M248" s="59">
        <v>44512.0</v>
      </c>
      <c r="N248" s="60" t="s">
        <v>515</v>
      </c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8.75" customHeight="1">
      <c r="A249" s="31"/>
      <c r="B249" s="56"/>
      <c r="C249" s="57" t="s">
        <v>556</v>
      </c>
      <c r="D249" s="56" t="s">
        <v>117</v>
      </c>
      <c r="E249" s="56" t="s">
        <v>40</v>
      </c>
      <c r="F249" s="56" t="s">
        <v>43</v>
      </c>
      <c r="G249" s="56" t="s">
        <v>118</v>
      </c>
      <c r="H249" s="56" t="s">
        <v>118</v>
      </c>
      <c r="I249" s="59">
        <v>39314.0</v>
      </c>
      <c r="J249" s="56"/>
      <c r="K249" s="56"/>
      <c r="L249" s="60" t="s">
        <v>555</v>
      </c>
      <c r="M249" s="59">
        <v>44548.0</v>
      </c>
      <c r="N249" s="60" t="s">
        <v>218</v>
      </c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8.75" customHeight="1">
      <c r="A250" s="31"/>
      <c r="B250" s="56" t="str">
        <f t="shared" ref="B250:B308" si="7">IF(C250="","",D250&amp;F250&amp;COUNTIFS($D$4:D250,D250,$F$4:F250,F250))</f>
        <v>MS37</v>
      </c>
      <c r="C250" s="57" t="s">
        <v>606</v>
      </c>
      <c r="D250" s="56" t="s">
        <v>128</v>
      </c>
      <c r="E250" s="56" t="s">
        <v>40</v>
      </c>
      <c r="F250" s="56" t="s">
        <v>43</v>
      </c>
      <c r="G250" s="56" t="s">
        <v>118</v>
      </c>
      <c r="H250" s="56" t="s">
        <v>118</v>
      </c>
      <c r="I250" s="59">
        <v>36699.0</v>
      </c>
      <c r="J250" s="56">
        <f t="shared" ref="J250:J308" si="8">IF(C250="","",DATEDIF(I250,TODAY(),"Y"))</f>
        <v>25</v>
      </c>
      <c r="K250" s="56">
        <v>3.314824413E9</v>
      </c>
      <c r="L250" s="60" t="s">
        <v>607</v>
      </c>
      <c r="M250" s="59">
        <v>44557.0</v>
      </c>
      <c r="N250" s="60" t="s">
        <v>608</v>
      </c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8.75" customHeight="1">
      <c r="A251" s="31"/>
      <c r="B251" s="56" t="str">
        <f t="shared" si="7"/>
        <v>HJ15</v>
      </c>
      <c r="C251" s="57" t="s">
        <v>1536</v>
      </c>
      <c r="D251" s="56" t="s">
        <v>117</v>
      </c>
      <c r="E251" s="56" t="s">
        <v>40</v>
      </c>
      <c r="F251" s="56" t="s">
        <v>30</v>
      </c>
      <c r="G251" s="56" t="s">
        <v>118</v>
      </c>
      <c r="H251" s="56" t="s">
        <v>118</v>
      </c>
      <c r="I251" s="59">
        <v>39404.0</v>
      </c>
      <c r="J251" s="56">
        <f t="shared" si="8"/>
        <v>18</v>
      </c>
      <c r="K251" s="56">
        <v>3.336438343E9</v>
      </c>
      <c r="L251" s="60" t="s">
        <v>1537</v>
      </c>
      <c r="M251" s="59">
        <v>44531.0</v>
      </c>
      <c r="N251" s="60" t="s">
        <v>202</v>
      </c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8.75" customHeight="1">
      <c r="A252" s="31"/>
      <c r="B252" s="56" t="str">
        <f t="shared" si="7"/>
        <v>HMi13</v>
      </c>
      <c r="C252" s="57" t="s">
        <v>914</v>
      </c>
      <c r="D252" s="56" t="s">
        <v>117</v>
      </c>
      <c r="E252" s="56" t="s">
        <v>16</v>
      </c>
      <c r="F252" s="56" t="s">
        <v>24</v>
      </c>
      <c r="G252" s="56" t="s">
        <v>118</v>
      </c>
      <c r="H252" s="56" t="s">
        <v>118</v>
      </c>
      <c r="I252" s="59">
        <v>18516.0</v>
      </c>
      <c r="J252" s="56">
        <f t="shared" si="8"/>
        <v>75</v>
      </c>
      <c r="K252" s="56">
        <v>3.326790479E9</v>
      </c>
      <c r="L252" s="60" t="s">
        <v>915</v>
      </c>
      <c r="M252" s="59">
        <v>44531.0</v>
      </c>
      <c r="N252" s="60" t="s">
        <v>916</v>
      </c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8.75" customHeight="1">
      <c r="A253" s="31"/>
      <c r="B253" s="56" t="str">
        <f t="shared" si="7"/>
        <v>HS43</v>
      </c>
      <c r="C253" s="57" t="s">
        <v>2165</v>
      </c>
      <c r="D253" s="56" t="s">
        <v>117</v>
      </c>
      <c r="E253" s="56" t="s">
        <v>40</v>
      </c>
      <c r="F253" s="56" t="s">
        <v>43</v>
      </c>
      <c r="G253" s="56" t="s">
        <v>118</v>
      </c>
      <c r="H253" s="56" t="s">
        <v>118</v>
      </c>
      <c r="I253" s="59">
        <v>39351.0</v>
      </c>
      <c r="J253" s="56">
        <f t="shared" si="8"/>
        <v>18</v>
      </c>
      <c r="K253" s="56">
        <v>3.334936229E9</v>
      </c>
      <c r="L253" s="60" t="s">
        <v>2166</v>
      </c>
      <c r="M253" s="59">
        <v>44547.0</v>
      </c>
      <c r="N253" s="60" t="s">
        <v>218</v>
      </c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8.75" customHeight="1">
      <c r="A254" s="31"/>
      <c r="B254" s="56" t="str">
        <f t="shared" si="7"/>
        <v>MJ19</v>
      </c>
      <c r="C254" s="57" t="s">
        <v>564</v>
      </c>
      <c r="D254" s="56" t="s">
        <v>128</v>
      </c>
      <c r="E254" s="56" t="s">
        <v>40</v>
      </c>
      <c r="F254" s="56" t="s">
        <v>30</v>
      </c>
      <c r="G254" s="56" t="s">
        <v>118</v>
      </c>
      <c r="H254" s="56" t="s">
        <v>118</v>
      </c>
      <c r="I254" s="59">
        <v>35911.0</v>
      </c>
      <c r="J254" s="56">
        <f t="shared" si="8"/>
        <v>27</v>
      </c>
      <c r="K254" s="56">
        <v>3.312688826E9</v>
      </c>
      <c r="L254" s="60" t="s">
        <v>565</v>
      </c>
      <c r="M254" s="59">
        <v>44550.0</v>
      </c>
      <c r="N254" s="60" t="s">
        <v>566</v>
      </c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8.75" customHeight="1">
      <c r="A255" s="31"/>
      <c r="B255" s="56" t="str">
        <f t="shared" si="7"/>
        <v>MV16</v>
      </c>
      <c r="C255" s="57" t="s">
        <v>1223</v>
      </c>
      <c r="D255" s="56" t="s">
        <v>128</v>
      </c>
      <c r="E255" s="56" t="s">
        <v>22</v>
      </c>
      <c r="F255" s="56" t="s">
        <v>36</v>
      </c>
      <c r="G255" s="56" t="s">
        <v>118</v>
      </c>
      <c r="H255" s="56" t="s">
        <v>118</v>
      </c>
      <c r="I255" s="59">
        <v>31495.0</v>
      </c>
      <c r="J255" s="56">
        <f t="shared" si="8"/>
        <v>40</v>
      </c>
      <c r="K255" s="56">
        <v>3.333930369E9</v>
      </c>
      <c r="L255" s="60" t="s">
        <v>1224</v>
      </c>
      <c r="M255" s="59">
        <v>44617.0</v>
      </c>
      <c r="N255" s="60" t="s">
        <v>1225</v>
      </c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8.75" customHeight="1">
      <c r="A256" s="31"/>
      <c r="B256" s="56" t="str">
        <f t="shared" si="7"/>
        <v>HJ16</v>
      </c>
      <c r="C256" s="57" t="s">
        <v>1466</v>
      </c>
      <c r="D256" s="56" t="s">
        <v>117</v>
      </c>
      <c r="E256" s="56" t="s">
        <v>40</v>
      </c>
      <c r="F256" s="56" t="s">
        <v>30</v>
      </c>
      <c r="G256" s="56" t="s">
        <v>118</v>
      </c>
      <c r="H256" s="56" t="s">
        <v>118</v>
      </c>
      <c r="I256" s="59">
        <v>39004.0</v>
      </c>
      <c r="J256" s="56">
        <f t="shared" si="8"/>
        <v>19</v>
      </c>
      <c r="K256" s="56">
        <v>3.333367427E9</v>
      </c>
      <c r="L256" s="60" t="s">
        <v>1467</v>
      </c>
      <c r="M256" s="59">
        <v>44602.0</v>
      </c>
      <c r="N256" s="60" t="s">
        <v>493</v>
      </c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8.75" customHeight="1">
      <c r="A257" s="31"/>
      <c r="B257" s="56" t="str">
        <f t="shared" si="7"/>
        <v>HS44</v>
      </c>
      <c r="C257" s="57" t="s">
        <v>491</v>
      </c>
      <c r="D257" s="56" t="s">
        <v>117</v>
      </c>
      <c r="E257" s="56" t="s">
        <v>40</v>
      </c>
      <c r="F257" s="56" t="s">
        <v>43</v>
      </c>
      <c r="G257" s="56" t="s">
        <v>118</v>
      </c>
      <c r="H257" s="56" t="s">
        <v>118</v>
      </c>
      <c r="I257" s="59">
        <v>39219.0</v>
      </c>
      <c r="J257" s="56">
        <f t="shared" si="8"/>
        <v>18</v>
      </c>
      <c r="K257" s="56"/>
      <c r="L257" s="60" t="s">
        <v>492</v>
      </c>
      <c r="M257" s="59">
        <v>44605.0</v>
      </c>
      <c r="N257" s="60" t="s">
        <v>493</v>
      </c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8.75" customHeight="1">
      <c r="A258" s="31"/>
      <c r="B258" s="56" t="str">
        <f t="shared" si="7"/>
        <v>MS38</v>
      </c>
      <c r="C258" s="57" t="s">
        <v>1604</v>
      </c>
      <c r="D258" s="56" t="s">
        <v>128</v>
      </c>
      <c r="E258" s="56" t="s">
        <v>40</v>
      </c>
      <c r="F258" s="56" t="s">
        <v>43</v>
      </c>
      <c r="G258" s="56" t="s">
        <v>118</v>
      </c>
      <c r="H258" s="56" t="s">
        <v>118</v>
      </c>
      <c r="I258" s="59">
        <v>38225.0</v>
      </c>
      <c r="J258" s="56">
        <f t="shared" si="8"/>
        <v>21</v>
      </c>
      <c r="K258" s="56">
        <v>3.315965188E9</v>
      </c>
      <c r="L258" s="60" t="s">
        <v>1605</v>
      </c>
      <c r="M258" s="59">
        <v>44610.0</v>
      </c>
      <c r="N258" s="60" t="s">
        <v>136</v>
      </c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8.75" customHeight="1">
      <c r="A259" s="31"/>
      <c r="B259" s="56" t="str">
        <f t="shared" si="7"/>
        <v>HS45</v>
      </c>
      <c r="C259" s="57" t="s">
        <v>1800</v>
      </c>
      <c r="D259" s="56" t="s">
        <v>117</v>
      </c>
      <c r="E259" s="56" t="s">
        <v>40</v>
      </c>
      <c r="F259" s="56" t="s">
        <v>43</v>
      </c>
      <c r="G259" s="56" t="s">
        <v>118</v>
      </c>
      <c r="H259" s="56" t="s">
        <v>118</v>
      </c>
      <c r="I259" s="59">
        <v>39344.0</v>
      </c>
      <c r="J259" s="56">
        <f t="shared" si="8"/>
        <v>18</v>
      </c>
      <c r="K259" s="56"/>
      <c r="L259" s="60" t="s">
        <v>1801</v>
      </c>
      <c r="M259" s="59">
        <v>44617.0</v>
      </c>
      <c r="N259" s="60" t="s">
        <v>493</v>
      </c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8.75" customHeight="1">
      <c r="A260" s="31"/>
      <c r="B260" s="56" t="str">
        <f t="shared" si="7"/>
        <v>MS39</v>
      </c>
      <c r="C260" s="57" t="s">
        <v>1712</v>
      </c>
      <c r="D260" s="56" t="s">
        <v>128</v>
      </c>
      <c r="E260" s="56" t="s">
        <v>40</v>
      </c>
      <c r="F260" s="56" t="s">
        <v>43</v>
      </c>
      <c r="G260" s="56" t="s">
        <v>118</v>
      </c>
      <c r="H260" s="56" t="s">
        <v>118</v>
      </c>
      <c r="I260" s="59">
        <v>38253.0</v>
      </c>
      <c r="J260" s="56">
        <f t="shared" si="8"/>
        <v>21</v>
      </c>
      <c r="K260" s="56">
        <v>3.322209501E9</v>
      </c>
      <c r="L260" s="60" t="s">
        <v>1713</v>
      </c>
      <c r="M260" s="59">
        <v>44612.0</v>
      </c>
      <c r="N260" s="60" t="s">
        <v>136</v>
      </c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8.75" customHeight="1">
      <c r="A261" s="31"/>
      <c r="B261" s="56" t="str">
        <f t="shared" si="7"/>
        <v>HS46</v>
      </c>
      <c r="C261" s="57" t="s">
        <v>856</v>
      </c>
      <c r="D261" s="56" t="s">
        <v>117</v>
      </c>
      <c r="E261" s="56" t="s">
        <v>34</v>
      </c>
      <c r="F261" s="56" t="s">
        <v>43</v>
      </c>
      <c r="G261" s="56" t="s">
        <v>118</v>
      </c>
      <c r="H261" s="56" t="s">
        <v>118</v>
      </c>
      <c r="I261" s="59">
        <v>16232.0</v>
      </c>
      <c r="J261" s="56">
        <f t="shared" si="8"/>
        <v>81</v>
      </c>
      <c r="K261" s="56">
        <v>3.329216786E9</v>
      </c>
      <c r="L261" s="60" t="s">
        <v>857</v>
      </c>
      <c r="M261" s="59">
        <v>44621.0</v>
      </c>
      <c r="N261" s="60" t="s">
        <v>2268</v>
      </c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8.75" customHeight="1">
      <c r="A262" s="31"/>
      <c r="B262" s="56" t="str">
        <f t="shared" si="7"/>
        <v>HS47</v>
      </c>
      <c r="C262" s="57" t="s">
        <v>965</v>
      </c>
      <c r="D262" s="56" t="s">
        <v>117</v>
      </c>
      <c r="E262" s="56" t="s">
        <v>40</v>
      </c>
      <c r="F262" s="56" t="s">
        <v>43</v>
      </c>
      <c r="G262" s="56" t="s">
        <v>118</v>
      </c>
      <c r="H262" s="56" t="s">
        <v>118</v>
      </c>
      <c r="I262" s="59">
        <v>39507.0</v>
      </c>
      <c r="J262" s="56">
        <f t="shared" si="8"/>
        <v>18</v>
      </c>
      <c r="K262" s="56"/>
      <c r="L262" s="60"/>
      <c r="M262" s="59">
        <v>44650.0</v>
      </c>
      <c r="N262" s="60" t="s">
        <v>493</v>
      </c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8.75" customHeight="1">
      <c r="A263" s="31"/>
      <c r="B263" s="56" t="str">
        <f t="shared" si="7"/>
        <v>HV17</v>
      </c>
      <c r="C263" s="57" t="s">
        <v>874</v>
      </c>
      <c r="D263" s="56" t="s">
        <v>117</v>
      </c>
      <c r="E263" s="56" t="s">
        <v>40</v>
      </c>
      <c r="F263" s="56" t="s">
        <v>36</v>
      </c>
      <c r="G263" s="56" t="s">
        <v>118</v>
      </c>
      <c r="H263" s="56" t="s">
        <v>118</v>
      </c>
      <c r="I263" s="59">
        <v>39354.0</v>
      </c>
      <c r="J263" s="56">
        <f t="shared" si="8"/>
        <v>18</v>
      </c>
      <c r="K263" s="56"/>
      <c r="L263" s="60" t="s">
        <v>875</v>
      </c>
      <c r="M263" s="59">
        <v>44650.0</v>
      </c>
      <c r="N263" s="60" t="s">
        <v>493</v>
      </c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8.75" customHeight="1">
      <c r="A264" s="31"/>
      <c r="B264" s="56" t="str">
        <f t="shared" si="7"/>
        <v>HS48</v>
      </c>
      <c r="C264" s="57" t="s">
        <v>1018</v>
      </c>
      <c r="D264" s="56" t="s">
        <v>117</v>
      </c>
      <c r="E264" s="56" t="s">
        <v>40</v>
      </c>
      <c r="F264" s="56" t="s">
        <v>43</v>
      </c>
      <c r="G264" s="56" t="s">
        <v>118</v>
      </c>
      <c r="H264" s="56" t="s">
        <v>118</v>
      </c>
      <c r="I264" s="59">
        <v>39420.0</v>
      </c>
      <c r="J264" s="56">
        <f t="shared" si="8"/>
        <v>18</v>
      </c>
      <c r="K264" s="56"/>
      <c r="L264" s="60" t="s">
        <v>1019</v>
      </c>
      <c r="M264" s="59">
        <v>44649.0</v>
      </c>
      <c r="N264" s="60" t="s">
        <v>493</v>
      </c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8.75" customHeight="1">
      <c r="A265" s="31"/>
      <c r="B265" s="56" t="str">
        <f t="shared" si="7"/>
        <v>MD16</v>
      </c>
      <c r="C265" s="57" t="s">
        <v>1126</v>
      </c>
      <c r="D265" s="56" t="s">
        <v>128</v>
      </c>
      <c r="E265" s="56" t="s">
        <v>34</v>
      </c>
      <c r="F265" s="56" t="s">
        <v>49</v>
      </c>
      <c r="G265" s="56" t="s">
        <v>118</v>
      </c>
      <c r="H265" s="56" t="s">
        <v>118</v>
      </c>
      <c r="I265" s="59">
        <v>25798.0</v>
      </c>
      <c r="J265" s="56">
        <f t="shared" si="8"/>
        <v>55</v>
      </c>
      <c r="K265" s="56">
        <v>3.324420906E9</v>
      </c>
      <c r="L265" s="60" t="s">
        <v>1127</v>
      </c>
      <c r="M265" s="59">
        <v>44633.0</v>
      </c>
      <c r="N265" s="60" t="s">
        <v>625</v>
      </c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8.75" customHeight="1">
      <c r="A266" s="31"/>
      <c r="B266" s="56" t="str">
        <f t="shared" si="7"/>
        <v>MMi15</v>
      </c>
      <c r="C266" s="57" t="s">
        <v>1707</v>
      </c>
      <c r="D266" s="56" t="s">
        <v>128</v>
      </c>
      <c r="E266" s="56" t="s">
        <v>34</v>
      </c>
      <c r="F266" s="56" t="s">
        <v>24</v>
      </c>
      <c r="G266" s="56" t="s">
        <v>118</v>
      </c>
      <c r="H266" s="56" t="s">
        <v>118</v>
      </c>
      <c r="I266" s="59">
        <v>28408.0</v>
      </c>
      <c r="J266" s="56">
        <f t="shared" si="8"/>
        <v>48</v>
      </c>
      <c r="K266" s="56">
        <v>3.312197058E9</v>
      </c>
      <c r="L266" s="60" t="s">
        <v>1708</v>
      </c>
      <c r="M266" s="59">
        <v>44634.0</v>
      </c>
      <c r="N266" s="60" t="s">
        <v>195</v>
      </c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8.75" customHeight="1">
      <c r="A267" s="31"/>
      <c r="B267" s="56" t="str">
        <f t="shared" si="7"/>
        <v>MMi16</v>
      </c>
      <c r="C267" s="57" t="s">
        <v>134</v>
      </c>
      <c r="D267" s="56" t="s">
        <v>128</v>
      </c>
      <c r="E267" s="56" t="s">
        <v>40</v>
      </c>
      <c r="F267" s="56" t="s">
        <v>24</v>
      </c>
      <c r="G267" s="56" t="s">
        <v>118</v>
      </c>
      <c r="H267" s="56" t="s">
        <v>118</v>
      </c>
      <c r="I267" s="59">
        <v>38541.0</v>
      </c>
      <c r="J267" s="56">
        <f t="shared" si="8"/>
        <v>20</v>
      </c>
      <c r="K267" s="56">
        <v>3.325006442E9</v>
      </c>
      <c r="L267" s="60" t="s">
        <v>135</v>
      </c>
      <c r="M267" s="59">
        <v>44643.0</v>
      </c>
      <c r="N267" s="60" t="s">
        <v>136</v>
      </c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8.75" customHeight="1">
      <c r="A268" s="31"/>
      <c r="B268" s="56" t="str">
        <f t="shared" si="7"/>
        <v>MMi17</v>
      </c>
      <c r="C268" s="57" t="s">
        <v>193</v>
      </c>
      <c r="D268" s="56" t="s">
        <v>128</v>
      </c>
      <c r="E268" s="56" t="s">
        <v>34</v>
      </c>
      <c r="F268" s="56" t="s">
        <v>24</v>
      </c>
      <c r="G268" s="56" t="s">
        <v>118</v>
      </c>
      <c r="H268" s="56" t="s">
        <v>118</v>
      </c>
      <c r="I268" s="59">
        <v>30269.0</v>
      </c>
      <c r="J268" s="56">
        <f t="shared" si="8"/>
        <v>43</v>
      </c>
      <c r="K268" s="56">
        <v>3.333389355E9</v>
      </c>
      <c r="L268" s="60" t="s">
        <v>194</v>
      </c>
      <c r="M268" s="59">
        <v>44631.0</v>
      </c>
      <c r="N268" s="60" t="s">
        <v>195</v>
      </c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8.75" customHeight="1">
      <c r="A269" s="31"/>
      <c r="B269" s="56" t="str">
        <f t="shared" si="7"/>
        <v>HV18</v>
      </c>
      <c r="C269" s="57" t="s">
        <v>1563</v>
      </c>
      <c r="D269" s="56" t="s">
        <v>117</v>
      </c>
      <c r="E269" s="56" t="s">
        <v>40</v>
      </c>
      <c r="F269" s="56" t="s">
        <v>36</v>
      </c>
      <c r="G269" s="56" t="s">
        <v>118</v>
      </c>
      <c r="H269" s="56" t="s">
        <v>118</v>
      </c>
      <c r="I269" s="59">
        <v>39346.0</v>
      </c>
      <c r="J269" s="56">
        <f t="shared" si="8"/>
        <v>18</v>
      </c>
      <c r="K269" s="56">
        <v>3.32321887E9</v>
      </c>
      <c r="L269" s="60" t="s">
        <v>605</v>
      </c>
      <c r="M269" s="59">
        <v>44658.0</v>
      </c>
      <c r="N269" s="60" t="s">
        <v>218</v>
      </c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8.75" customHeight="1">
      <c r="A270" s="31"/>
      <c r="B270" s="56" t="str">
        <f t="shared" si="7"/>
        <v>HMi14</v>
      </c>
      <c r="C270" s="57" t="s">
        <v>1375</v>
      </c>
      <c r="D270" s="56" t="s">
        <v>117</v>
      </c>
      <c r="E270" s="56" t="s">
        <v>28</v>
      </c>
      <c r="F270" s="56" t="s">
        <v>24</v>
      </c>
      <c r="G270" s="56" t="s">
        <v>118</v>
      </c>
      <c r="H270" s="56" t="s">
        <v>118</v>
      </c>
      <c r="I270" s="59">
        <v>35840.0</v>
      </c>
      <c r="J270" s="56">
        <f t="shared" si="8"/>
        <v>28</v>
      </c>
      <c r="K270" s="56">
        <v>3.33355831E9</v>
      </c>
      <c r="L270" s="60" t="s">
        <v>373</v>
      </c>
      <c r="M270" s="59">
        <v>44668.0</v>
      </c>
      <c r="N270" s="60" t="s">
        <v>1376</v>
      </c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8.75" customHeight="1">
      <c r="A271" s="31"/>
      <c r="B271" s="56" t="str">
        <f t="shared" si="7"/>
        <v>ML5</v>
      </c>
      <c r="C271" s="57" t="s">
        <v>1143</v>
      </c>
      <c r="D271" s="56" t="s">
        <v>128</v>
      </c>
      <c r="E271" s="56" t="s">
        <v>34</v>
      </c>
      <c r="F271" s="56" t="s">
        <v>12</v>
      </c>
      <c r="G271" s="56" t="s">
        <v>118</v>
      </c>
      <c r="H271" s="56" t="s">
        <v>118</v>
      </c>
      <c r="I271" s="59">
        <v>29232.0</v>
      </c>
      <c r="J271" s="56">
        <f t="shared" si="8"/>
        <v>46</v>
      </c>
      <c r="K271" s="56">
        <v>2.251110142E9</v>
      </c>
      <c r="L271" s="60" t="s">
        <v>1144</v>
      </c>
      <c r="M271" s="59">
        <v>44669.0</v>
      </c>
      <c r="N271" s="60" t="s">
        <v>275</v>
      </c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8.75" customHeight="1">
      <c r="A272" s="31"/>
      <c r="B272" s="56" t="str">
        <f t="shared" si="7"/>
        <v>HS49</v>
      </c>
      <c r="C272" s="57" t="s">
        <v>1995</v>
      </c>
      <c r="D272" s="56" t="s">
        <v>117</v>
      </c>
      <c r="E272" s="56" t="s">
        <v>40</v>
      </c>
      <c r="F272" s="56" t="s">
        <v>43</v>
      </c>
      <c r="G272" s="56" t="s">
        <v>118</v>
      </c>
      <c r="H272" s="56" t="s">
        <v>118</v>
      </c>
      <c r="I272" s="59">
        <v>34323.0</v>
      </c>
      <c r="J272" s="56">
        <f t="shared" si="8"/>
        <v>32</v>
      </c>
      <c r="K272" s="56">
        <v>3.312070604E9</v>
      </c>
      <c r="L272" s="60" t="s">
        <v>1996</v>
      </c>
      <c r="M272" s="59">
        <v>44670.0</v>
      </c>
      <c r="N272" s="60" t="s">
        <v>310</v>
      </c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8.75" customHeight="1">
      <c r="A273" s="31"/>
      <c r="B273" s="56" t="str">
        <f t="shared" si="7"/>
        <v>HD30</v>
      </c>
      <c r="C273" s="57" t="s">
        <v>473</v>
      </c>
      <c r="D273" s="56" t="s">
        <v>117</v>
      </c>
      <c r="E273" s="56" t="s">
        <v>40</v>
      </c>
      <c r="F273" s="56" t="s">
        <v>49</v>
      </c>
      <c r="G273" s="56" t="s">
        <v>118</v>
      </c>
      <c r="H273" s="56" t="s">
        <v>118</v>
      </c>
      <c r="I273" s="59">
        <v>39554.0</v>
      </c>
      <c r="J273" s="56">
        <f t="shared" si="8"/>
        <v>18</v>
      </c>
      <c r="K273" s="56">
        <v>3.31014785E9</v>
      </c>
      <c r="L273" s="60" t="s">
        <v>474</v>
      </c>
      <c r="M273" s="59">
        <v>44680.0</v>
      </c>
      <c r="N273" s="60" t="s">
        <v>218</v>
      </c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8.75" customHeight="1">
      <c r="A274" s="31"/>
      <c r="B274" s="56" t="str">
        <f t="shared" si="7"/>
        <v>HV19</v>
      </c>
      <c r="C274" s="57" t="s">
        <v>645</v>
      </c>
      <c r="D274" s="56" t="s">
        <v>117</v>
      </c>
      <c r="E274" s="56" t="s">
        <v>40</v>
      </c>
      <c r="F274" s="56" t="s">
        <v>36</v>
      </c>
      <c r="G274" s="56" t="s">
        <v>118</v>
      </c>
      <c r="H274" s="56" t="s">
        <v>118</v>
      </c>
      <c r="I274" s="59">
        <v>38839.0</v>
      </c>
      <c r="J274" s="56">
        <f t="shared" si="8"/>
        <v>19</v>
      </c>
      <c r="K274" s="56">
        <v>3.325700229E9</v>
      </c>
      <c r="L274" s="60" t="s">
        <v>646</v>
      </c>
      <c r="M274" s="59">
        <v>44680.0</v>
      </c>
      <c r="N274" s="60" t="s">
        <v>218</v>
      </c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8.75" customHeight="1">
      <c r="A275" s="31"/>
      <c r="B275" s="56" t="str">
        <f t="shared" si="7"/>
        <v>MV17</v>
      </c>
      <c r="C275" s="57" t="s">
        <v>921</v>
      </c>
      <c r="D275" s="56" t="s">
        <v>128</v>
      </c>
      <c r="E275" s="56" t="s">
        <v>40</v>
      </c>
      <c r="F275" s="56" t="s">
        <v>36</v>
      </c>
      <c r="G275" s="56" t="s">
        <v>118</v>
      </c>
      <c r="H275" s="56" t="s">
        <v>118</v>
      </c>
      <c r="I275" s="59">
        <v>39504.0</v>
      </c>
      <c r="J275" s="56">
        <f t="shared" si="8"/>
        <v>18</v>
      </c>
      <c r="K275" s="56">
        <v>3.325214476E9</v>
      </c>
      <c r="L275" s="60" t="s">
        <v>922</v>
      </c>
      <c r="M275" s="59">
        <v>44677.0</v>
      </c>
      <c r="N275" s="60" t="s">
        <v>2269</v>
      </c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8.75" customHeight="1">
      <c r="A276" s="31"/>
      <c r="B276" s="56" t="str">
        <f t="shared" si="7"/>
        <v>HMa17</v>
      </c>
      <c r="C276" s="57" t="s">
        <v>1940</v>
      </c>
      <c r="D276" s="56" t="s">
        <v>117</v>
      </c>
      <c r="E276" s="56" t="s">
        <v>40</v>
      </c>
      <c r="F276" s="56" t="s">
        <v>18</v>
      </c>
      <c r="G276" s="56" t="s">
        <v>118</v>
      </c>
      <c r="H276" s="56" t="s">
        <v>118</v>
      </c>
      <c r="I276" s="59">
        <v>39342.0</v>
      </c>
      <c r="J276" s="56">
        <f t="shared" si="8"/>
        <v>18</v>
      </c>
      <c r="K276" s="56"/>
      <c r="L276" s="60" t="s">
        <v>1941</v>
      </c>
      <c r="M276" s="59">
        <v>44660.0</v>
      </c>
      <c r="N276" s="60" t="s">
        <v>218</v>
      </c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8.75" customHeight="1">
      <c r="A277" s="31"/>
      <c r="B277" s="56" t="str">
        <f t="shared" si="7"/>
        <v>HV20</v>
      </c>
      <c r="C277" s="57" t="s">
        <v>1464</v>
      </c>
      <c r="D277" s="56" t="s">
        <v>117</v>
      </c>
      <c r="E277" s="56" t="s">
        <v>40</v>
      </c>
      <c r="F277" s="56" t="s">
        <v>36</v>
      </c>
      <c r="G277" s="56" t="s">
        <v>118</v>
      </c>
      <c r="H277" s="56" t="s">
        <v>118</v>
      </c>
      <c r="I277" s="59">
        <v>39296.0</v>
      </c>
      <c r="J277" s="56">
        <f t="shared" si="8"/>
        <v>18</v>
      </c>
      <c r="K277" s="56">
        <v>3.318412959E9</v>
      </c>
      <c r="L277" s="60" t="s">
        <v>1465</v>
      </c>
      <c r="M277" s="59">
        <v>44652.0</v>
      </c>
      <c r="N277" s="60" t="s">
        <v>218</v>
      </c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8.75" customHeight="1">
      <c r="A278" s="31"/>
      <c r="B278" s="56" t="str">
        <f t="shared" si="7"/>
        <v>HV21</v>
      </c>
      <c r="C278" s="57" t="s">
        <v>881</v>
      </c>
      <c r="D278" s="56" t="s">
        <v>117</v>
      </c>
      <c r="E278" s="56" t="s">
        <v>40</v>
      </c>
      <c r="F278" s="56" t="s">
        <v>36</v>
      </c>
      <c r="G278" s="56" t="s">
        <v>118</v>
      </c>
      <c r="H278" s="56" t="s">
        <v>118</v>
      </c>
      <c r="I278" s="59">
        <v>39191.0</v>
      </c>
      <c r="J278" s="56">
        <f t="shared" si="8"/>
        <v>19</v>
      </c>
      <c r="K278" s="56">
        <v>3.322197141E9</v>
      </c>
      <c r="L278" s="60" t="s">
        <v>882</v>
      </c>
      <c r="M278" s="59">
        <v>44652.0</v>
      </c>
      <c r="N278" s="60" t="s">
        <v>218</v>
      </c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8.75" customHeight="1">
      <c r="A279" s="31"/>
      <c r="B279" s="56" t="str">
        <f t="shared" si="7"/>
        <v>HV22</v>
      </c>
      <c r="C279" s="57" t="s">
        <v>1734</v>
      </c>
      <c r="D279" s="56" t="s">
        <v>117</v>
      </c>
      <c r="E279" s="56" t="s">
        <v>40</v>
      </c>
      <c r="F279" s="56" t="s">
        <v>36</v>
      </c>
      <c r="G279" s="56" t="s">
        <v>118</v>
      </c>
      <c r="H279" s="56" t="s">
        <v>118</v>
      </c>
      <c r="I279" s="59">
        <v>39388.0</v>
      </c>
      <c r="J279" s="56">
        <f t="shared" si="8"/>
        <v>18</v>
      </c>
      <c r="K279" s="56">
        <v>3.330289797E9</v>
      </c>
      <c r="L279" s="60" t="s">
        <v>1735</v>
      </c>
      <c r="M279" s="59">
        <v>44659.0</v>
      </c>
      <c r="N279" s="60" t="s">
        <v>218</v>
      </c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8.75" customHeight="1">
      <c r="A280" s="31"/>
      <c r="B280" s="56" t="str">
        <f t="shared" si="7"/>
        <v>HS50</v>
      </c>
      <c r="C280" s="57" t="s">
        <v>1883</v>
      </c>
      <c r="D280" s="56" t="s">
        <v>117</v>
      </c>
      <c r="E280" s="56" t="s">
        <v>40</v>
      </c>
      <c r="F280" s="56" t="s">
        <v>43</v>
      </c>
      <c r="G280" s="56" t="s">
        <v>118</v>
      </c>
      <c r="H280" s="56" t="s">
        <v>118</v>
      </c>
      <c r="I280" s="59">
        <v>38920.0</v>
      </c>
      <c r="J280" s="56">
        <f t="shared" si="8"/>
        <v>19</v>
      </c>
      <c r="K280" s="56"/>
      <c r="L280" s="60" t="s">
        <v>1884</v>
      </c>
      <c r="M280" s="59">
        <v>38818.0</v>
      </c>
      <c r="N280" s="60" t="s">
        <v>218</v>
      </c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8.75" customHeight="1">
      <c r="A281" s="31"/>
      <c r="B281" s="56" t="str">
        <f t="shared" si="7"/>
        <v>HS51</v>
      </c>
      <c r="C281" s="57" t="s">
        <v>1992</v>
      </c>
      <c r="D281" s="56" t="s">
        <v>117</v>
      </c>
      <c r="E281" s="56" t="s">
        <v>40</v>
      </c>
      <c r="F281" s="56" t="s">
        <v>43</v>
      </c>
      <c r="G281" s="56" t="s">
        <v>118</v>
      </c>
      <c r="H281" s="56" t="s">
        <v>118</v>
      </c>
      <c r="I281" s="59">
        <v>36525.0</v>
      </c>
      <c r="J281" s="56">
        <f t="shared" si="8"/>
        <v>26</v>
      </c>
      <c r="K281" s="56">
        <v>5.6170669E9</v>
      </c>
      <c r="L281" s="60" t="s">
        <v>1993</v>
      </c>
      <c r="M281" s="59">
        <v>44764.0</v>
      </c>
      <c r="N281" s="60" t="s">
        <v>1994</v>
      </c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8.75" customHeight="1">
      <c r="A282" s="31"/>
      <c r="B282" s="56" t="str">
        <f t="shared" si="7"/>
        <v>MMi18</v>
      </c>
      <c r="C282" s="57" t="s">
        <v>1330</v>
      </c>
      <c r="D282" s="56" t="s">
        <v>128</v>
      </c>
      <c r="E282" s="56" t="s">
        <v>34</v>
      </c>
      <c r="F282" s="56" t="s">
        <v>24</v>
      </c>
      <c r="G282" s="56" t="s">
        <v>165</v>
      </c>
      <c r="H282" s="56" t="s">
        <v>118</v>
      </c>
      <c r="I282" s="59">
        <v>24877.0</v>
      </c>
      <c r="J282" s="56">
        <f t="shared" si="8"/>
        <v>58</v>
      </c>
      <c r="K282" s="56">
        <v>3.315521978E9</v>
      </c>
      <c r="L282" s="60" t="s">
        <v>1331</v>
      </c>
      <c r="M282" s="59">
        <v>44765.0</v>
      </c>
      <c r="N282" s="60" t="s">
        <v>2235</v>
      </c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8.75" customHeight="1">
      <c r="A283" s="31"/>
      <c r="B283" s="56" t="str">
        <f t="shared" si="7"/>
        <v>HV23</v>
      </c>
      <c r="C283" s="57" t="s">
        <v>636</v>
      </c>
      <c r="D283" s="56" t="s">
        <v>117</v>
      </c>
      <c r="E283" s="56" t="s">
        <v>40</v>
      </c>
      <c r="F283" s="56" t="s">
        <v>36</v>
      </c>
      <c r="G283" s="56" t="s">
        <v>118</v>
      </c>
      <c r="H283" s="56" t="s">
        <v>118</v>
      </c>
      <c r="I283" s="59">
        <v>39281.0</v>
      </c>
      <c r="J283" s="56">
        <f t="shared" si="8"/>
        <v>18</v>
      </c>
      <c r="K283" s="56">
        <v>3.337228328E9</v>
      </c>
      <c r="L283" s="60" t="s">
        <v>637</v>
      </c>
      <c r="M283" s="59">
        <v>44753.0</v>
      </c>
      <c r="N283" s="60" t="s">
        <v>638</v>
      </c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8.75" customHeight="1">
      <c r="A284" s="31"/>
      <c r="B284" s="56" t="str">
        <f t="shared" si="7"/>
        <v>HV24</v>
      </c>
      <c r="C284" s="57" t="s">
        <v>336</v>
      </c>
      <c r="D284" s="56" t="s">
        <v>117</v>
      </c>
      <c r="E284" s="56" t="s">
        <v>40</v>
      </c>
      <c r="F284" s="56" t="s">
        <v>36</v>
      </c>
      <c r="G284" s="56" t="s">
        <v>118</v>
      </c>
      <c r="H284" s="56" t="s">
        <v>118</v>
      </c>
      <c r="I284" s="59">
        <v>39317.0</v>
      </c>
      <c r="J284" s="56">
        <f t="shared" si="8"/>
        <v>18</v>
      </c>
      <c r="K284" s="56">
        <v>3.334423388E9</v>
      </c>
      <c r="L284" s="60" t="s">
        <v>337</v>
      </c>
      <c r="M284" s="59">
        <v>44753.0</v>
      </c>
      <c r="N284" s="60" t="s">
        <v>338</v>
      </c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8.75" customHeight="1">
      <c r="A285" s="31"/>
      <c r="B285" s="56" t="str">
        <f t="shared" si="7"/>
        <v>MJ20</v>
      </c>
      <c r="C285" s="57" t="s">
        <v>533</v>
      </c>
      <c r="D285" s="56" t="s">
        <v>128</v>
      </c>
      <c r="E285" s="56" t="s">
        <v>40</v>
      </c>
      <c r="F285" s="56" t="s">
        <v>30</v>
      </c>
      <c r="G285" s="56" t="s">
        <v>118</v>
      </c>
      <c r="H285" s="56" t="s">
        <v>118</v>
      </c>
      <c r="I285" s="59">
        <v>38777.0</v>
      </c>
      <c r="J285" s="56">
        <f t="shared" si="8"/>
        <v>20</v>
      </c>
      <c r="K285" s="56">
        <v>3.328329014E9</v>
      </c>
      <c r="L285" s="60" t="s">
        <v>534</v>
      </c>
      <c r="M285" s="59">
        <v>44761.0</v>
      </c>
      <c r="N285" s="60" t="s">
        <v>535</v>
      </c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8.75" customHeight="1">
      <c r="A286" s="31"/>
      <c r="B286" s="56" t="str">
        <f t="shared" si="7"/>
        <v>MMa11</v>
      </c>
      <c r="C286" s="57" t="s">
        <v>2017</v>
      </c>
      <c r="D286" s="56" t="s">
        <v>128</v>
      </c>
      <c r="E286" s="56" t="s">
        <v>40</v>
      </c>
      <c r="F286" s="56" t="s">
        <v>18</v>
      </c>
      <c r="G286" s="56" t="s">
        <v>118</v>
      </c>
      <c r="H286" s="56" t="s">
        <v>118</v>
      </c>
      <c r="I286" s="59">
        <v>39673.0</v>
      </c>
      <c r="J286" s="56">
        <f t="shared" si="8"/>
        <v>17</v>
      </c>
      <c r="K286" s="56">
        <v>3.6056403E7</v>
      </c>
      <c r="L286" s="60" t="s">
        <v>2018</v>
      </c>
      <c r="M286" s="59">
        <v>44760.0</v>
      </c>
      <c r="N286" s="60" t="s">
        <v>2019</v>
      </c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8.75" customHeight="1">
      <c r="A287" s="31"/>
      <c r="B287" s="56" t="str">
        <f t="shared" si="7"/>
        <v>HMi15</v>
      </c>
      <c r="C287" s="57" t="s">
        <v>1823</v>
      </c>
      <c r="D287" s="56" t="s">
        <v>117</v>
      </c>
      <c r="E287" s="56" t="s">
        <v>40</v>
      </c>
      <c r="F287" s="56" t="s">
        <v>24</v>
      </c>
      <c r="G287" s="56" t="s">
        <v>118</v>
      </c>
      <c r="H287" s="56" t="s">
        <v>118</v>
      </c>
      <c r="I287" s="59">
        <v>39640.0</v>
      </c>
      <c r="J287" s="56">
        <f t="shared" si="8"/>
        <v>17</v>
      </c>
      <c r="K287" s="56"/>
      <c r="L287" s="60" t="s">
        <v>1281</v>
      </c>
      <c r="M287" s="59">
        <v>44760.0</v>
      </c>
      <c r="N287" s="60" t="s">
        <v>1824</v>
      </c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8.75" customHeight="1">
      <c r="A288" s="31"/>
      <c r="B288" s="56" t="str">
        <f t="shared" si="7"/>
        <v>MS40</v>
      </c>
      <c r="C288" s="57" t="s">
        <v>967</v>
      </c>
      <c r="D288" s="56" t="s">
        <v>128</v>
      </c>
      <c r="E288" s="56" t="s">
        <v>22</v>
      </c>
      <c r="F288" s="56" t="s">
        <v>43</v>
      </c>
      <c r="G288" s="56" t="s">
        <v>118</v>
      </c>
      <c r="H288" s="56" t="s">
        <v>118</v>
      </c>
      <c r="I288" s="59">
        <v>27451.0</v>
      </c>
      <c r="J288" s="56">
        <f t="shared" si="8"/>
        <v>51</v>
      </c>
      <c r="K288" s="56">
        <v>3.316913707E9</v>
      </c>
      <c r="L288" s="60" t="s">
        <v>968</v>
      </c>
      <c r="M288" s="59">
        <v>44800.0</v>
      </c>
      <c r="N288" s="60" t="s">
        <v>969</v>
      </c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8.75" customHeight="1">
      <c r="A289" s="31"/>
      <c r="B289" s="56" t="str">
        <f t="shared" si="7"/>
        <v>HMi16</v>
      </c>
      <c r="C289" s="57" t="s">
        <v>702</v>
      </c>
      <c r="D289" s="56" t="s">
        <v>117</v>
      </c>
      <c r="E289" s="56" t="s">
        <v>40</v>
      </c>
      <c r="F289" s="56" t="s">
        <v>24</v>
      </c>
      <c r="G289" s="56" t="s">
        <v>118</v>
      </c>
      <c r="H289" s="56" t="s">
        <v>118</v>
      </c>
      <c r="I289" s="59">
        <v>38952.0</v>
      </c>
      <c r="J289" s="56">
        <f t="shared" si="8"/>
        <v>19</v>
      </c>
      <c r="K289" s="56">
        <v>9.711039062E9</v>
      </c>
      <c r="L289" s="60" t="s">
        <v>703</v>
      </c>
      <c r="M289" s="59">
        <v>44799.0</v>
      </c>
      <c r="N289" s="60" t="s">
        <v>638</v>
      </c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8.75" customHeight="1">
      <c r="A290" s="31"/>
      <c r="B290" s="56" t="str">
        <f t="shared" si="7"/>
        <v>MMa12</v>
      </c>
      <c r="C290" s="57" t="s">
        <v>588</v>
      </c>
      <c r="D290" s="56" t="s">
        <v>128</v>
      </c>
      <c r="E290" s="56" t="s">
        <v>40</v>
      </c>
      <c r="F290" s="56" t="s">
        <v>18</v>
      </c>
      <c r="G290" s="56" t="s">
        <v>118</v>
      </c>
      <c r="H290" s="56" t="s">
        <v>118</v>
      </c>
      <c r="I290" s="59">
        <v>38132.0</v>
      </c>
      <c r="J290" s="56">
        <f t="shared" si="8"/>
        <v>21</v>
      </c>
      <c r="K290" s="56">
        <v>3.329679261E9</v>
      </c>
      <c r="L290" s="60" t="s">
        <v>589</v>
      </c>
      <c r="M290" s="59">
        <v>44796.0</v>
      </c>
      <c r="N290" s="60" t="s">
        <v>590</v>
      </c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8.75" customHeight="1">
      <c r="A291" s="31"/>
      <c r="B291" s="56" t="str">
        <f t="shared" si="7"/>
        <v>MJ21</v>
      </c>
      <c r="C291" s="57" t="s">
        <v>1597</v>
      </c>
      <c r="D291" s="56" t="s">
        <v>128</v>
      </c>
      <c r="E291" s="56" t="s">
        <v>40</v>
      </c>
      <c r="F291" s="56" t="s">
        <v>30</v>
      </c>
      <c r="G291" s="56" t="s">
        <v>118</v>
      </c>
      <c r="H291" s="56" t="s">
        <v>118</v>
      </c>
      <c r="I291" s="59">
        <v>38728.0</v>
      </c>
      <c r="J291" s="56">
        <f t="shared" si="8"/>
        <v>20</v>
      </c>
      <c r="K291" s="56">
        <v>3.319246889E9</v>
      </c>
      <c r="L291" s="60" t="s">
        <v>1598</v>
      </c>
      <c r="M291" s="59">
        <v>44796.0</v>
      </c>
      <c r="N291" s="60" t="s">
        <v>249</v>
      </c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8.75" customHeight="1">
      <c r="A292" s="31"/>
      <c r="B292" s="56" t="str">
        <f t="shared" si="7"/>
        <v>ML6</v>
      </c>
      <c r="C292" s="57" t="s">
        <v>1187</v>
      </c>
      <c r="D292" s="56" t="s">
        <v>128</v>
      </c>
      <c r="E292" s="56" t="s">
        <v>40</v>
      </c>
      <c r="F292" s="56" t="s">
        <v>12</v>
      </c>
      <c r="G292" s="56" t="s">
        <v>118</v>
      </c>
      <c r="H292" s="56" t="s">
        <v>118</v>
      </c>
      <c r="I292" s="59">
        <v>35941.0</v>
      </c>
      <c r="J292" s="56">
        <f t="shared" si="8"/>
        <v>27</v>
      </c>
      <c r="K292" s="56">
        <v>5.611218429E9</v>
      </c>
      <c r="L292" s="60" t="s">
        <v>1188</v>
      </c>
      <c r="M292" s="59">
        <v>44799.0</v>
      </c>
      <c r="N292" s="60" t="s">
        <v>1189</v>
      </c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8.75" customHeight="1">
      <c r="A293" s="31"/>
      <c r="B293" s="245" t="str">
        <f t="shared" si="7"/>
        <v>HMi17</v>
      </c>
      <c r="C293" s="244" t="s">
        <v>333</v>
      </c>
      <c r="D293" s="245" t="s">
        <v>117</v>
      </c>
      <c r="E293" s="245" t="s">
        <v>22</v>
      </c>
      <c r="F293" s="245" t="s">
        <v>24</v>
      </c>
      <c r="G293" s="245" t="s">
        <v>118</v>
      </c>
      <c r="H293" s="245" t="s">
        <v>118</v>
      </c>
      <c r="I293" s="246">
        <v>26467.0</v>
      </c>
      <c r="J293" s="245">
        <f t="shared" si="8"/>
        <v>53</v>
      </c>
      <c r="K293" s="245">
        <v>3.328109655E9</v>
      </c>
      <c r="L293" s="247" t="s">
        <v>334</v>
      </c>
      <c r="M293" s="246">
        <v>44777.0</v>
      </c>
      <c r="N293" s="247" t="s">
        <v>335</v>
      </c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8.75" customHeight="1">
      <c r="A294" s="31"/>
      <c r="B294" s="245" t="str">
        <f t="shared" si="7"/>
        <v>MMi19</v>
      </c>
      <c r="C294" s="244" t="s">
        <v>1968</v>
      </c>
      <c r="D294" s="245" t="s">
        <v>128</v>
      </c>
      <c r="E294" s="245" t="s">
        <v>22</v>
      </c>
      <c r="F294" s="245" t="s">
        <v>24</v>
      </c>
      <c r="G294" s="245" t="s">
        <v>118</v>
      </c>
      <c r="H294" s="245" t="s">
        <v>118</v>
      </c>
      <c r="I294" s="246">
        <v>32168.0</v>
      </c>
      <c r="J294" s="245">
        <f t="shared" si="8"/>
        <v>38</v>
      </c>
      <c r="K294" s="245">
        <v>3.327813366E9</v>
      </c>
      <c r="L294" s="247" t="s">
        <v>334</v>
      </c>
      <c r="M294" s="246">
        <v>44777.0</v>
      </c>
      <c r="N294" s="247" t="s">
        <v>1969</v>
      </c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8.75" customHeight="1">
      <c r="A295" s="31"/>
      <c r="B295" s="245" t="str">
        <f t="shared" si="7"/>
        <v>HJ17</v>
      </c>
      <c r="C295" s="244" t="s">
        <v>1261</v>
      </c>
      <c r="D295" s="245" t="s">
        <v>117</v>
      </c>
      <c r="E295" s="245" t="s">
        <v>22</v>
      </c>
      <c r="F295" s="245" t="s">
        <v>30</v>
      </c>
      <c r="G295" s="245" t="s">
        <v>118</v>
      </c>
      <c r="H295" s="245" t="s">
        <v>118</v>
      </c>
      <c r="I295" s="246">
        <v>27527.0</v>
      </c>
      <c r="J295" s="245">
        <f t="shared" si="8"/>
        <v>50</v>
      </c>
      <c r="K295" s="245">
        <v>3.841164595E9</v>
      </c>
      <c r="L295" s="247" t="s">
        <v>1262</v>
      </c>
      <c r="M295" s="246">
        <v>44805.0</v>
      </c>
      <c r="N295" s="247" t="s">
        <v>1263</v>
      </c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8.75" customHeight="1">
      <c r="A296" s="31"/>
      <c r="B296" s="56" t="str">
        <f t="shared" si="7"/>
        <v>HD31</v>
      </c>
      <c r="C296" s="57" t="s">
        <v>2116</v>
      </c>
      <c r="D296" s="56" t="s">
        <v>117</v>
      </c>
      <c r="E296" s="56" t="s">
        <v>34</v>
      </c>
      <c r="F296" s="56" t="s">
        <v>49</v>
      </c>
      <c r="G296" s="56" t="s">
        <v>118</v>
      </c>
      <c r="H296" s="56" t="s">
        <v>118</v>
      </c>
      <c r="I296" s="59">
        <v>28003.0</v>
      </c>
      <c r="J296" s="56">
        <f t="shared" si="8"/>
        <v>49</v>
      </c>
      <c r="K296" s="56">
        <v>3.328481934E9</v>
      </c>
      <c r="L296" s="60" t="s">
        <v>2117</v>
      </c>
      <c r="M296" s="59">
        <v>44805.0</v>
      </c>
      <c r="N296" s="60" t="s">
        <v>2118</v>
      </c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8.75" customHeight="1">
      <c r="A297" s="31"/>
      <c r="B297" s="56" t="str">
        <f t="shared" si="7"/>
        <v>HS52</v>
      </c>
      <c r="C297" s="57" t="s">
        <v>1007</v>
      </c>
      <c r="D297" s="56" t="s">
        <v>117</v>
      </c>
      <c r="E297" s="56" t="s">
        <v>40</v>
      </c>
      <c r="F297" s="56" t="s">
        <v>43</v>
      </c>
      <c r="G297" s="56" t="s">
        <v>118</v>
      </c>
      <c r="H297" s="56" t="s">
        <v>118</v>
      </c>
      <c r="I297" s="59">
        <v>38917.0</v>
      </c>
      <c r="J297" s="56">
        <f t="shared" si="8"/>
        <v>19</v>
      </c>
      <c r="K297" s="56">
        <v>3.333293778E9</v>
      </c>
      <c r="L297" s="60" t="s">
        <v>1008</v>
      </c>
      <c r="M297" s="59">
        <v>44825.0</v>
      </c>
      <c r="N297" s="60" t="s">
        <v>218</v>
      </c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8.75" customHeight="1">
      <c r="A298" s="31"/>
      <c r="B298" s="56" t="str">
        <f t="shared" si="7"/>
        <v>HD32</v>
      </c>
      <c r="C298" s="57" t="s">
        <v>1632</v>
      </c>
      <c r="D298" s="56" t="s">
        <v>117</v>
      </c>
      <c r="E298" s="56" t="s">
        <v>28</v>
      </c>
      <c r="F298" s="56" t="s">
        <v>49</v>
      </c>
      <c r="G298" s="56" t="s">
        <v>118</v>
      </c>
      <c r="H298" s="56" t="s">
        <v>118</v>
      </c>
      <c r="I298" s="59">
        <v>34814.0</v>
      </c>
      <c r="J298" s="56">
        <f t="shared" si="8"/>
        <v>30</v>
      </c>
      <c r="K298" s="56">
        <v>3.321239006E9</v>
      </c>
      <c r="L298" s="60" t="s">
        <v>1633</v>
      </c>
      <c r="M298" s="59">
        <v>44823.0</v>
      </c>
      <c r="N298" s="60" t="s">
        <v>1634</v>
      </c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8.75" customHeight="1">
      <c r="A299" s="31"/>
      <c r="B299" s="56" t="str">
        <f t="shared" si="7"/>
        <v>ML7</v>
      </c>
      <c r="C299" s="57" t="s">
        <v>1045</v>
      </c>
      <c r="D299" s="56" t="s">
        <v>128</v>
      </c>
      <c r="E299" s="56" t="s">
        <v>34</v>
      </c>
      <c r="F299" s="56" t="s">
        <v>12</v>
      </c>
      <c r="G299" s="56" t="s">
        <v>118</v>
      </c>
      <c r="H299" s="56" t="s">
        <v>118</v>
      </c>
      <c r="I299" s="59">
        <v>27294.0</v>
      </c>
      <c r="J299" s="56">
        <f t="shared" si="8"/>
        <v>51</v>
      </c>
      <c r="K299" s="56">
        <v>3.313419066E9</v>
      </c>
      <c r="L299" s="60" t="s">
        <v>1046</v>
      </c>
      <c r="M299" s="59">
        <v>44805.0</v>
      </c>
      <c r="N299" s="60" t="s">
        <v>1047</v>
      </c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8.75" customHeight="1">
      <c r="A300" s="31"/>
      <c r="B300" s="56" t="str">
        <f t="shared" si="7"/>
        <v>HMa18</v>
      </c>
      <c r="C300" s="57" t="s">
        <v>424</v>
      </c>
      <c r="D300" s="56" t="s">
        <v>117</v>
      </c>
      <c r="E300" s="56" t="s">
        <v>34</v>
      </c>
      <c r="F300" s="56" t="s">
        <v>18</v>
      </c>
      <c r="G300" s="56" t="s">
        <v>118</v>
      </c>
      <c r="H300" s="56" t="s">
        <v>118</v>
      </c>
      <c r="I300" s="59">
        <v>28699.0</v>
      </c>
      <c r="J300" s="56">
        <f t="shared" si="8"/>
        <v>47</v>
      </c>
      <c r="K300" s="56"/>
      <c r="L300" s="60" t="s">
        <v>425</v>
      </c>
      <c r="M300" s="59">
        <v>44816.0</v>
      </c>
      <c r="N300" s="60" t="s">
        <v>426</v>
      </c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8.75" customHeight="1">
      <c r="A301" s="31"/>
      <c r="B301" s="56" t="str">
        <f t="shared" si="7"/>
        <v>HS53</v>
      </c>
      <c r="C301" s="57" t="s">
        <v>2270</v>
      </c>
      <c r="D301" s="56" t="s">
        <v>117</v>
      </c>
      <c r="E301" s="56" t="s">
        <v>34</v>
      </c>
      <c r="F301" s="56" t="s">
        <v>43</v>
      </c>
      <c r="G301" s="56" t="s">
        <v>118</v>
      </c>
      <c r="H301" s="56" t="s">
        <v>118</v>
      </c>
      <c r="I301" s="59">
        <v>32830.0</v>
      </c>
      <c r="J301" s="56">
        <f t="shared" si="8"/>
        <v>36</v>
      </c>
      <c r="K301" s="56">
        <v>3.326570033E9</v>
      </c>
      <c r="L301" s="60" t="s">
        <v>1243</v>
      </c>
      <c r="M301" s="59">
        <v>44812.0</v>
      </c>
      <c r="N301" s="60" t="s">
        <v>467</v>
      </c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8.75" customHeight="1">
      <c r="A302" s="31"/>
      <c r="B302" s="56" t="str">
        <f t="shared" si="7"/>
        <v>MMi20</v>
      </c>
      <c r="C302" s="57" t="s">
        <v>401</v>
      </c>
      <c r="D302" s="56" t="s">
        <v>128</v>
      </c>
      <c r="E302" s="56" t="s">
        <v>40</v>
      </c>
      <c r="F302" s="56" t="s">
        <v>24</v>
      </c>
      <c r="G302" s="56" t="s">
        <v>118</v>
      </c>
      <c r="H302" s="56" t="s">
        <v>118</v>
      </c>
      <c r="I302" s="59">
        <v>39197.0</v>
      </c>
      <c r="J302" s="56">
        <f t="shared" si="8"/>
        <v>18</v>
      </c>
      <c r="K302" s="56">
        <v>3.312119567E9</v>
      </c>
      <c r="L302" s="60" t="s">
        <v>402</v>
      </c>
      <c r="M302" s="59">
        <v>44943.0</v>
      </c>
      <c r="N302" s="60" t="s">
        <v>235</v>
      </c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8.75" customHeight="1">
      <c r="A303" s="31"/>
      <c r="B303" s="56" t="str">
        <f t="shared" si="7"/>
        <v>MV18</v>
      </c>
      <c r="C303" s="57" t="s">
        <v>1554</v>
      </c>
      <c r="D303" s="56" t="s">
        <v>128</v>
      </c>
      <c r="E303" s="56" t="s">
        <v>40</v>
      </c>
      <c r="F303" s="56" t="s">
        <v>36</v>
      </c>
      <c r="G303" s="56" t="s">
        <v>118</v>
      </c>
      <c r="H303" s="56" t="s">
        <v>118</v>
      </c>
      <c r="I303" s="59">
        <v>39655.0</v>
      </c>
      <c r="J303" s="56">
        <f t="shared" si="8"/>
        <v>17</v>
      </c>
      <c r="K303" s="56">
        <v>3.321631189E9</v>
      </c>
      <c r="L303" s="60" t="s">
        <v>902</v>
      </c>
      <c r="M303" s="59">
        <v>44941.0</v>
      </c>
      <c r="N303" s="60" t="s">
        <v>235</v>
      </c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8.75" customHeight="1">
      <c r="A304" s="31"/>
      <c r="B304" s="56" t="str">
        <f t="shared" si="7"/>
        <v>HS54</v>
      </c>
      <c r="C304" s="57" t="s">
        <v>1740</v>
      </c>
      <c r="D304" s="56" t="s">
        <v>117</v>
      </c>
      <c r="E304" s="56" t="s">
        <v>40</v>
      </c>
      <c r="F304" s="56" t="s">
        <v>43</v>
      </c>
      <c r="G304" s="56" t="s">
        <v>118</v>
      </c>
      <c r="H304" s="56" t="s">
        <v>118</v>
      </c>
      <c r="I304" s="59">
        <v>37972.0</v>
      </c>
      <c r="J304" s="56">
        <f t="shared" si="8"/>
        <v>22</v>
      </c>
      <c r="K304" s="56">
        <v>3.325778974E9</v>
      </c>
      <c r="L304" s="60" t="s">
        <v>1741</v>
      </c>
      <c r="M304" s="59">
        <v>44942.0</v>
      </c>
      <c r="N304" s="60" t="s">
        <v>1742</v>
      </c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8.75" customHeight="1">
      <c r="A305" s="31"/>
      <c r="B305" s="56" t="str">
        <f t="shared" si="7"/>
        <v>HMi18</v>
      </c>
      <c r="C305" s="57" t="s">
        <v>1300</v>
      </c>
      <c r="D305" s="56" t="s">
        <v>117</v>
      </c>
      <c r="E305" s="56"/>
      <c r="F305" s="56" t="s">
        <v>24</v>
      </c>
      <c r="G305" s="56" t="s">
        <v>118</v>
      </c>
      <c r="H305" s="56" t="s">
        <v>118</v>
      </c>
      <c r="I305" s="59">
        <v>23391.0</v>
      </c>
      <c r="J305" s="56">
        <f t="shared" si="8"/>
        <v>62</v>
      </c>
      <c r="K305" s="56">
        <v>3.317052821E9</v>
      </c>
      <c r="L305" s="60" t="s">
        <v>1301</v>
      </c>
      <c r="M305" s="59">
        <v>44951.0</v>
      </c>
      <c r="N305" s="60" t="s">
        <v>467</v>
      </c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8.75" customHeight="1">
      <c r="A306" s="31"/>
      <c r="B306" s="56" t="str">
        <f t="shared" si="7"/>
        <v>MD17</v>
      </c>
      <c r="C306" s="57" t="s">
        <v>677</v>
      </c>
      <c r="D306" s="56" t="s">
        <v>128</v>
      </c>
      <c r="E306" s="56" t="s">
        <v>40</v>
      </c>
      <c r="F306" s="56" t="s">
        <v>49</v>
      </c>
      <c r="G306" s="56" t="s">
        <v>118</v>
      </c>
      <c r="H306" s="56" t="s">
        <v>118</v>
      </c>
      <c r="I306" s="59">
        <v>32668.0</v>
      </c>
      <c r="J306" s="56">
        <f t="shared" si="8"/>
        <v>36</v>
      </c>
      <c r="K306" s="56"/>
      <c r="L306" s="60" t="s">
        <v>678</v>
      </c>
      <c r="M306" s="59">
        <v>44987.0</v>
      </c>
      <c r="N306" s="60" t="s">
        <v>679</v>
      </c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8.75" customHeight="1">
      <c r="A307" s="31"/>
      <c r="B307" s="56" t="str">
        <f t="shared" si="7"/>
        <v>MMa13</v>
      </c>
      <c r="C307" s="57" t="s">
        <v>1600</v>
      </c>
      <c r="D307" s="56" t="s">
        <v>128</v>
      </c>
      <c r="E307" s="56" t="s">
        <v>40</v>
      </c>
      <c r="F307" s="56" t="s">
        <v>18</v>
      </c>
      <c r="G307" s="56" t="s">
        <v>118</v>
      </c>
      <c r="H307" s="56" t="s">
        <v>118</v>
      </c>
      <c r="I307" s="59">
        <v>38124.0</v>
      </c>
      <c r="J307" s="56">
        <f t="shared" si="8"/>
        <v>21</v>
      </c>
      <c r="K307" s="56"/>
      <c r="L307" s="60" t="s">
        <v>1601</v>
      </c>
      <c r="M307" s="59">
        <v>44974.0</v>
      </c>
      <c r="N307" s="60" t="s">
        <v>235</v>
      </c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8.75" customHeight="1">
      <c r="A308" s="31"/>
      <c r="B308" s="56" t="str">
        <f t="shared" si="7"/>
        <v>MMa14</v>
      </c>
      <c r="C308" s="57" t="s">
        <v>859</v>
      </c>
      <c r="D308" s="56" t="s">
        <v>128</v>
      </c>
      <c r="E308" s="56" t="s">
        <v>40</v>
      </c>
      <c r="F308" s="56" t="s">
        <v>18</v>
      </c>
      <c r="G308" s="56" t="s">
        <v>118</v>
      </c>
      <c r="H308" s="56" t="s">
        <v>118</v>
      </c>
      <c r="I308" s="59">
        <v>39732.0</v>
      </c>
      <c r="J308" s="56">
        <f t="shared" si="8"/>
        <v>17</v>
      </c>
      <c r="K308" s="56"/>
      <c r="L308" s="60" t="s">
        <v>860</v>
      </c>
      <c r="M308" s="59">
        <v>44986.0</v>
      </c>
      <c r="N308" s="60" t="s">
        <v>235</v>
      </c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8.75" customHeight="1">
      <c r="A309" s="31"/>
      <c r="B309" s="31"/>
      <c r="C309" s="36"/>
      <c r="D309" s="31"/>
      <c r="E309" s="31"/>
      <c r="F309" s="31"/>
      <c r="G309" s="31"/>
      <c r="H309" s="31"/>
      <c r="I309" s="34"/>
      <c r="J309" s="31"/>
      <c r="K309" s="31"/>
      <c r="L309" s="35"/>
      <c r="M309" s="34"/>
      <c r="N309" s="35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8.75" customHeight="1">
      <c r="A310" s="31"/>
      <c r="B310" s="31"/>
      <c r="C310" s="36"/>
      <c r="D310" s="31"/>
      <c r="E310" s="31"/>
      <c r="F310" s="31"/>
      <c r="G310" s="31"/>
      <c r="H310" s="31"/>
      <c r="I310" s="34"/>
      <c r="J310" s="31"/>
      <c r="K310" s="31"/>
      <c r="L310" s="35"/>
      <c r="M310" s="34"/>
      <c r="N310" s="35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8.75" customHeight="1">
      <c r="A311" s="31"/>
      <c r="B311" s="31"/>
      <c r="C311" s="36"/>
      <c r="D311" s="31"/>
      <c r="E311" s="31"/>
      <c r="F311" s="31"/>
      <c r="G311" s="31"/>
      <c r="H311" s="31"/>
      <c r="I311" s="34"/>
      <c r="J311" s="31"/>
      <c r="K311" s="31"/>
      <c r="L311" s="35"/>
      <c r="M311" s="34"/>
      <c r="N311" s="35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8.75" customHeight="1">
      <c r="A312" s="31"/>
      <c r="B312" s="31"/>
      <c r="C312" s="36"/>
      <c r="D312" s="31"/>
      <c r="E312" s="31"/>
      <c r="F312" s="31"/>
      <c r="G312" s="31"/>
      <c r="H312" s="31"/>
      <c r="I312" s="34"/>
      <c r="J312" s="31"/>
      <c r="K312" s="31"/>
      <c r="L312" s="35"/>
      <c r="M312" s="34"/>
      <c r="N312" s="35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8.75" customHeight="1">
      <c r="A313" s="31"/>
      <c r="B313" s="31"/>
      <c r="C313" s="36"/>
      <c r="D313" s="31"/>
      <c r="E313" s="31"/>
      <c r="F313" s="31"/>
      <c r="G313" s="31"/>
      <c r="H313" s="31"/>
      <c r="I313" s="34"/>
      <c r="J313" s="31"/>
      <c r="K313" s="31"/>
      <c r="L313" s="35"/>
      <c r="M313" s="34"/>
      <c r="N313" s="35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8.75" customHeight="1">
      <c r="A314" s="31"/>
      <c r="B314" s="31"/>
      <c r="C314" s="36"/>
      <c r="D314" s="31"/>
      <c r="E314" s="31"/>
      <c r="F314" s="31"/>
      <c r="G314" s="31"/>
      <c r="H314" s="31"/>
      <c r="I314" s="34"/>
      <c r="J314" s="31"/>
      <c r="K314" s="31"/>
      <c r="L314" s="35"/>
      <c r="M314" s="34"/>
      <c r="N314" s="35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8.75" customHeight="1">
      <c r="A315" s="31"/>
      <c r="B315" s="31"/>
      <c r="C315" s="36"/>
      <c r="D315" s="31"/>
      <c r="E315" s="31"/>
      <c r="F315" s="31"/>
      <c r="G315" s="31"/>
      <c r="H315" s="31"/>
      <c r="I315" s="34"/>
      <c r="J315" s="31"/>
      <c r="K315" s="31"/>
      <c r="L315" s="35"/>
      <c r="M315" s="34"/>
      <c r="N315" s="35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8.75" customHeight="1">
      <c r="A316" s="31"/>
      <c r="B316" s="31"/>
      <c r="C316" s="36"/>
      <c r="D316" s="31"/>
      <c r="E316" s="31"/>
      <c r="F316" s="31"/>
      <c r="G316" s="31"/>
      <c r="H316" s="31"/>
      <c r="I316" s="34"/>
      <c r="J316" s="31"/>
      <c r="K316" s="31"/>
      <c r="L316" s="35"/>
      <c r="M316" s="34"/>
      <c r="N316" s="35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8.75" customHeight="1">
      <c r="A317" s="31"/>
      <c r="B317" s="31"/>
      <c r="C317" s="36"/>
      <c r="D317" s="31"/>
      <c r="E317" s="31"/>
      <c r="F317" s="31"/>
      <c r="G317" s="31"/>
      <c r="H317" s="31"/>
      <c r="I317" s="34"/>
      <c r="J317" s="31"/>
      <c r="K317" s="31"/>
      <c r="L317" s="35"/>
      <c r="M317" s="34"/>
      <c r="N317" s="35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8.75" customHeight="1">
      <c r="A318" s="31"/>
      <c r="B318" s="31"/>
      <c r="C318" s="36"/>
      <c r="D318" s="31"/>
      <c r="E318" s="31"/>
      <c r="F318" s="31"/>
      <c r="G318" s="31"/>
      <c r="H318" s="31"/>
      <c r="I318" s="34"/>
      <c r="J318" s="31"/>
      <c r="K318" s="31"/>
      <c r="L318" s="35"/>
      <c r="M318" s="34"/>
      <c r="N318" s="35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8.75" customHeight="1">
      <c r="A319" s="31"/>
      <c r="B319" s="31"/>
      <c r="C319" s="36"/>
      <c r="D319" s="31"/>
      <c r="E319" s="31"/>
      <c r="F319" s="31"/>
      <c r="G319" s="31"/>
      <c r="H319" s="31"/>
      <c r="I319" s="34"/>
      <c r="J319" s="31"/>
      <c r="K319" s="31"/>
      <c r="L319" s="35"/>
      <c r="M319" s="34"/>
      <c r="N319" s="35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8.75" customHeight="1">
      <c r="A320" s="31"/>
      <c r="B320" s="31"/>
      <c r="C320" s="36"/>
      <c r="D320" s="31"/>
      <c r="E320" s="31"/>
      <c r="F320" s="31"/>
      <c r="G320" s="31"/>
      <c r="H320" s="31"/>
      <c r="I320" s="34"/>
      <c r="J320" s="31"/>
      <c r="K320" s="31"/>
      <c r="L320" s="35"/>
      <c r="M320" s="34"/>
      <c r="N320" s="35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8.75" customHeight="1">
      <c r="A321" s="31"/>
      <c r="B321" s="31"/>
      <c r="C321" s="36"/>
      <c r="D321" s="31"/>
      <c r="E321" s="31"/>
      <c r="F321" s="31"/>
      <c r="G321" s="31"/>
      <c r="H321" s="31"/>
      <c r="I321" s="34"/>
      <c r="J321" s="31"/>
      <c r="K321" s="31"/>
      <c r="L321" s="35"/>
      <c r="M321" s="34"/>
      <c r="N321" s="35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8.75" customHeight="1">
      <c r="A322" s="31"/>
      <c r="B322" s="31"/>
      <c r="C322" s="36"/>
      <c r="D322" s="31"/>
      <c r="E322" s="31"/>
      <c r="F322" s="31"/>
      <c r="G322" s="31"/>
      <c r="H322" s="31"/>
      <c r="I322" s="34"/>
      <c r="J322" s="31"/>
      <c r="K322" s="31"/>
      <c r="L322" s="35"/>
      <c r="M322" s="34"/>
      <c r="N322" s="35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8.75" customHeight="1">
      <c r="A323" s="31"/>
      <c r="B323" s="31"/>
      <c r="C323" s="36"/>
      <c r="D323" s="31"/>
      <c r="E323" s="31"/>
      <c r="F323" s="31"/>
      <c r="G323" s="31"/>
      <c r="H323" s="31"/>
      <c r="I323" s="34"/>
      <c r="J323" s="31"/>
      <c r="K323" s="31"/>
      <c r="L323" s="35"/>
      <c r="M323" s="34"/>
      <c r="N323" s="35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8.75" customHeight="1">
      <c r="A324" s="31"/>
      <c r="B324" s="31"/>
      <c r="C324" s="36"/>
      <c r="D324" s="31"/>
      <c r="E324" s="31"/>
      <c r="F324" s="31"/>
      <c r="G324" s="31"/>
      <c r="H324" s="31"/>
      <c r="I324" s="34"/>
      <c r="J324" s="31"/>
      <c r="K324" s="31"/>
      <c r="L324" s="35"/>
      <c r="M324" s="34"/>
      <c r="N324" s="35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8.75" customHeight="1">
      <c r="A325" s="31"/>
      <c r="B325" s="31"/>
      <c r="C325" s="36"/>
      <c r="D325" s="31"/>
      <c r="E325" s="31"/>
      <c r="F325" s="31"/>
      <c r="G325" s="31"/>
      <c r="H325" s="31"/>
      <c r="I325" s="34"/>
      <c r="J325" s="31"/>
      <c r="K325" s="31"/>
      <c r="L325" s="35"/>
      <c r="M325" s="34"/>
      <c r="N325" s="35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8.75" customHeight="1">
      <c r="A326" s="31"/>
      <c r="B326" s="31"/>
      <c r="C326" s="36"/>
      <c r="D326" s="31"/>
      <c r="E326" s="31"/>
      <c r="F326" s="31"/>
      <c r="G326" s="31"/>
      <c r="H326" s="31"/>
      <c r="I326" s="34"/>
      <c r="J326" s="31"/>
      <c r="K326" s="31"/>
      <c r="L326" s="35"/>
      <c r="M326" s="34"/>
      <c r="N326" s="35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8.75" customHeight="1">
      <c r="A327" s="31"/>
      <c r="B327" s="31"/>
      <c r="C327" s="36"/>
      <c r="D327" s="31"/>
      <c r="E327" s="31"/>
      <c r="F327" s="31"/>
      <c r="G327" s="31"/>
      <c r="H327" s="31"/>
      <c r="I327" s="34"/>
      <c r="J327" s="31"/>
      <c r="K327" s="31"/>
      <c r="L327" s="35"/>
      <c r="M327" s="34"/>
      <c r="N327" s="35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8.75" customHeight="1">
      <c r="A328" s="31"/>
      <c r="B328" s="31"/>
      <c r="C328" s="36"/>
      <c r="D328" s="31"/>
      <c r="E328" s="31"/>
      <c r="F328" s="31"/>
      <c r="G328" s="31"/>
      <c r="H328" s="31"/>
      <c r="I328" s="34"/>
      <c r="J328" s="31"/>
      <c r="K328" s="31"/>
      <c r="L328" s="35"/>
      <c r="M328" s="34"/>
      <c r="N328" s="35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8.75" customHeight="1">
      <c r="A329" s="31"/>
      <c r="B329" s="31"/>
      <c r="C329" s="36"/>
      <c r="D329" s="31"/>
      <c r="E329" s="31"/>
      <c r="F329" s="31"/>
      <c r="G329" s="31"/>
      <c r="H329" s="31"/>
      <c r="I329" s="34"/>
      <c r="J329" s="31"/>
      <c r="K329" s="31"/>
      <c r="L329" s="35"/>
      <c r="M329" s="34"/>
      <c r="N329" s="35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8.75" customHeight="1">
      <c r="A330" s="31"/>
      <c r="B330" s="31"/>
      <c r="C330" s="36"/>
      <c r="D330" s="31"/>
      <c r="E330" s="31"/>
      <c r="F330" s="31"/>
      <c r="G330" s="31"/>
      <c r="H330" s="31"/>
      <c r="I330" s="34"/>
      <c r="J330" s="31"/>
      <c r="K330" s="31"/>
      <c r="L330" s="35"/>
      <c r="M330" s="34"/>
      <c r="N330" s="35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8.75" customHeight="1">
      <c r="A331" s="31"/>
      <c r="B331" s="31"/>
      <c r="C331" s="36"/>
      <c r="D331" s="31"/>
      <c r="E331" s="31"/>
      <c r="F331" s="31"/>
      <c r="G331" s="31"/>
      <c r="H331" s="31"/>
      <c r="I331" s="34"/>
      <c r="J331" s="31"/>
      <c r="K331" s="31"/>
      <c r="L331" s="35"/>
      <c r="M331" s="34"/>
      <c r="N331" s="35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8.75" customHeight="1">
      <c r="A332" s="31"/>
      <c r="B332" s="31"/>
      <c r="C332" s="36"/>
      <c r="D332" s="31"/>
      <c r="E332" s="31"/>
      <c r="F332" s="31"/>
      <c r="G332" s="31"/>
      <c r="H332" s="31"/>
      <c r="I332" s="34"/>
      <c r="J332" s="31"/>
      <c r="K332" s="31"/>
      <c r="L332" s="35"/>
      <c r="M332" s="34"/>
      <c r="N332" s="35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8.75" customHeight="1">
      <c r="A333" s="31"/>
      <c r="B333" s="31"/>
      <c r="C333" s="36"/>
      <c r="D333" s="31"/>
      <c r="E333" s="31"/>
      <c r="F333" s="31"/>
      <c r="G333" s="31"/>
      <c r="H333" s="31"/>
      <c r="I333" s="34"/>
      <c r="J333" s="31"/>
      <c r="K333" s="31"/>
      <c r="L333" s="35"/>
      <c r="M333" s="34"/>
      <c r="N333" s="35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8.75" customHeight="1">
      <c r="A334" s="31"/>
      <c r="B334" s="31"/>
      <c r="C334" s="36"/>
      <c r="D334" s="31"/>
      <c r="E334" s="31"/>
      <c r="F334" s="31"/>
      <c r="G334" s="31"/>
      <c r="H334" s="31"/>
      <c r="I334" s="34"/>
      <c r="J334" s="31"/>
      <c r="K334" s="31"/>
      <c r="L334" s="35"/>
      <c r="M334" s="34"/>
      <c r="N334" s="35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8.75" customHeight="1">
      <c r="A335" s="31"/>
      <c r="B335" s="31"/>
      <c r="C335" s="36"/>
      <c r="D335" s="31"/>
      <c r="E335" s="31"/>
      <c r="F335" s="31"/>
      <c r="G335" s="31"/>
      <c r="H335" s="31"/>
      <c r="I335" s="34"/>
      <c r="J335" s="31"/>
      <c r="K335" s="31"/>
      <c r="L335" s="35"/>
      <c r="M335" s="34"/>
      <c r="N335" s="35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8.75" customHeight="1">
      <c r="A336" s="31"/>
      <c r="B336" s="31"/>
      <c r="C336" s="36"/>
      <c r="D336" s="31"/>
      <c r="E336" s="31"/>
      <c r="F336" s="31"/>
      <c r="G336" s="31"/>
      <c r="H336" s="31"/>
      <c r="I336" s="34"/>
      <c r="J336" s="31"/>
      <c r="K336" s="31"/>
      <c r="L336" s="35"/>
      <c r="M336" s="34"/>
      <c r="N336" s="35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8.75" customHeight="1">
      <c r="A337" s="31"/>
      <c r="B337" s="31"/>
      <c r="C337" s="36"/>
      <c r="D337" s="31"/>
      <c r="E337" s="31"/>
      <c r="F337" s="31"/>
      <c r="G337" s="31"/>
      <c r="H337" s="31"/>
      <c r="I337" s="34"/>
      <c r="J337" s="31"/>
      <c r="K337" s="31"/>
      <c r="L337" s="35"/>
      <c r="M337" s="34"/>
      <c r="N337" s="35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8.75" customHeight="1">
      <c r="A338" s="31"/>
      <c r="B338" s="31"/>
      <c r="C338" s="36"/>
      <c r="D338" s="31"/>
      <c r="E338" s="31"/>
      <c r="F338" s="31"/>
      <c r="G338" s="31"/>
      <c r="H338" s="31"/>
      <c r="I338" s="34"/>
      <c r="J338" s="31"/>
      <c r="K338" s="31"/>
      <c r="L338" s="35"/>
      <c r="M338" s="34"/>
      <c r="N338" s="35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8.75" customHeight="1">
      <c r="A339" s="31"/>
      <c r="B339" s="31"/>
      <c r="C339" s="36"/>
      <c r="D339" s="31"/>
      <c r="E339" s="31"/>
      <c r="F339" s="31"/>
      <c r="G339" s="31"/>
      <c r="H339" s="31"/>
      <c r="I339" s="34"/>
      <c r="J339" s="31"/>
      <c r="K339" s="31"/>
      <c r="L339" s="35"/>
      <c r="M339" s="34"/>
      <c r="N339" s="35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8.75" customHeight="1">
      <c r="A340" s="31"/>
      <c r="B340" s="31"/>
      <c r="C340" s="36"/>
      <c r="D340" s="31"/>
      <c r="E340" s="31"/>
      <c r="F340" s="31"/>
      <c r="G340" s="31"/>
      <c r="H340" s="31"/>
      <c r="I340" s="34"/>
      <c r="J340" s="31"/>
      <c r="K340" s="31"/>
      <c r="L340" s="35"/>
      <c r="M340" s="34"/>
      <c r="N340" s="35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8.75" customHeight="1">
      <c r="A341" s="31"/>
      <c r="B341" s="31"/>
      <c r="C341" s="36"/>
      <c r="D341" s="31"/>
      <c r="E341" s="31"/>
      <c r="F341" s="31"/>
      <c r="G341" s="31"/>
      <c r="H341" s="31"/>
      <c r="I341" s="34"/>
      <c r="J341" s="31"/>
      <c r="K341" s="31"/>
      <c r="L341" s="35"/>
      <c r="M341" s="34"/>
      <c r="N341" s="35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8.75" customHeight="1">
      <c r="A342" s="31"/>
      <c r="B342" s="31"/>
      <c r="C342" s="36"/>
      <c r="D342" s="31"/>
      <c r="E342" s="31"/>
      <c r="F342" s="31"/>
      <c r="G342" s="31"/>
      <c r="H342" s="31"/>
      <c r="I342" s="34"/>
      <c r="J342" s="31"/>
      <c r="K342" s="31"/>
      <c r="L342" s="35"/>
      <c r="M342" s="34"/>
      <c r="N342" s="35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8.75" customHeight="1">
      <c r="A343" s="31"/>
      <c r="B343" s="31"/>
      <c r="C343" s="36"/>
      <c r="D343" s="31"/>
      <c r="E343" s="31"/>
      <c r="F343" s="31"/>
      <c r="G343" s="31"/>
      <c r="H343" s="31"/>
      <c r="I343" s="34"/>
      <c r="J343" s="31"/>
      <c r="K343" s="31"/>
      <c r="L343" s="35"/>
      <c r="M343" s="34"/>
      <c r="N343" s="35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8.75" customHeight="1">
      <c r="A344" s="31"/>
      <c r="B344" s="31"/>
      <c r="C344" s="36"/>
      <c r="D344" s="31"/>
      <c r="E344" s="31"/>
      <c r="F344" s="31"/>
      <c r="G344" s="31"/>
      <c r="H344" s="31"/>
      <c r="I344" s="34"/>
      <c r="J344" s="31"/>
      <c r="K344" s="31"/>
      <c r="L344" s="35"/>
      <c r="M344" s="34"/>
      <c r="N344" s="35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8.75" customHeight="1">
      <c r="A345" s="31"/>
      <c r="B345" s="31"/>
      <c r="C345" s="36"/>
      <c r="D345" s="31"/>
      <c r="E345" s="31"/>
      <c r="F345" s="31"/>
      <c r="G345" s="31"/>
      <c r="H345" s="31"/>
      <c r="I345" s="34"/>
      <c r="J345" s="31"/>
      <c r="K345" s="31"/>
      <c r="L345" s="35"/>
      <c r="M345" s="34"/>
      <c r="N345" s="35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8.75" customHeight="1">
      <c r="A346" s="31"/>
      <c r="B346" s="31"/>
      <c r="C346" s="36"/>
      <c r="D346" s="31"/>
      <c r="E346" s="31"/>
      <c r="F346" s="31"/>
      <c r="G346" s="31"/>
      <c r="H346" s="31"/>
      <c r="I346" s="34"/>
      <c r="J346" s="31"/>
      <c r="K346" s="31"/>
      <c r="L346" s="35"/>
      <c r="M346" s="34"/>
      <c r="N346" s="35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8.75" customHeight="1">
      <c r="A347" s="31"/>
      <c r="B347" s="31"/>
      <c r="C347" s="36"/>
      <c r="D347" s="31"/>
      <c r="E347" s="31"/>
      <c r="F347" s="31"/>
      <c r="G347" s="31"/>
      <c r="H347" s="31"/>
      <c r="I347" s="34"/>
      <c r="J347" s="31"/>
      <c r="K347" s="31"/>
      <c r="L347" s="35"/>
      <c r="M347" s="34"/>
      <c r="N347" s="35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8.75" customHeight="1">
      <c r="A348" s="31"/>
      <c r="B348" s="31"/>
      <c r="C348" s="36"/>
      <c r="D348" s="31"/>
      <c r="E348" s="31"/>
      <c r="F348" s="31"/>
      <c r="G348" s="31"/>
      <c r="H348" s="31"/>
      <c r="I348" s="34"/>
      <c r="J348" s="31"/>
      <c r="K348" s="31"/>
      <c r="L348" s="35"/>
      <c r="M348" s="34"/>
      <c r="N348" s="35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8.75" customHeight="1">
      <c r="A349" s="31"/>
      <c r="B349" s="31"/>
      <c r="C349" s="36"/>
      <c r="D349" s="31"/>
      <c r="E349" s="31"/>
      <c r="F349" s="31"/>
      <c r="G349" s="31"/>
      <c r="H349" s="31"/>
      <c r="I349" s="34"/>
      <c r="J349" s="31"/>
      <c r="K349" s="31"/>
      <c r="L349" s="35"/>
      <c r="M349" s="34"/>
      <c r="N349" s="35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8.75" customHeight="1">
      <c r="A350" s="31"/>
      <c r="B350" s="31"/>
      <c r="C350" s="36"/>
      <c r="D350" s="31"/>
      <c r="E350" s="31"/>
      <c r="F350" s="31"/>
      <c r="G350" s="31"/>
      <c r="H350" s="31"/>
      <c r="I350" s="34"/>
      <c r="J350" s="31"/>
      <c r="K350" s="31"/>
      <c r="L350" s="35"/>
      <c r="M350" s="34"/>
      <c r="N350" s="35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8.75" customHeight="1">
      <c r="A351" s="31"/>
      <c r="B351" s="31"/>
      <c r="C351" s="36"/>
      <c r="D351" s="31"/>
      <c r="E351" s="31"/>
      <c r="F351" s="31"/>
      <c r="G351" s="31"/>
      <c r="H351" s="31"/>
      <c r="I351" s="34"/>
      <c r="J351" s="31"/>
      <c r="K351" s="31"/>
      <c r="L351" s="35"/>
      <c r="M351" s="34"/>
      <c r="N351" s="35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8.75" customHeight="1">
      <c r="A352" s="31"/>
      <c r="B352" s="31"/>
      <c r="C352" s="36"/>
      <c r="D352" s="31"/>
      <c r="E352" s="31"/>
      <c r="F352" s="31"/>
      <c r="G352" s="31"/>
      <c r="H352" s="31"/>
      <c r="I352" s="34"/>
      <c r="J352" s="31"/>
      <c r="K352" s="31"/>
      <c r="L352" s="35"/>
      <c r="M352" s="34"/>
      <c r="N352" s="35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8.75" customHeight="1">
      <c r="A353" s="31"/>
      <c r="B353" s="31"/>
      <c r="C353" s="36"/>
      <c r="D353" s="31"/>
      <c r="E353" s="31"/>
      <c r="F353" s="31"/>
      <c r="G353" s="31"/>
      <c r="H353" s="31"/>
      <c r="I353" s="34"/>
      <c r="J353" s="31"/>
      <c r="K353" s="31"/>
      <c r="L353" s="35"/>
      <c r="M353" s="34"/>
      <c r="N353" s="35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8.75" customHeight="1">
      <c r="A354" s="31"/>
      <c r="B354" s="31"/>
      <c r="C354" s="36"/>
      <c r="D354" s="31"/>
      <c r="E354" s="31"/>
      <c r="F354" s="31"/>
      <c r="G354" s="31"/>
      <c r="H354" s="31"/>
      <c r="I354" s="34"/>
      <c r="J354" s="31"/>
      <c r="K354" s="31"/>
      <c r="L354" s="35"/>
      <c r="M354" s="34"/>
      <c r="N354" s="35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8.75" customHeight="1">
      <c r="A355" s="31"/>
      <c r="B355" s="31"/>
      <c r="C355" s="36"/>
      <c r="D355" s="31"/>
      <c r="E355" s="31"/>
      <c r="F355" s="31"/>
      <c r="G355" s="31"/>
      <c r="H355" s="31"/>
      <c r="I355" s="34"/>
      <c r="J355" s="31"/>
      <c r="K355" s="31"/>
      <c r="L355" s="35"/>
      <c r="M355" s="34"/>
      <c r="N355" s="35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8.75" customHeight="1">
      <c r="A356" s="31"/>
      <c r="B356" s="31"/>
      <c r="C356" s="36"/>
      <c r="D356" s="31"/>
      <c r="E356" s="31"/>
      <c r="F356" s="31"/>
      <c r="G356" s="31"/>
      <c r="H356" s="31"/>
      <c r="I356" s="34"/>
      <c r="J356" s="31"/>
      <c r="K356" s="31"/>
      <c r="L356" s="35"/>
      <c r="M356" s="34"/>
      <c r="N356" s="35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8.75" customHeight="1">
      <c r="A357" s="31"/>
      <c r="B357" s="31"/>
      <c r="C357" s="36"/>
      <c r="D357" s="31"/>
      <c r="E357" s="31"/>
      <c r="F357" s="31"/>
      <c r="G357" s="31"/>
      <c r="H357" s="31"/>
      <c r="I357" s="34"/>
      <c r="J357" s="31"/>
      <c r="K357" s="31"/>
      <c r="L357" s="35"/>
      <c r="M357" s="34"/>
      <c r="N357" s="35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8.75" customHeight="1">
      <c r="A358" s="31"/>
      <c r="B358" s="31"/>
      <c r="C358" s="36"/>
      <c r="D358" s="31"/>
      <c r="E358" s="31"/>
      <c r="F358" s="31"/>
      <c r="G358" s="31"/>
      <c r="H358" s="31"/>
      <c r="I358" s="34"/>
      <c r="J358" s="31"/>
      <c r="K358" s="31"/>
      <c r="L358" s="35"/>
      <c r="M358" s="34"/>
      <c r="N358" s="35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8.75" customHeight="1">
      <c r="A359" s="31"/>
      <c r="B359" s="31"/>
      <c r="C359" s="36"/>
      <c r="D359" s="31"/>
      <c r="E359" s="31"/>
      <c r="F359" s="31"/>
      <c r="G359" s="31"/>
      <c r="H359" s="31"/>
      <c r="I359" s="34"/>
      <c r="J359" s="31"/>
      <c r="K359" s="31"/>
      <c r="L359" s="35"/>
      <c r="M359" s="34"/>
      <c r="N359" s="35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8.75" customHeight="1">
      <c r="A360" s="31"/>
      <c r="B360" s="31"/>
      <c r="C360" s="36"/>
      <c r="D360" s="31"/>
      <c r="E360" s="31"/>
      <c r="F360" s="31"/>
      <c r="G360" s="31"/>
      <c r="H360" s="31"/>
      <c r="I360" s="34"/>
      <c r="J360" s="31"/>
      <c r="K360" s="31"/>
      <c r="L360" s="35"/>
      <c r="M360" s="34"/>
      <c r="N360" s="35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8.75" customHeight="1">
      <c r="A361" s="31"/>
      <c r="B361" s="31"/>
      <c r="C361" s="36"/>
      <c r="D361" s="31"/>
      <c r="E361" s="31"/>
      <c r="F361" s="31"/>
      <c r="G361" s="31"/>
      <c r="H361" s="31"/>
      <c r="I361" s="34"/>
      <c r="J361" s="31"/>
      <c r="K361" s="31"/>
      <c r="L361" s="35"/>
      <c r="M361" s="34"/>
      <c r="N361" s="35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8.75" customHeight="1">
      <c r="A362" s="31"/>
      <c r="B362" s="31"/>
      <c r="C362" s="36"/>
      <c r="D362" s="31"/>
      <c r="E362" s="31"/>
      <c r="F362" s="31"/>
      <c r="G362" s="31"/>
      <c r="H362" s="31"/>
      <c r="I362" s="34"/>
      <c r="J362" s="31"/>
      <c r="K362" s="31"/>
      <c r="L362" s="35"/>
      <c r="M362" s="34"/>
      <c r="N362" s="35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8.75" customHeight="1">
      <c r="A363" s="31"/>
      <c r="B363" s="31"/>
      <c r="C363" s="36"/>
      <c r="D363" s="31"/>
      <c r="E363" s="31"/>
      <c r="F363" s="31"/>
      <c r="G363" s="31"/>
      <c r="H363" s="31"/>
      <c r="I363" s="34"/>
      <c r="J363" s="31"/>
      <c r="K363" s="31"/>
      <c r="L363" s="35"/>
      <c r="M363" s="34"/>
      <c r="N363" s="35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8.75" customHeight="1">
      <c r="A364" s="31"/>
      <c r="B364" s="31"/>
      <c r="C364" s="36"/>
      <c r="D364" s="31"/>
      <c r="E364" s="31"/>
      <c r="F364" s="31"/>
      <c r="G364" s="31"/>
      <c r="H364" s="31"/>
      <c r="I364" s="34"/>
      <c r="J364" s="31"/>
      <c r="K364" s="31"/>
      <c r="L364" s="35"/>
      <c r="M364" s="34"/>
      <c r="N364" s="35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8.75" customHeight="1">
      <c r="A365" s="31"/>
      <c r="B365" s="31"/>
      <c r="C365" s="36"/>
      <c r="D365" s="31"/>
      <c r="E365" s="31"/>
      <c r="F365" s="31"/>
      <c r="G365" s="31"/>
      <c r="H365" s="31"/>
      <c r="I365" s="34"/>
      <c r="J365" s="31"/>
      <c r="K365" s="31"/>
      <c r="L365" s="35"/>
      <c r="M365" s="34"/>
      <c r="N365" s="35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8.75" customHeight="1">
      <c r="A366" s="31"/>
      <c r="B366" s="31"/>
      <c r="C366" s="36"/>
      <c r="D366" s="31"/>
      <c r="E366" s="31"/>
      <c r="F366" s="31"/>
      <c r="G366" s="31"/>
      <c r="H366" s="31"/>
      <c r="I366" s="34"/>
      <c r="J366" s="31"/>
      <c r="K366" s="31"/>
      <c r="L366" s="35"/>
      <c r="M366" s="34"/>
      <c r="N366" s="35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8.75" customHeight="1">
      <c r="A367" s="31"/>
      <c r="B367" s="31"/>
      <c r="C367" s="36"/>
      <c r="D367" s="31"/>
      <c r="E367" s="31"/>
      <c r="F367" s="31"/>
      <c r="G367" s="31"/>
      <c r="H367" s="31"/>
      <c r="I367" s="34"/>
      <c r="J367" s="31"/>
      <c r="K367" s="31"/>
      <c r="L367" s="35"/>
      <c r="M367" s="34"/>
      <c r="N367" s="35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8.75" customHeight="1">
      <c r="A368" s="31"/>
      <c r="B368" s="31"/>
      <c r="C368" s="36"/>
      <c r="D368" s="31"/>
      <c r="E368" s="31"/>
      <c r="F368" s="31"/>
      <c r="G368" s="31"/>
      <c r="H368" s="31"/>
      <c r="I368" s="34"/>
      <c r="J368" s="31"/>
      <c r="K368" s="31"/>
      <c r="L368" s="35"/>
      <c r="M368" s="34"/>
      <c r="N368" s="35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8.75" customHeight="1">
      <c r="A369" s="31"/>
      <c r="B369" s="31"/>
      <c r="C369" s="36"/>
      <c r="D369" s="31"/>
      <c r="E369" s="31"/>
      <c r="F369" s="31"/>
      <c r="G369" s="31"/>
      <c r="H369" s="31"/>
      <c r="I369" s="34"/>
      <c r="J369" s="31"/>
      <c r="K369" s="31"/>
      <c r="L369" s="35"/>
      <c r="M369" s="34"/>
      <c r="N369" s="35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8.75" customHeight="1">
      <c r="A370" s="31"/>
      <c r="B370" s="31"/>
      <c r="C370" s="36"/>
      <c r="D370" s="31"/>
      <c r="E370" s="31"/>
      <c r="F370" s="31"/>
      <c r="G370" s="31"/>
      <c r="H370" s="31"/>
      <c r="I370" s="34"/>
      <c r="J370" s="31"/>
      <c r="K370" s="31"/>
      <c r="L370" s="35"/>
      <c r="M370" s="34"/>
      <c r="N370" s="35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8.75" customHeight="1">
      <c r="A371" s="31"/>
      <c r="B371" s="31"/>
      <c r="C371" s="36"/>
      <c r="D371" s="31"/>
      <c r="E371" s="31"/>
      <c r="F371" s="31"/>
      <c r="G371" s="31"/>
      <c r="H371" s="31"/>
      <c r="I371" s="34"/>
      <c r="J371" s="31"/>
      <c r="K371" s="31"/>
      <c r="L371" s="35"/>
      <c r="M371" s="34"/>
      <c r="N371" s="35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8.75" customHeight="1">
      <c r="A372" s="31"/>
      <c r="B372" s="31"/>
      <c r="C372" s="36"/>
      <c r="D372" s="31"/>
      <c r="E372" s="31"/>
      <c r="F372" s="31"/>
      <c r="G372" s="31"/>
      <c r="H372" s="31"/>
      <c r="I372" s="34"/>
      <c r="J372" s="31"/>
      <c r="K372" s="31"/>
      <c r="L372" s="35"/>
      <c r="M372" s="34"/>
      <c r="N372" s="35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8.75" customHeight="1">
      <c r="A373" s="31"/>
      <c r="B373" s="31"/>
      <c r="C373" s="36"/>
      <c r="D373" s="31"/>
      <c r="E373" s="31"/>
      <c r="F373" s="31"/>
      <c r="G373" s="31"/>
      <c r="H373" s="31"/>
      <c r="I373" s="34"/>
      <c r="J373" s="31"/>
      <c r="K373" s="31"/>
      <c r="L373" s="35"/>
      <c r="M373" s="34"/>
      <c r="N373" s="35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8.75" customHeight="1">
      <c r="A374" s="31"/>
      <c r="B374" s="31"/>
      <c r="C374" s="36"/>
      <c r="D374" s="31"/>
      <c r="E374" s="31"/>
      <c r="F374" s="31"/>
      <c r="G374" s="31"/>
      <c r="H374" s="31"/>
      <c r="I374" s="34"/>
      <c r="J374" s="31"/>
      <c r="K374" s="31"/>
      <c r="L374" s="35"/>
      <c r="M374" s="34"/>
      <c r="N374" s="35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8.75" customHeight="1">
      <c r="A375" s="31"/>
      <c r="B375" s="31"/>
      <c r="C375" s="36"/>
      <c r="D375" s="31"/>
      <c r="E375" s="31"/>
      <c r="F375" s="31"/>
      <c r="G375" s="31"/>
      <c r="H375" s="31"/>
      <c r="I375" s="34"/>
      <c r="J375" s="31"/>
      <c r="K375" s="31"/>
      <c r="L375" s="35"/>
      <c r="M375" s="34"/>
      <c r="N375" s="35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8.75" customHeight="1">
      <c r="A376" s="31"/>
      <c r="B376" s="31"/>
      <c r="C376" s="36"/>
      <c r="D376" s="31"/>
      <c r="E376" s="31"/>
      <c r="F376" s="31"/>
      <c r="G376" s="31"/>
      <c r="H376" s="31"/>
      <c r="I376" s="34"/>
      <c r="J376" s="31"/>
      <c r="K376" s="31"/>
      <c r="L376" s="35"/>
      <c r="M376" s="34"/>
      <c r="N376" s="35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8.75" customHeight="1">
      <c r="A377" s="31"/>
      <c r="B377" s="31"/>
      <c r="C377" s="36"/>
      <c r="D377" s="31"/>
      <c r="E377" s="31"/>
      <c r="F377" s="31"/>
      <c r="G377" s="31"/>
      <c r="H377" s="31"/>
      <c r="I377" s="34"/>
      <c r="J377" s="31"/>
      <c r="K377" s="31"/>
      <c r="L377" s="35"/>
      <c r="M377" s="34"/>
      <c r="N377" s="35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8.75" customHeight="1">
      <c r="A378" s="31"/>
      <c r="B378" s="31"/>
      <c r="C378" s="36"/>
      <c r="D378" s="31"/>
      <c r="E378" s="31"/>
      <c r="F378" s="31"/>
      <c r="G378" s="31"/>
      <c r="H378" s="31"/>
      <c r="I378" s="34"/>
      <c r="J378" s="31"/>
      <c r="K378" s="31"/>
      <c r="L378" s="35"/>
      <c r="M378" s="34"/>
      <c r="N378" s="35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8.75" customHeight="1">
      <c r="A379" s="31"/>
      <c r="B379" s="31"/>
      <c r="C379" s="36"/>
      <c r="D379" s="31"/>
      <c r="E379" s="31"/>
      <c r="F379" s="31"/>
      <c r="G379" s="31"/>
      <c r="H379" s="31"/>
      <c r="I379" s="34"/>
      <c r="J379" s="31"/>
      <c r="K379" s="31"/>
      <c r="L379" s="35"/>
      <c r="M379" s="34"/>
      <c r="N379" s="35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8.75" customHeight="1">
      <c r="A380" s="31"/>
      <c r="B380" s="31"/>
      <c r="C380" s="36"/>
      <c r="D380" s="31"/>
      <c r="E380" s="31"/>
      <c r="F380" s="31"/>
      <c r="G380" s="31"/>
      <c r="H380" s="31"/>
      <c r="I380" s="34"/>
      <c r="J380" s="31"/>
      <c r="K380" s="31"/>
      <c r="L380" s="35"/>
      <c r="M380" s="34"/>
      <c r="N380" s="35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8.75" customHeight="1">
      <c r="A381" s="31"/>
      <c r="B381" s="31"/>
      <c r="C381" s="36"/>
      <c r="D381" s="31"/>
      <c r="E381" s="31"/>
      <c r="F381" s="31"/>
      <c r="G381" s="31"/>
      <c r="H381" s="31"/>
      <c r="I381" s="34"/>
      <c r="J381" s="31"/>
      <c r="K381" s="31"/>
      <c r="L381" s="35"/>
      <c r="M381" s="34"/>
      <c r="N381" s="35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8.75" customHeight="1">
      <c r="A382" s="31"/>
      <c r="B382" s="31"/>
      <c r="C382" s="36"/>
      <c r="D382" s="31"/>
      <c r="E382" s="31"/>
      <c r="F382" s="31"/>
      <c r="G382" s="31"/>
      <c r="H382" s="31"/>
      <c r="I382" s="34"/>
      <c r="J382" s="31"/>
      <c r="K382" s="31"/>
      <c r="L382" s="35"/>
      <c r="M382" s="34"/>
      <c r="N382" s="35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8.75" customHeight="1">
      <c r="A383" s="31"/>
      <c r="B383" s="31"/>
      <c r="C383" s="36"/>
      <c r="D383" s="31"/>
      <c r="E383" s="31"/>
      <c r="F383" s="31"/>
      <c r="G383" s="31"/>
      <c r="H383" s="31"/>
      <c r="I383" s="34"/>
      <c r="J383" s="31"/>
      <c r="K383" s="31"/>
      <c r="L383" s="35"/>
      <c r="M383" s="34"/>
      <c r="N383" s="35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8.75" customHeight="1">
      <c r="A384" s="31"/>
      <c r="B384" s="31"/>
      <c r="C384" s="36"/>
      <c r="D384" s="31"/>
      <c r="E384" s="31"/>
      <c r="F384" s="31"/>
      <c r="G384" s="31"/>
      <c r="H384" s="31"/>
      <c r="I384" s="34"/>
      <c r="J384" s="31"/>
      <c r="K384" s="31"/>
      <c r="L384" s="35"/>
      <c r="M384" s="34"/>
      <c r="N384" s="35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8.75" customHeight="1">
      <c r="A385" s="31"/>
      <c r="B385" s="31"/>
      <c r="C385" s="36"/>
      <c r="D385" s="31"/>
      <c r="E385" s="31"/>
      <c r="F385" s="31"/>
      <c r="G385" s="31"/>
      <c r="H385" s="31"/>
      <c r="I385" s="34"/>
      <c r="J385" s="31"/>
      <c r="K385" s="31"/>
      <c r="L385" s="35"/>
      <c r="M385" s="34"/>
      <c r="N385" s="35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8.75" customHeight="1">
      <c r="A386" s="31"/>
      <c r="B386" s="31"/>
      <c r="C386" s="36"/>
      <c r="D386" s="31"/>
      <c r="E386" s="31"/>
      <c r="F386" s="31"/>
      <c r="G386" s="31"/>
      <c r="H386" s="31"/>
      <c r="I386" s="34"/>
      <c r="J386" s="31"/>
      <c r="K386" s="31"/>
      <c r="L386" s="35"/>
      <c r="M386" s="34"/>
      <c r="N386" s="35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8.75" customHeight="1">
      <c r="A387" s="31"/>
      <c r="B387" s="31"/>
      <c r="C387" s="36"/>
      <c r="D387" s="31"/>
      <c r="E387" s="31"/>
      <c r="F387" s="31"/>
      <c r="G387" s="31"/>
      <c r="H387" s="31"/>
      <c r="I387" s="34"/>
      <c r="J387" s="31"/>
      <c r="K387" s="31"/>
      <c r="L387" s="35"/>
      <c r="M387" s="34"/>
      <c r="N387" s="35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8.75" customHeight="1">
      <c r="A388" s="31"/>
      <c r="B388" s="31"/>
      <c r="C388" s="36"/>
      <c r="D388" s="31"/>
      <c r="E388" s="31"/>
      <c r="F388" s="31"/>
      <c r="G388" s="31"/>
      <c r="H388" s="31"/>
      <c r="I388" s="34"/>
      <c r="J388" s="31"/>
      <c r="K388" s="31"/>
      <c r="L388" s="35"/>
      <c r="M388" s="34"/>
      <c r="N388" s="35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8.75" customHeight="1">
      <c r="A389" s="31"/>
      <c r="B389" s="31"/>
      <c r="C389" s="36"/>
      <c r="D389" s="31"/>
      <c r="E389" s="31"/>
      <c r="F389" s="31"/>
      <c r="G389" s="31"/>
      <c r="H389" s="31"/>
      <c r="I389" s="34"/>
      <c r="J389" s="31"/>
      <c r="K389" s="31"/>
      <c r="L389" s="35"/>
      <c r="M389" s="34"/>
      <c r="N389" s="35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8.75" customHeight="1">
      <c r="A390" s="31"/>
      <c r="B390" s="31"/>
      <c r="C390" s="36"/>
      <c r="D390" s="31"/>
      <c r="E390" s="31"/>
      <c r="F390" s="31"/>
      <c r="G390" s="31"/>
      <c r="H390" s="31"/>
      <c r="I390" s="34"/>
      <c r="J390" s="31"/>
      <c r="K390" s="31"/>
      <c r="L390" s="35"/>
      <c r="M390" s="34"/>
      <c r="N390" s="35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8.75" customHeight="1">
      <c r="A391" s="31"/>
      <c r="B391" s="31"/>
      <c r="C391" s="36"/>
      <c r="D391" s="31"/>
      <c r="E391" s="31"/>
      <c r="F391" s="31"/>
      <c r="G391" s="31"/>
      <c r="H391" s="31"/>
      <c r="I391" s="34"/>
      <c r="J391" s="31"/>
      <c r="K391" s="31"/>
      <c r="L391" s="35"/>
      <c r="M391" s="34"/>
      <c r="N391" s="35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8.75" customHeight="1">
      <c r="A392" s="31"/>
      <c r="B392" s="31"/>
      <c r="C392" s="36"/>
      <c r="D392" s="31"/>
      <c r="E392" s="31"/>
      <c r="F392" s="31"/>
      <c r="G392" s="31"/>
      <c r="H392" s="31"/>
      <c r="I392" s="34"/>
      <c r="J392" s="31"/>
      <c r="K392" s="31"/>
      <c r="L392" s="35"/>
      <c r="M392" s="34"/>
      <c r="N392" s="35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8.75" customHeight="1">
      <c r="A393" s="31"/>
      <c r="B393" s="31"/>
      <c r="C393" s="36"/>
      <c r="D393" s="31"/>
      <c r="E393" s="31"/>
      <c r="F393" s="31"/>
      <c r="G393" s="31"/>
      <c r="H393" s="31"/>
      <c r="I393" s="34"/>
      <c r="J393" s="31"/>
      <c r="K393" s="31"/>
      <c r="L393" s="35"/>
      <c r="M393" s="34"/>
      <c r="N393" s="35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8.75" customHeight="1">
      <c r="A394" s="31"/>
      <c r="B394" s="31"/>
      <c r="C394" s="36"/>
      <c r="D394" s="31"/>
      <c r="E394" s="31"/>
      <c r="F394" s="31"/>
      <c r="G394" s="31"/>
      <c r="H394" s="31"/>
      <c r="I394" s="34"/>
      <c r="J394" s="31"/>
      <c r="K394" s="31"/>
      <c r="L394" s="35"/>
      <c r="M394" s="34"/>
      <c r="N394" s="35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8.75" customHeight="1">
      <c r="A395" s="31"/>
      <c r="B395" s="31"/>
      <c r="C395" s="36"/>
      <c r="D395" s="31"/>
      <c r="E395" s="31"/>
      <c r="F395" s="31"/>
      <c r="G395" s="31"/>
      <c r="H395" s="31"/>
      <c r="I395" s="34"/>
      <c r="J395" s="31"/>
      <c r="K395" s="31"/>
      <c r="L395" s="35"/>
      <c r="M395" s="34"/>
      <c r="N395" s="35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8.75" customHeight="1">
      <c r="A396" s="31"/>
      <c r="B396" s="31"/>
      <c r="C396" s="36"/>
      <c r="D396" s="31"/>
      <c r="E396" s="31"/>
      <c r="F396" s="31"/>
      <c r="G396" s="31"/>
      <c r="H396" s="31"/>
      <c r="I396" s="34"/>
      <c r="J396" s="31"/>
      <c r="K396" s="31"/>
      <c r="L396" s="35"/>
      <c r="M396" s="34"/>
      <c r="N396" s="35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8.75" customHeight="1">
      <c r="A397" s="31"/>
      <c r="B397" s="31"/>
      <c r="C397" s="36"/>
      <c r="D397" s="31"/>
      <c r="E397" s="31"/>
      <c r="F397" s="31"/>
      <c r="G397" s="31"/>
      <c r="H397" s="31"/>
      <c r="I397" s="34"/>
      <c r="J397" s="31"/>
      <c r="K397" s="31"/>
      <c r="L397" s="35"/>
      <c r="M397" s="34"/>
      <c r="N397" s="35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8.75" customHeight="1">
      <c r="A398" s="31"/>
      <c r="B398" s="31"/>
      <c r="C398" s="36"/>
      <c r="D398" s="31"/>
      <c r="E398" s="31"/>
      <c r="F398" s="31"/>
      <c r="G398" s="31"/>
      <c r="H398" s="31"/>
      <c r="I398" s="34"/>
      <c r="J398" s="31"/>
      <c r="K398" s="31"/>
      <c r="L398" s="35"/>
      <c r="M398" s="34"/>
      <c r="N398" s="35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8.75" customHeight="1">
      <c r="A399" s="31"/>
      <c r="B399" s="31"/>
      <c r="C399" s="36"/>
      <c r="D399" s="31"/>
      <c r="E399" s="31"/>
      <c r="F399" s="31"/>
      <c r="G399" s="31"/>
      <c r="H399" s="31"/>
      <c r="I399" s="34"/>
      <c r="J399" s="31"/>
      <c r="K399" s="31"/>
      <c r="L399" s="35"/>
      <c r="M399" s="34"/>
      <c r="N399" s="35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8.75" customHeight="1">
      <c r="A400" s="31"/>
      <c r="B400" s="31"/>
      <c r="C400" s="36"/>
      <c r="D400" s="31"/>
      <c r="E400" s="31"/>
      <c r="F400" s="31"/>
      <c r="G400" s="31"/>
      <c r="H400" s="31"/>
      <c r="I400" s="34"/>
      <c r="J400" s="31"/>
      <c r="K400" s="31"/>
      <c r="L400" s="35"/>
      <c r="M400" s="34"/>
      <c r="N400" s="35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8.75" customHeight="1">
      <c r="A401" s="31"/>
      <c r="B401" s="31"/>
      <c r="C401" s="36"/>
      <c r="D401" s="31"/>
      <c r="E401" s="31"/>
      <c r="F401" s="31"/>
      <c r="G401" s="31"/>
      <c r="H401" s="31"/>
      <c r="I401" s="34"/>
      <c r="J401" s="31"/>
      <c r="K401" s="31"/>
      <c r="L401" s="35"/>
      <c r="M401" s="34"/>
      <c r="N401" s="35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8.75" customHeight="1">
      <c r="A402" s="31"/>
      <c r="B402" s="31"/>
      <c r="C402" s="36"/>
      <c r="D402" s="31"/>
      <c r="E402" s="31"/>
      <c r="F402" s="31"/>
      <c r="G402" s="31"/>
      <c r="H402" s="31"/>
      <c r="I402" s="34"/>
      <c r="J402" s="31"/>
      <c r="K402" s="31"/>
      <c r="L402" s="35"/>
      <c r="M402" s="34"/>
      <c r="N402" s="35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8.75" customHeight="1">
      <c r="A403" s="31"/>
      <c r="B403" s="31"/>
      <c r="C403" s="36"/>
      <c r="D403" s="31"/>
      <c r="E403" s="31"/>
      <c r="F403" s="31"/>
      <c r="G403" s="31"/>
      <c r="H403" s="31"/>
      <c r="I403" s="34"/>
      <c r="J403" s="31"/>
      <c r="K403" s="31"/>
      <c r="L403" s="35"/>
      <c r="M403" s="34"/>
      <c r="N403" s="35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8.75" customHeight="1">
      <c r="A404" s="31"/>
      <c r="B404" s="31"/>
      <c r="C404" s="36"/>
      <c r="D404" s="31"/>
      <c r="E404" s="31"/>
      <c r="F404" s="31"/>
      <c r="G404" s="31"/>
      <c r="H404" s="31"/>
      <c r="I404" s="34"/>
      <c r="J404" s="31"/>
      <c r="K404" s="31"/>
      <c r="L404" s="35"/>
      <c r="M404" s="34"/>
      <c r="N404" s="35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8.75" customHeight="1">
      <c r="A405" s="31"/>
      <c r="B405" s="31"/>
      <c r="C405" s="36"/>
      <c r="D405" s="31"/>
      <c r="E405" s="31"/>
      <c r="F405" s="31"/>
      <c r="G405" s="31"/>
      <c r="H405" s="31"/>
      <c r="I405" s="34"/>
      <c r="J405" s="31"/>
      <c r="K405" s="31"/>
      <c r="L405" s="35"/>
      <c r="M405" s="34"/>
      <c r="N405" s="35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8.75" customHeight="1">
      <c r="A406" s="31"/>
      <c r="B406" s="31"/>
      <c r="C406" s="36"/>
      <c r="D406" s="31"/>
      <c r="E406" s="31"/>
      <c r="F406" s="31"/>
      <c r="G406" s="31"/>
      <c r="H406" s="31"/>
      <c r="I406" s="34"/>
      <c r="J406" s="31"/>
      <c r="K406" s="31"/>
      <c r="L406" s="35"/>
      <c r="M406" s="34"/>
      <c r="N406" s="35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8.75" customHeight="1">
      <c r="A407" s="31"/>
      <c r="B407" s="31"/>
      <c r="C407" s="36"/>
      <c r="D407" s="31"/>
      <c r="E407" s="31"/>
      <c r="F407" s="31"/>
      <c r="G407" s="31"/>
      <c r="H407" s="31"/>
      <c r="I407" s="34"/>
      <c r="J407" s="31"/>
      <c r="K407" s="31"/>
      <c r="L407" s="35"/>
      <c r="M407" s="34"/>
      <c r="N407" s="35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8.75" customHeight="1">
      <c r="A408" s="31"/>
      <c r="B408" s="31"/>
      <c r="C408" s="36"/>
      <c r="D408" s="31"/>
      <c r="E408" s="31"/>
      <c r="F408" s="31"/>
      <c r="G408" s="31"/>
      <c r="H408" s="31"/>
      <c r="I408" s="34"/>
      <c r="J408" s="31"/>
      <c r="K408" s="31"/>
      <c r="L408" s="35"/>
      <c r="M408" s="34"/>
      <c r="N408" s="35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8.75" customHeight="1">
      <c r="A409" s="31"/>
      <c r="B409" s="31"/>
      <c r="C409" s="36"/>
      <c r="D409" s="31"/>
      <c r="E409" s="31"/>
      <c r="F409" s="31"/>
      <c r="G409" s="31"/>
      <c r="H409" s="31"/>
      <c r="I409" s="34"/>
      <c r="J409" s="31"/>
      <c r="K409" s="31"/>
      <c r="L409" s="35"/>
      <c r="M409" s="34"/>
      <c r="N409" s="35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8.75" customHeight="1">
      <c r="A410" s="31"/>
      <c r="B410" s="31"/>
      <c r="C410" s="36"/>
      <c r="D410" s="31"/>
      <c r="E410" s="31"/>
      <c r="F410" s="31"/>
      <c r="G410" s="31"/>
      <c r="H410" s="31"/>
      <c r="I410" s="34"/>
      <c r="J410" s="31"/>
      <c r="K410" s="31"/>
      <c r="L410" s="35"/>
      <c r="M410" s="34"/>
      <c r="N410" s="35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8.75" customHeight="1">
      <c r="A411" s="31"/>
      <c r="B411" s="31"/>
      <c r="C411" s="36"/>
      <c r="D411" s="31"/>
      <c r="E411" s="31"/>
      <c r="F411" s="31"/>
      <c r="G411" s="31"/>
      <c r="H411" s="31"/>
      <c r="I411" s="34"/>
      <c r="J411" s="31"/>
      <c r="K411" s="31"/>
      <c r="L411" s="35"/>
      <c r="M411" s="34"/>
      <c r="N411" s="35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8.75" customHeight="1">
      <c r="A412" s="31"/>
      <c r="B412" s="31"/>
      <c r="C412" s="36"/>
      <c r="D412" s="31"/>
      <c r="E412" s="31"/>
      <c r="F412" s="31"/>
      <c r="G412" s="31"/>
      <c r="H412" s="31"/>
      <c r="I412" s="34"/>
      <c r="J412" s="31"/>
      <c r="K412" s="31"/>
      <c r="L412" s="35"/>
      <c r="M412" s="34"/>
      <c r="N412" s="35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8.75" customHeight="1">
      <c r="A413" s="31"/>
      <c r="B413" s="31"/>
      <c r="C413" s="36"/>
      <c r="D413" s="31"/>
      <c r="E413" s="31"/>
      <c r="F413" s="31"/>
      <c r="G413" s="31"/>
      <c r="H413" s="31"/>
      <c r="I413" s="34"/>
      <c r="J413" s="31"/>
      <c r="K413" s="31"/>
      <c r="L413" s="35"/>
      <c r="M413" s="34"/>
      <c r="N413" s="35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8.75" customHeight="1">
      <c r="A414" s="31"/>
      <c r="B414" s="31"/>
      <c r="C414" s="36"/>
      <c r="D414" s="31"/>
      <c r="E414" s="31"/>
      <c r="F414" s="31"/>
      <c r="G414" s="31"/>
      <c r="H414" s="31"/>
      <c r="I414" s="34"/>
      <c r="J414" s="31"/>
      <c r="K414" s="31"/>
      <c r="L414" s="35"/>
      <c r="M414" s="34"/>
      <c r="N414" s="35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8.75" customHeight="1">
      <c r="A415" s="31"/>
      <c r="B415" s="31"/>
      <c r="C415" s="36"/>
      <c r="D415" s="31"/>
      <c r="E415" s="31"/>
      <c r="F415" s="31"/>
      <c r="G415" s="31"/>
      <c r="H415" s="31"/>
      <c r="I415" s="34"/>
      <c r="J415" s="31"/>
      <c r="K415" s="31"/>
      <c r="L415" s="35"/>
      <c r="M415" s="34"/>
      <c r="N415" s="35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8.75" customHeight="1">
      <c r="A416" s="31"/>
      <c r="B416" s="31"/>
      <c r="C416" s="36"/>
      <c r="D416" s="31"/>
      <c r="E416" s="31"/>
      <c r="F416" s="31"/>
      <c r="G416" s="31"/>
      <c r="H416" s="31"/>
      <c r="I416" s="34"/>
      <c r="J416" s="31"/>
      <c r="K416" s="31"/>
      <c r="L416" s="35"/>
      <c r="M416" s="34"/>
      <c r="N416" s="35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8.75" customHeight="1">
      <c r="A417" s="31"/>
      <c r="B417" s="31"/>
      <c r="C417" s="36"/>
      <c r="D417" s="31"/>
      <c r="E417" s="31"/>
      <c r="F417" s="31"/>
      <c r="G417" s="31"/>
      <c r="H417" s="31"/>
      <c r="I417" s="34"/>
      <c r="J417" s="31"/>
      <c r="K417" s="31"/>
      <c r="L417" s="35"/>
      <c r="M417" s="34"/>
      <c r="N417" s="35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8.75" customHeight="1">
      <c r="A418" s="31"/>
      <c r="B418" s="31"/>
      <c r="C418" s="36"/>
      <c r="D418" s="31"/>
      <c r="E418" s="31"/>
      <c r="F418" s="31"/>
      <c r="G418" s="31"/>
      <c r="H418" s="31"/>
      <c r="I418" s="34"/>
      <c r="J418" s="31"/>
      <c r="K418" s="31"/>
      <c r="L418" s="35"/>
      <c r="M418" s="34"/>
      <c r="N418" s="35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8.75" customHeight="1">
      <c r="A419" s="31"/>
      <c r="B419" s="31"/>
      <c r="C419" s="36"/>
      <c r="D419" s="31"/>
      <c r="E419" s="31"/>
      <c r="F419" s="31"/>
      <c r="G419" s="31"/>
      <c r="H419" s="31"/>
      <c r="I419" s="34"/>
      <c r="J419" s="31"/>
      <c r="K419" s="31"/>
      <c r="L419" s="35"/>
      <c r="M419" s="34"/>
      <c r="N419" s="35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8.75" customHeight="1">
      <c r="A420" s="31"/>
      <c r="B420" s="31"/>
      <c r="C420" s="36"/>
      <c r="D420" s="31"/>
      <c r="E420" s="31"/>
      <c r="F420" s="31"/>
      <c r="G420" s="31"/>
      <c r="H420" s="31"/>
      <c r="I420" s="34"/>
      <c r="J420" s="31"/>
      <c r="K420" s="31"/>
      <c r="L420" s="35"/>
      <c r="M420" s="34"/>
      <c r="N420" s="35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8.75" customHeight="1">
      <c r="A421" s="31"/>
      <c r="B421" s="31"/>
      <c r="C421" s="36"/>
      <c r="D421" s="31"/>
      <c r="E421" s="31"/>
      <c r="F421" s="31"/>
      <c r="G421" s="31"/>
      <c r="H421" s="31"/>
      <c r="I421" s="34"/>
      <c r="J421" s="31"/>
      <c r="K421" s="31"/>
      <c r="L421" s="35"/>
      <c r="M421" s="34"/>
      <c r="N421" s="35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8.75" customHeight="1">
      <c r="A422" s="31"/>
      <c r="B422" s="31"/>
      <c r="C422" s="36"/>
      <c r="D422" s="31"/>
      <c r="E422" s="31"/>
      <c r="F422" s="31"/>
      <c r="G422" s="31"/>
      <c r="H422" s="31"/>
      <c r="I422" s="34"/>
      <c r="J422" s="31"/>
      <c r="K422" s="31"/>
      <c r="L422" s="35"/>
      <c r="M422" s="34"/>
      <c r="N422" s="35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8.75" customHeight="1">
      <c r="A423" s="31"/>
      <c r="B423" s="31"/>
      <c r="C423" s="36"/>
      <c r="D423" s="31"/>
      <c r="E423" s="31"/>
      <c r="F423" s="31"/>
      <c r="G423" s="31"/>
      <c r="H423" s="31"/>
      <c r="I423" s="34"/>
      <c r="J423" s="31"/>
      <c r="K423" s="31"/>
      <c r="L423" s="35"/>
      <c r="M423" s="34"/>
      <c r="N423" s="35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8.75" customHeight="1">
      <c r="A424" s="31"/>
      <c r="B424" s="31"/>
      <c r="C424" s="36"/>
      <c r="D424" s="31"/>
      <c r="E424" s="31"/>
      <c r="F424" s="31"/>
      <c r="G424" s="31"/>
      <c r="H424" s="31"/>
      <c r="I424" s="34"/>
      <c r="J424" s="31"/>
      <c r="K424" s="31"/>
      <c r="L424" s="35"/>
      <c r="M424" s="34"/>
      <c r="N424" s="35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8.75" customHeight="1">
      <c r="A425" s="31"/>
      <c r="B425" s="31"/>
      <c r="C425" s="36"/>
      <c r="D425" s="31"/>
      <c r="E425" s="31"/>
      <c r="F425" s="31"/>
      <c r="G425" s="31"/>
      <c r="H425" s="31"/>
      <c r="I425" s="34"/>
      <c r="J425" s="31"/>
      <c r="K425" s="31"/>
      <c r="L425" s="35"/>
      <c r="M425" s="34"/>
      <c r="N425" s="35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8.75" customHeight="1">
      <c r="A426" s="31"/>
      <c r="B426" s="31"/>
      <c r="C426" s="36"/>
      <c r="D426" s="31"/>
      <c r="E426" s="31"/>
      <c r="F426" s="31"/>
      <c r="G426" s="31"/>
      <c r="H426" s="31"/>
      <c r="I426" s="34"/>
      <c r="J426" s="31"/>
      <c r="K426" s="31"/>
      <c r="L426" s="35"/>
      <c r="M426" s="34"/>
      <c r="N426" s="35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8.75" customHeight="1">
      <c r="A427" s="31"/>
      <c r="B427" s="31"/>
      <c r="C427" s="36"/>
      <c r="D427" s="31"/>
      <c r="E427" s="31"/>
      <c r="F427" s="31"/>
      <c r="G427" s="31"/>
      <c r="H427" s="31"/>
      <c r="I427" s="34"/>
      <c r="J427" s="31"/>
      <c r="K427" s="31"/>
      <c r="L427" s="35"/>
      <c r="M427" s="34"/>
      <c r="N427" s="35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8.75" customHeight="1">
      <c r="A428" s="31"/>
      <c r="B428" s="31"/>
      <c r="C428" s="36"/>
      <c r="D428" s="31"/>
      <c r="E428" s="31"/>
      <c r="F428" s="31"/>
      <c r="G428" s="31"/>
      <c r="H428" s="31"/>
      <c r="I428" s="34"/>
      <c r="J428" s="31"/>
      <c r="K428" s="31"/>
      <c r="L428" s="35"/>
      <c r="M428" s="34"/>
      <c r="N428" s="35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8.75" customHeight="1">
      <c r="A429" s="31"/>
      <c r="B429" s="31"/>
      <c r="C429" s="36"/>
      <c r="D429" s="31"/>
      <c r="E429" s="31"/>
      <c r="F429" s="31"/>
      <c r="G429" s="31"/>
      <c r="H429" s="31"/>
      <c r="I429" s="34"/>
      <c r="J429" s="31"/>
      <c r="K429" s="31"/>
      <c r="L429" s="35"/>
      <c r="M429" s="34"/>
      <c r="N429" s="35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8.75" customHeight="1">
      <c r="A430" s="31"/>
      <c r="B430" s="31"/>
      <c r="C430" s="36"/>
      <c r="D430" s="31"/>
      <c r="E430" s="31"/>
      <c r="F430" s="31"/>
      <c r="G430" s="31"/>
      <c r="H430" s="31"/>
      <c r="I430" s="34"/>
      <c r="J430" s="31"/>
      <c r="K430" s="31"/>
      <c r="L430" s="35"/>
      <c r="M430" s="34"/>
      <c r="N430" s="35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8.75" customHeight="1">
      <c r="A431" s="31"/>
      <c r="B431" s="31"/>
      <c r="C431" s="36"/>
      <c r="D431" s="31"/>
      <c r="E431" s="31"/>
      <c r="F431" s="31"/>
      <c r="G431" s="31"/>
      <c r="H431" s="31"/>
      <c r="I431" s="34"/>
      <c r="J431" s="31"/>
      <c r="K431" s="31"/>
      <c r="L431" s="35"/>
      <c r="M431" s="34"/>
      <c r="N431" s="35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8.75" customHeight="1">
      <c r="A432" s="31"/>
      <c r="B432" s="31"/>
      <c r="C432" s="36"/>
      <c r="D432" s="31"/>
      <c r="E432" s="31"/>
      <c r="F432" s="31"/>
      <c r="G432" s="31"/>
      <c r="H432" s="31"/>
      <c r="I432" s="34"/>
      <c r="J432" s="31"/>
      <c r="K432" s="31"/>
      <c r="L432" s="35"/>
      <c r="M432" s="34"/>
      <c r="N432" s="35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8.75" customHeight="1">
      <c r="A433" s="31"/>
      <c r="B433" s="31"/>
      <c r="C433" s="36"/>
      <c r="D433" s="31"/>
      <c r="E433" s="31"/>
      <c r="F433" s="31"/>
      <c r="G433" s="31"/>
      <c r="H433" s="31"/>
      <c r="I433" s="34"/>
      <c r="J433" s="31"/>
      <c r="K433" s="31"/>
      <c r="L433" s="35"/>
      <c r="M433" s="34"/>
      <c r="N433" s="35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8.75" customHeight="1">
      <c r="A434" s="31"/>
      <c r="B434" s="31"/>
      <c r="C434" s="36"/>
      <c r="D434" s="31"/>
      <c r="E434" s="31"/>
      <c r="F434" s="31"/>
      <c r="G434" s="31"/>
      <c r="H434" s="31"/>
      <c r="I434" s="34"/>
      <c r="J434" s="31"/>
      <c r="K434" s="31"/>
      <c r="L434" s="35"/>
      <c r="M434" s="34"/>
      <c r="N434" s="35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8.75" customHeight="1">
      <c r="A435" s="31"/>
      <c r="B435" s="31"/>
      <c r="C435" s="36"/>
      <c r="D435" s="31"/>
      <c r="E435" s="31"/>
      <c r="F435" s="31"/>
      <c r="G435" s="31"/>
      <c r="H435" s="31"/>
      <c r="I435" s="34"/>
      <c r="J435" s="31"/>
      <c r="K435" s="31"/>
      <c r="L435" s="35"/>
      <c r="M435" s="34"/>
      <c r="N435" s="35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8.75" customHeight="1">
      <c r="A436" s="31"/>
      <c r="B436" s="31"/>
      <c r="C436" s="36"/>
      <c r="D436" s="31"/>
      <c r="E436" s="31"/>
      <c r="F436" s="31"/>
      <c r="G436" s="31"/>
      <c r="H436" s="31"/>
      <c r="I436" s="34"/>
      <c r="J436" s="31"/>
      <c r="K436" s="31"/>
      <c r="L436" s="35"/>
      <c r="M436" s="34"/>
      <c r="N436" s="35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8.75" customHeight="1">
      <c r="A437" s="31"/>
      <c r="B437" s="31"/>
      <c r="C437" s="36"/>
      <c r="D437" s="31"/>
      <c r="E437" s="31"/>
      <c r="F437" s="31"/>
      <c r="G437" s="31"/>
      <c r="H437" s="31"/>
      <c r="I437" s="34"/>
      <c r="J437" s="31"/>
      <c r="K437" s="31"/>
      <c r="L437" s="35"/>
      <c r="M437" s="34"/>
      <c r="N437" s="35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8.75" customHeight="1">
      <c r="A438" s="31"/>
      <c r="B438" s="31"/>
      <c r="C438" s="36"/>
      <c r="D438" s="31"/>
      <c r="E438" s="31"/>
      <c r="F438" s="31"/>
      <c r="G438" s="31"/>
      <c r="H438" s="31"/>
      <c r="I438" s="34"/>
      <c r="J438" s="31"/>
      <c r="K438" s="31"/>
      <c r="L438" s="35"/>
      <c r="M438" s="34"/>
      <c r="N438" s="35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8.75" customHeight="1">
      <c r="A439" s="31"/>
      <c r="B439" s="31"/>
      <c r="C439" s="36"/>
      <c r="D439" s="31"/>
      <c r="E439" s="31"/>
      <c r="F439" s="31"/>
      <c r="G439" s="31"/>
      <c r="H439" s="31"/>
      <c r="I439" s="34"/>
      <c r="J439" s="31"/>
      <c r="K439" s="31"/>
      <c r="L439" s="35"/>
      <c r="M439" s="34"/>
      <c r="N439" s="35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8.75" customHeight="1">
      <c r="A440" s="31"/>
      <c r="B440" s="31"/>
      <c r="C440" s="36"/>
      <c r="D440" s="31"/>
      <c r="E440" s="31"/>
      <c r="F440" s="31"/>
      <c r="G440" s="31"/>
      <c r="H440" s="31"/>
      <c r="I440" s="34"/>
      <c r="J440" s="31"/>
      <c r="K440" s="31"/>
      <c r="L440" s="35"/>
      <c r="M440" s="34"/>
      <c r="N440" s="35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8.75" customHeight="1">
      <c r="A441" s="31"/>
      <c r="B441" s="31"/>
      <c r="C441" s="36"/>
      <c r="D441" s="31"/>
      <c r="E441" s="31"/>
      <c r="F441" s="31"/>
      <c r="G441" s="31"/>
      <c r="H441" s="31"/>
      <c r="I441" s="34"/>
      <c r="J441" s="31"/>
      <c r="K441" s="31"/>
      <c r="L441" s="35"/>
      <c r="M441" s="34"/>
      <c r="N441" s="35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8.75" customHeight="1">
      <c r="A442" s="31"/>
      <c r="B442" s="31"/>
      <c r="C442" s="36"/>
      <c r="D442" s="31"/>
      <c r="E442" s="31"/>
      <c r="F442" s="31"/>
      <c r="G442" s="31"/>
      <c r="H442" s="31"/>
      <c r="I442" s="34"/>
      <c r="J442" s="31"/>
      <c r="K442" s="31"/>
      <c r="L442" s="35"/>
      <c r="M442" s="34"/>
      <c r="N442" s="35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8.75" customHeight="1">
      <c r="A443" s="31"/>
      <c r="B443" s="31"/>
      <c r="C443" s="36"/>
      <c r="D443" s="31"/>
      <c r="E443" s="31"/>
      <c r="F443" s="31"/>
      <c r="G443" s="31"/>
      <c r="H443" s="31"/>
      <c r="I443" s="34"/>
      <c r="J443" s="31"/>
      <c r="K443" s="31"/>
      <c r="L443" s="35"/>
      <c r="M443" s="34"/>
      <c r="N443" s="35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8.75" customHeight="1">
      <c r="A444" s="31"/>
      <c r="B444" s="31"/>
      <c r="C444" s="36"/>
      <c r="D444" s="31"/>
      <c r="E444" s="31"/>
      <c r="F444" s="31"/>
      <c r="G444" s="31"/>
      <c r="H444" s="31"/>
      <c r="I444" s="34"/>
      <c r="J444" s="31"/>
      <c r="K444" s="31"/>
      <c r="L444" s="35"/>
      <c r="M444" s="34"/>
      <c r="N444" s="35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8.75" customHeight="1">
      <c r="A445" s="31"/>
      <c r="B445" s="31"/>
      <c r="C445" s="36"/>
      <c r="D445" s="31"/>
      <c r="E445" s="31"/>
      <c r="F445" s="31"/>
      <c r="G445" s="31"/>
      <c r="H445" s="31"/>
      <c r="I445" s="34"/>
      <c r="J445" s="31"/>
      <c r="K445" s="31"/>
      <c r="L445" s="35"/>
      <c r="M445" s="34"/>
      <c r="N445" s="35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8.75" customHeight="1">
      <c r="A446" s="31"/>
      <c r="B446" s="31"/>
      <c r="C446" s="36"/>
      <c r="D446" s="31"/>
      <c r="E446" s="31"/>
      <c r="F446" s="31"/>
      <c r="G446" s="31"/>
      <c r="H446" s="31"/>
      <c r="I446" s="34"/>
      <c r="J446" s="31"/>
      <c r="K446" s="31"/>
      <c r="L446" s="35"/>
      <c r="M446" s="34"/>
      <c r="N446" s="35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8.75" customHeight="1">
      <c r="A447" s="31"/>
      <c r="B447" s="31"/>
      <c r="C447" s="36"/>
      <c r="D447" s="31"/>
      <c r="E447" s="31"/>
      <c r="F447" s="31"/>
      <c r="G447" s="31"/>
      <c r="H447" s="31"/>
      <c r="I447" s="34"/>
      <c r="J447" s="31"/>
      <c r="K447" s="31"/>
      <c r="L447" s="35"/>
      <c r="M447" s="34"/>
      <c r="N447" s="35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8.75" customHeight="1">
      <c r="A448" s="31"/>
      <c r="B448" s="31"/>
      <c r="C448" s="36"/>
      <c r="D448" s="31"/>
      <c r="E448" s="31"/>
      <c r="F448" s="31"/>
      <c r="G448" s="31"/>
      <c r="H448" s="31"/>
      <c r="I448" s="34"/>
      <c r="J448" s="31"/>
      <c r="K448" s="31"/>
      <c r="L448" s="35"/>
      <c r="M448" s="34"/>
      <c r="N448" s="35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8.75" customHeight="1">
      <c r="A449" s="31"/>
      <c r="B449" s="31"/>
      <c r="C449" s="36"/>
      <c r="D449" s="31"/>
      <c r="E449" s="31"/>
      <c r="F449" s="31"/>
      <c r="G449" s="31"/>
      <c r="H449" s="31"/>
      <c r="I449" s="34"/>
      <c r="J449" s="31"/>
      <c r="K449" s="31"/>
      <c r="L449" s="35"/>
      <c r="M449" s="34"/>
      <c r="N449" s="35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8.75" customHeight="1">
      <c r="A450" s="31"/>
      <c r="B450" s="31"/>
      <c r="C450" s="36"/>
      <c r="D450" s="31"/>
      <c r="E450" s="31"/>
      <c r="F450" s="31"/>
      <c r="G450" s="31"/>
      <c r="H450" s="31"/>
      <c r="I450" s="34"/>
      <c r="J450" s="31"/>
      <c r="K450" s="31"/>
      <c r="L450" s="35"/>
      <c r="M450" s="34"/>
      <c r="N450" s="35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8.75" customHeight="1">
      <c r="A451" s="31"/>
      <c r="B451" s="31"/>
      <c r="C451" s="36"/>
      <c r="D451" s="31"/>
      <c r="E451" s="31"/>
      <c r="F451" s="31"/>
      <c r="G451" s="31"/>
      <c r="H451" s="31"/>
      <c r="I451" s="34"/>
      <c r="J451" s="31"/>
      <c r="K451" s="31"/>
      <c r="L451" s="35"/>
      <c r="M451" s="34"/>
      <c r="N451" s="35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8.75" customHeight="1">
      <c r="A452" s="31"/>
      <c r="B452" s="31"/>
      <c r="C452" s="36"/>
      <c r="D452" s="31"/>
      <c r="E452" s="31"/>
      <c r="F452" s="31"/>
      <c r="G452" s="31"/>
      <c r="H452" s="31"/>
      <c r="I452" s="34"/>
      <c r="J452" s="31"/>
      <c r="K452" s="31"/>
      <c r="L452" s="35"/>
      <c r="M452" s="34"/>
      <c r="N452" s="35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8.75" customHeight="1">
      <c r="A453" s="31"/>
      <c r="B453" s="31"/>
      <c r="C453" s="36"/>
      <c r="D453" s="31"/>
      <c r="E453" s="31"/>
      <c r="F453" s="31"/>
      <c r="G453" s="31"/>
      <c r="H453" s="31"/>
      <c r="I453" s="34"/>
      <c r="J453" s="31"/>
      <c r="K453" s="31"/>
      <c r="L453" s="35"/>
      <c r="M453" s="34"/>
      <c r="N453" s="35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8.75" customHeight="1">
      <c r="A454" s="31"/>
      <c r="B454" s="31"/>
      <c r="C454" s="36"/>
      <c r="D454" s="31"/>
      <c r="E454" s="31"/>
      <c r="F454" s="31"/>
      <c r="G454" s="31"/>
      <c r="H454" s="31"/>
      <c r="I454" s="34"/>
      <c r="J454" s="31"/>
      <c r="K454" s="31"/>
      <c r="L454" s="35"/>
      <c r="M454" s="34"/>
      <c r="N454" s="35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8.75" customHeight="1">
      <c r="A455" s="31"/>
      <c r="B455" s="31"/>
      <c r="C455" s="36"/>
      <c r="D455" s="31"/>
      <c r="E455" s="31"/>
      <c r="F455" s="31"/>
      <c r="G455" s="31"/>
      <c r="H455" s="31"/>
      <c r="I455" s="34"/>
      <c r="J455" s="31"/>
      <c r="K455" s="31"/>
      <c r="L455" s="35"/>
      <c r="M455" s="34"/>
      <c r="N455" s="35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8.75" customHeight="1">
      <c r="A456" s="31"/>
      <c r="B456" s="31"/>
      <c r="C456" s="36"/>
      <c r="D456" s="31"/>
      <c r="E456" s="31"/>
      <c r="F456" s="31"/>
      <c r="G456" s="31"/>
      <c r="H456" s="31"/>
      <c r="I456" s="34"/>
      <c r="J456" s="31"/>
      <c r="K456" s="31"/>
      <c r="L456" s="35"/>
      <c r="M456" s="34"/>
      <c r="N456" s="35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8.75" customHeight="1">
      <c r="A457" s="31"/>
      <c r="B457" s="31"/>
      <c r="C457" s="36"/>
      <c r="D457" s="31"/>
      <c r="E457" s="31"/>
      <c r="F457" s="31"/>
      <c r="G457" s="31"/>
      <c r="H457" s="31"/>
      <c r="I457" s="34"/>
      <c r="J457" s="31"/>
      <c r="K457" s="31"/>
      <c r="L457" s="35"/>
      <c r="M457" s="34"/>
      <c r="N457" s="35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8.75" customHeight="1">
      <c r="A458" s="31"/>
      <c r="B458" s="31"/>
      <c r="C458" s="36"/>
      <c r="D458" s="31"/>
      <c r="E458" s="31"/>
      <c r="F458" s="31"/>
      <c r="G458" s="31"/>
      <c r="H458" s="31"/>
      <c r="I458" s="34"/>
      <c r="J458" s="31"/>
      <c r="K458" s="31"/>
      <c r="L458" s="35"/>
      <c r="M458" s="34"/>
      <c r="N458" s="35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8.75" customHeight="1">
      <c r="A459" s="31"/>
      <c r="B459" s="31"/>
      <c r="C459" s="36"/>
      <c r="D459" s="31"/>
      <c r="E459" s="31"/>
      <c r="F459" s="31"/>
      <c r="G459" s="31"/>
      <c r="H459" s="31"/>
      <c r="I459" s="34"/>
      <c r="J459" s="31"/>
      <c r="K459" s="31"/>
      <c r="L459" s="35"/>
      <c r="M459" s="34"/>
      <c r="N459" s="35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8.75" customHeight="1">
      <c r="A460" s="31"/>
      <c r="B460" s="31"/>
      <c r="C460" s="36"/>
      <c r="D460" s="31"/>
      <c r="E460" s="31"/>
      <c r="F460" s="31"/>
      <c r="G460" s="31"/>
      <c r="H460" s="31"/>
      <c r="I460" s="34"/>
      <c r="J460" s="31"/>
      <c r="K460" s="31"/>
      <c r="L460" s="35"/>
      <c r="M460" s="34"/>
      <c r="N460" s="35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8.75" customHeight="1">
      <c r="A461" s="31"/>
      <c r="B461" s="31"/>
      <c r="C461" s="36"/>
      <c r="D461" s="31"/>
      <c r="E461" s="31"/>
      <c r="F461" s="31"/>
      <c r="G461" s="31"/>
      <c r="H461" s="31"/>
      <c r="I461" s="34"/>
      <c r="J461" s="31"/>
      <c r="K461" s="31"/>
      <c r="L461" s="35"/>
      <c r="M461" s="34"/>
      <c r="N461" s="35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8.75" customHeight="1">
      <c r="A462" s="31"/>
      <c r="B462" s="31"/>
      <c r="C462" s="36"/>
      <c r="D462" s="31"/>
      <c r="E462" s="31"/>
      <c r="F462" s="31"/>
      <c r="G462" s="31"/>
      <c r="H462" s="31"/>
      <c r="I462" s="34"/>
      <c r="J462" s="31"/>
      <c r="K462" s="31"/>
      <c r="L462" s="35"/>
      <c r="M462" s="34"/>
      <c r="N462" s="35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8.75" customHeight="1">
      <c r="A463" s="31"/>
      <c r="B463" s="31"/>
      <c r="C463" s="36"/>
      <c r="D463" s="31"/>
      <c r="E463" s="31"/>
      <c r="F463" s="31"/>
      <c r="G463" s="31"/>
      <c r="H463" s="31"/>
      <c r="I463" s="34"/>
      <c r="J463" s="31"/>
      <c r="K463" s="31"/>
      <c r="L463" s="35"/>
      <c r="M463" s="34"/>
      <c r="N463" s="35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8.75" customHeight="1">
      <c r="A464" s="31"/>
      <c r="B464" s="31"/>
      <c r="C464" s="36"/>
      <c r="D464" s="31"/>
      <c r="E464" s="31"/>
      <c r="F464" s="31"/>
      <c r="G464" s="31"/>
      <c r="H464" s="31"/>
      <c r="I464" s="34"/>
      <c r="J464" s="31"/>
      <c r="K464" s="31"/>
      <c r="L464" s="35"/>
      <c r="M464" s="34"/>
      <c r="N464" s="35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8.75" customHeight="1">
      <c r="A465" s="31"/>
      <c r="B465" s="31"/>
      <c r="C465" s="36"/>
      <c r="D465" s="31"/>
      <c r="E465" s="31"/>
      <c r="F465" s="31"/>
      <c r="G465" s="31"/>
      <c r="H465" s="31"/>
      <c r="I465" s="34"/>
      <c r="J465" s="31"/>
      <c r="K465" s="31"/>
      <c r="L465" s="35"/>
      <c r="M465" s="34"/>
      <c r="N465" s="35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8.75" customHeight="1">
      <c r="A466" s="31"/>
      <c r="B466" s="31"/>
      <c r="C466" s="36"/>
      <c r="D466" s="31"/>
      <c r="E466" s="31"/>
      <c r="F466" s="31"/>
      <c r="G466" s="31"/>
      <c r="H466" s="31"/>
      <c r="I466" s="34"/>
      <c r="J466" s="31"/>
      <c r="K466" s="31"/>
      <c r="L466" s="35"/>
      <c r="M466" s="34"/>
      <c r="N466" s="35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8.75" customHeight="1">
      <c r="A467" s="31"/>
      <c r="B467" s="31"/>
      <c r="C467" s="36"/>
      <c r="D467" s="31"/>
      <c r="E467" s="31"/>
      <c r="F467" s="31"/>
      <c r="G467" s="31"/>
      <c r="H467" s="31"/>
      <c r="I467" s="34"/>
      <c r="J467" s="31"/>
      <c r="K467" s="31"/>
      <c r="L467" s="35"/>
      <c r="M467" s="34"/>
      <c r="N467" s="35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8.75" customHeight="1">
      <c r="A468" s="31"/>
      <c r="B468" s="31"/>
      <c r="C468" s="36"/>
      <c r="D468" s="31"/>
      <c r="E468" s="31"/>
      <c r="F468" s="31"/>
      <c r="G468" s="31"/>
      <c r="H468" s="31"/>
      <c r="I468" s="34"/>
      <c r="J468" s="31"/>
      <c r="K468" s="31"/>
      <c r="L468" s="35"/>
      <c r="M468" s="34"/>
      <c r="N468" s="35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8.75" customHeight="1">
      <c r="A469" s="31"/>
      <c r="B469" s="31"/>
      <c r="C469" s="36"/>
      <c r="D469" s="31"/>
      <c r="E469" s="31"/>
      <c r="F469" s="31"/>
      <c r="G469" s="31"/>
      <c r="H469" s="31"/>
      <c r="I469" s="34"/>
      <c r="J469" s="31"/>
      <c r="K469" s="31"/>
      <c r="L469" s="35"/>
      <c r="M469" s="34"/>
      <c r="N469" s="35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8.75" customHeight="1">
      <c r="A470" s="31"/>
      <c r="B470" s="31"/>
      <c r="C470" s="36"/>
      <c r="D470" s="31"/>
      <c r="E470" s="31"/>
      <c r="F470" s="31"/>
      <c r="G470" s="31"/>
      <c r="H470" s="31"/>
      <c r="I470" s="34"/>
      <c r="J470" s="31"/>
      <c r="K470" s="31"/>
      <c r="L470" s="35"/>
      <c r="M470" s="34"/>
      <c r="N470" s="35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8.75" customHeight="1">
      <c r="A471" s="31"/>
      <c r="B471" s="31"/>
      <c r="C471" s="36"/>
      <c r="D471" s="31"/>
      <c r="E471" s="31"/>
      <c r="F471" s="31"/>
      <c r="G471" s="31"/>
      <c r="H471" s="31"/>
      <c r="I471" s="34"/>
      <c r="J471" s="31"/>
      <c r="K471" s="31"/>
      <c r="L471" s="35"/>
      <c r="M471" s="34"/>
      <c r="N471" s="35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8.75" customHeight="1">
      <c r="A472" s="31"/>
      <c r="B472" s="31"/>
      <c r="C472" s="36"/>
      <c r="D472" s="31"/>
      <c r="E472" s="31"/>
      <c r="F472" s="31"/>
      <c r="G472" s="31"/>
      <c r="H472" s="31"/>
      <c r="I472" s="34"/>
      <c r="J472" s="31"/>
      <c r="K472" s="31"/>
      <c r="L472" s="35"/>
      <c r="M472" s="34"/>
      <c r="N472" s="35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8.75" customHeight="1">
      <c r="A473" s="31"/>
      <c r="B473" s="31"/>
      <c r="C473" s="36"/>
      <c r="D473" s="31"/>
      <c r="E473" s="31"/>
      <c r="F473" s="31"/>
      <c r="G473" s="31"/>
      <c r="H473" s="31"/>
      <c r="I473" s="34"/>
      <c r="J473" s="31"/>
      <c r="K473" s="31"/>
      <c r="L473" s="35"/>
      <c r="M473" s="34"/>
      <c r="N473" s="35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8.75" customHeight="1">
      <c r="A474" s="31"/>
      <c r="B474" s="31"/>
      <c r="C474" s="36"/>
      <c r="D474" s="31"/>
      <c r="E474" s="31"/>
      <c r="F474" s="31"/>
      <c r="G474" s="31"/>
      <c r="H474" s="31"/>
      <c r="I474" s="34"/>
      <c r="J474" s="31"/>
      <c r="K474" s="31"/>
      <c r="L474" s="35"/>
      <c r="M474" s="34"/>
      <c r="N474" s="35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8.75" customHeight="1">
      <c r="A475" s="31"/>
      <c r="B475" s="31"/>
      <c r="C475" s="36"/>
      <c r="D475" s="31"/>
      <c r="E475" s="31"/>
      <c r="F475" s="31"/>
      <c r="G475" s="31"/>
      <c r="H475" s="31"/>
      <c r="I475" s="34"/>
      <c r="J475" s="31"/>
      <c r="K475" s="31"/>
      <c r="L475" s="35"/>
      <c r="M475" s="34"/>
      <c r="N475" s="35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8.75" customHeight="1">
      <c r="A476" s="31"/>
      <c r="B476" s="31"/>
      <c r="C476" s="36"/>
      <c r="D476" s="31"/>
      <c r="E476" s="31"/>
      <c r="F476" s="31"/>
      <c r="G476" s="31"/>
      <c r="H476" s="31"/>
      <c r="I476" s="34"/>
      <c r="J476" s="31"/>
      <c r="K476" s="31"/>
      <c r="L476" s="35"/>
      <c r="M476" s="34"/>
      <c r="N476" s="35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8.75" customHeight="1">
      <c r="A477" s="31"/>
      <c r="B477" s="31"/>
      <c r="C477" s="36"/>
      <c r="D477" s="31"/>
      <c r="E477" s="31"/>
      <c r="F477" s="31"/>
      <c r="G477" s="31"/>
      <c r="H477" s="31"/>
      <c r="I477" s="34"/>
      <c r="J477" s="31"/>
      <c r="K477" s="31"/>
      <c r="L477" s="35"/>
      <c r="M477" s="34"/>
      <c r="N477" s="35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8.75" customHeight="1">
      <c r="A478" s="31"/>
      <c r="B478" s="31"/>
      <c r="C478" s="36"/>
      <c r="D478" s="31"/>
      <c r="E478" s="31"/>
      <c r="F478" s="31"/>
      <c r="G478" s="31"/>
      <c r="H478" s="31"/>
      <c r="I478" s="34"/>
      <c r="J478" s="31"/>
      <c r="K478" s="31"/>
      <c r="L478" s="35"/>
      <c r="M478" s="34"/>
      <c r="N478" s="35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8.75" customHeight="1">
      <c r="A479" s="31"/>
      <c r="B479" s="31"/>
      <c r="C479" s="36"/>
      <c r="D479" s="31"/>
      <c r="E479" s="31"/>
      <c r="F479" s="31"/>
      <c r="G479" s="31"/>
      <c r="H479" s="31"/>
      <c r="I479" s="34"/>
      <c r="J479" s="31"/>
      <c r="K479" s="31"/>
      <c r="L479" s="35"/>
      <c r="M479" s="34"/>
      <c r="N479" s="35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8.75" customHeight="1">
      <c r="A480" s="31"/>
      <c r="B480" s="31"/>
      <c r="C480" s="36"/>
      <c r="D480" s="31"/>
      <c r="E480" s="31"/>
      <c r="F480" s="31"/>
      <c r="G480" s="31"/>
      <c r="H480" s="31"/>
      <c r="I480" s="34"/>
      <c r="J480" s="31"/>
      <c r="K480" s="31"/>
      <c r="L480" s="35"/>
      <c r="M480" s="34"/>
      <c r="N480" s="35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8.75" customHeight="1">
      <c r="A481" s="31"/>
      <c r="B481" s="31"/>
      <c r="C481" s="36"/>
      <c r="D481" s="31"/>
      <c r="E481" s="31"/>
      <c r="F481" s="31"/>
      <c r="G481" s="31"/>
      <c r="H481" s="31"/>
      <c r="I481" s="34"/>
      <c r="J481" s="31"/>
      <c r="K481" s="31"/>
      <c r="L481" s="35"/>
      <c r="M481" s="34"/>
      <c r="N481" s="35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8.75" customHeight="1">
      <c r="A482" s="31"/>
      <c r="B482" s="31"/>
      <c r="C482" s="36"/>
      <c r="D482" s="31"/>
      <c r="E482" s="31"/>
      <c r="F482" s="31"/>
      <c r="G482" s="31"/>
      <c r="H482" s="31"/>
      <c r="I482" s="34"/>
      <c r="J482" s="31"/>
      <c r="K482" s="31"/>
      <c r="L482" s="35"/>
      <c r="M482" s="34"/>
      <c r="N482" s="35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8.75" customHeight="1">
      <c r="A483" s="31"/>
      <c r="B483" s="31"/>
      <c r="C483" s="36"/>
      <c r="D483" s="31"/>
      <c r="E483" s="31"/>
      <c r="F483" s="31"/>
      <c r="G483" s="31"/>
      <c r="H483" s="31"/>
      <c r="I483" s="34"/>
      <c r="J483" s="31"/>
      <c r="K483" s="31"/>
      <c r="L483" s="35"/>
      <c r="M483" s="34"/>
      <c r="N483" s="35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8.75" customHeight="1">
      <c r="A484" s="31"/>
      <c r="B484" s="31"/>
      <c r="C484" s="36"/>
      <c r="D484" s="31"/>
      <c r="E484" s="31"/>
      <c r="F484" s="31"/>
      <c r="G484" s="31"/>
      <c r="H484" s="31"/>
      <c r="I484" s="34"/>
      <c r="J484" s="31"/>
      <c r="K484" s="31"/>
      <c r="L484" s="35"/>
      <c r="M484" s="34"/>
      <c r="N484" s="35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8.75" customHeight="1">
      <c r="A485" s="31"/>
      <c r="B485" s="31"/>
      <c r="C485" s="36"/>
      <c r="D485" s="31"/>
      <c r="E485" s="31"/>
      <c r="F485" s="31"/>
      <c r="G485" s="31"/>
      <c r="H485" s="31"/>
      <c r="I485" s="34"/>
      <c r="J485" s="31"/>
      <c r="K485" s="31"/>
      <c r="L485" s="35"/>
      <c r="M485" s="34"/>
      <c r="N485" s="35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8.75" customHeight="1">
      <c r="A486" s="31"/>
      <c r="B486" s="31"/>
      <c r="C486" s="36"/>
      <c r="D486" s="31"/>
      <c r="E486" s="31"/>
      <c r="F486" s="31"/>
      <c r="G486" s="31"/>
      <c r="H486" s="31"/>
      <c r="I486" s="34"/>
      <c r="J486" s="31"/>
      <c r="K486" s="31"/>
      <c r="L486" s="35"/>
      <c r="M486" s="34"/>
      <c r="N486" s="35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8.75" customHeight="1">
      <c r="A487" s="31"/>
      <c r="B487" s="31"/>
      <c r="C487" s="36"/>
      <c r="D487" s="31"/>
      <c r="E487" s="31"/>
      <c r="F487" s="31"/>
      <c r="G487" s="31"/>
      <c r="H487" s="31"/>
      <c r="I487" s="34"/>
      <c r="J487" s="31"/>
      <c r="K487" s="31"/>
      <c r="L487" s="35"/>
      <c r="M487" s="34"/>
      <c r="N487" s="35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8.75" customHeight="1">
      <c r="A488" s="31"/>
      <c r="B488" s="31"/>
      <c r="C488" s="36"/>
      <c r="D488" s="31"/>
      <c r="E488" s="31"/>
      <c r="F488" s="31"/>
      <c r="G488" s="31"/>
      <c r="H488" s="31"/>
      <c r="I488" s="34"/>
      <c r="J488" s="31"/>
      <c r="K488" s="31"/>
      <c r="L488" s="35"/>
      <c r="M488" s="34"/>
      <c r="N488" s="35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8.75" customHeight="1">
      <c r="A489" s="31"/>
      <c r="B489" s="31"/>
      <c r="C489" s="36"/>
      <c r="D489" s="31"/>
      <c r="E489" s="31"/>
      <c r="F489" s="31"/>
      <c r="G489" s="31"/>
      <c r="H489" s="31"/>
      <c r="I489" s="34"/>
      <c r="J489" s="31"/>
      <c r="K489" s="31"/>
      <c r="L489" s="35"/>
      <c r="M489" s="34"/>
      <c r="N489" s="35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8.75" customHeight="1">
      <c r="A490" s="31"/>
      <c r="B490" s="31"/>
      <c r="C490" s="36"/>
      <c r="D490" s="31"/>
      <c r="E490" s="31"/>
      <c r="F490" s="31"/>
      <c r="G490" s="31"/>
      <c r="H490" s="31"/>
      <c r="I490" s="34"/>
      <c r="J490" s="31"/>
      <c r="K490" s="31"/>
      <c r="L490" s="35"/>
      <c r="M490" s="34"/>
      <c r="N490" s="35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8.75" customHeight="1">
      <c r="A491" s="31"/>
      <c r="B491" s="31"/>
      <c r="C491" s="36"/>
      <c r="D491" s="31"/>
      <c r="E491" s="31"/>
      <c r="F491" s="31"/>
      <c r="G491" s="31"/>
      <c r="H491" s="31"/>
      <c r="I491" s="34"/>
      <c r="J491" s="31"/>
      <c r="K491" s="31"/>
      <c r="L491" s="35"/>
      <c r="M491" s="34"/>
      <c r="N491" s="35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8.75" customHeight="1">
      <c r="A492" s="31"/>
      <c r="B492" s="31"/>
      <c r="C492" s="36"/>
      <c r="D492" s="31"/>
      <c r="E492" s="31"/>
      <c r="F492" s="31"/>
      <c r="G492" s="31"/>
      <c r="H492" s="31"/>
      <c r="I492" s="34"/>
      <c r="J492" s="31"/>
      <c r="K492" s="31"/>
      <c r="L492" s="35"/>
      <c r="M492" s="34"/>
      <c r="N492" s="35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8.75" customHeight="1">
      <c r="A493" s="31"/>
      <c r="B493" s="31"/>
      <c r="C493" s="36"/>
      <c r="D493" s="31"/>
      <c r="E493" s="31"/>
      <c r="F493" s="31"/>
      <c r="G493" s="31"/>
      <c r="H493" s="31"/>
      <c r="I493" s="34"/>
      <c r="J493" s="31"/>
      <c r="K493" s="31"/>
      <c r="L493" s="35"/>
      <c r="M493" s="34"/>
      <c r="N493" s="35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8.75" customHeight="1">
      <c r="A494" s="31"/>
      <c r="B494" s="31"/>
      <c r="C494" s="36"/>
      <c r="D494" s="31"/>
      <c r="E494" s="31"/>
      <c r="F494" s="31"/>
      <c r="G494" s="31"/>
      <c r="H494" s="31"/>
      <c r="I494" s="34"/>
      <c r="J494" s="31"/>
      <c r="K494" s="31"/>
      <c r="L494" s="35"/>
      <c r="M494" s="34"/>
      <c r="N494" s="35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8.75" customHeight="1">
      <c r="A495" s="31"/>
      <c r="B495" s="31"/>
      <c r="C495" s="36"/>
      <c r="D495" s="31"/>
      <c r="E495" s="31"/>
      <c r="F495" s="31"/>
      <c r="G495" s="31"/>
      <c r="H495" s="31"/>
      <c r="I495" s="34"/>
      <c r="J495" s="31"/>
      <c r="K495" s="31"/>
      <c r="L495" s="35"/>
      <c r="M495" s="34"/>
      <c r="N495" s="35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8.75" customHeight="1">
      <c r="A496" s="31"/>
      <c r="B496" s="31"/>
      <c r="C496" s="36"/>
      <c r="D496" s="31"/>
      <c r="E496" s="31"/>
      <c r="F496" s="31"/>
      <c r="G496" s="31"/>
      <c r="H496" s="31"/>
      <c r="I496" s="34"/>
      <c r="J496" s="31"/>
      <c r="K496" s="31"/>
      <c r="L496" s="35"/>
      <c r="M496" s="34"/>
      <c r="N496" s="35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8.75" customHeight="1">
      <c r="A497" s="31"/>
      <c r="B497" s="31"/>
      <c r="C497" s="36"/>
      <c r="D497" s="31"/>
      <c r="E497" s="31"/>
      <c r="F497" s="31"/>
      <c r="G497" s="31"/>
      <c r="H497" s="31"/>
      <c r="I497" s="34"/>
      <c r="J497" s="31"/>
      <c r="K497" s="31"/>
      <c r="L497" s="35"/>
      <c r="M497" s="34"/>
      <c r="N497" s="35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8.75" customHeight="1">
      <c r="A498" s="31"/>
      <c r="B498" s="31"/>
      <c r="C498" s="36"/>
      <c r="D498" s="31"/>
      <c r="E498" s="31"/>
      <c r="F498" s="31"/>
      <c r="G498" s="31"/>
      <c r="H498" s="31"/>
      <c r="I498" s="34"/>
      <c r="J498" s="31"/>
      <c r="K498" s="31"/>
      <c r="L498" s="35"/>
      <c r="M498" s="34"/>
      <c r="N498" s="35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8.75" customHeight="1">
      <c r="A499" s="31"/>
      <c r="B499" s="31"/>
      <c r="C499" s="36"/>
      <c r="D499" s="31"/>
      <c r="E499" s="31"/>
      <c r="F499" s="31"/>
      <c r="G499" s="31"/>
      <c r="H499" s="31"/>
      <c r="I499" s="34"/>
      <c r="J499" s="31"/>
      <c r="K499" s="31"/>
      <c r="L499" s="35"/>
      <c r="M499" s="34"/>
      <c r="N499" s="35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8.75" customHeight="1">
      <c r="A500" s="31"/>
      <c r="B500" s="31"/>
      <c r="C500" s="36"/>
      <c r="D500" s="31"/>
      <c r="E500" s="31"/>
      <c r="F500" s="31"/>
      <c r="G500" s="31"/>
      <c r="H500" s="31"/>
      <c r="I500" s="34"/>
      <c r="J500" s="31"/>
      <c r="K500" s="31"/>
      <c r="L500" s="35"/>
      <c r="M500" s="34"/>
      <c r="N500" s="35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8.75" customHeight="1">
      <c r="A501" s="31"/>
      <c r="B501" s="31"/>
      <c r="C501" s="36"/>
      <c r="D501" s="31"/>
      <c r="E501" s="31"/>
      <c r="F501" s="31"/>
      <c r="G501" s="31"/>
      <c r="H501" s="31"/>
      <c r="I501" s="34"/>
      <c r="J501" s="31"/>
      <c r="K501" s="31"/>
      <c r="L501" s="35"/>
      <c r="M501" s="34"/>
      <c r="N501" s="35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8.75" customHeight="1">
      <c r="A502" s="31"/>
      <c r="B502" s="31"/>
      <c r="C502" s="36"/>
      <c r="D502" s="31"/>
      <c r="E502" s="31"/>
      <c r="F502" s="31"/>
      <c r="G502" s="31"/>
      <c r="H502" s="31"/>
      <c r="I502" s="34"/>
      <c r="J502" s="31"/>
      <c r="K502" s="31"/>
      <c r="L502" s="35"/>
      <c r="M502" s="34"/>
      <c r="N502" s="35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8.75" customHeight="1">
      <c r="A503" s="31"/>
      <c r="B503" s="31"/>
      <c r="C503" s="36"/>
      <c r="D503" s="31"/>
      <c r="E503" s="31"/>
      <c r="F503" s="31"/>
      <c r="G503" s="31"/>
      <c r="H503" s="31"/>
      <c r="I503" s="34"/>
      <c r="J503" s="31"/>
      <c r="K503" s="31"/>
      <c r="L503" s="35"/>
      <c r="M503" s="34"/>
      <c r="N503" s="35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8.75" customHeight="1">
      <c r="A504" s="31"/>
      <c r="B504" s="31"/>
      <c r="C504" s="36"/>
      <c r="D504" s="31"/>
      <c r="E504" s="31"/>
      <c r="F504" s="31"/>
      <c r="G504" s="31"/>
      <c r="H504" s="31"/>
      <c r="I504" s="34"/>
      <c r="J504" s="31"/>
      <c r="K504" s="31"/>
      <c r="L504" s="35"/>
      <c r="M504" s="34"/>
      <c r="N504" s="35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8.75" customHeight="1">
      <c r="A505" s="31"/>
      <c r="B505" s="31"/>
      <c r="C505" s="36"/>
      <c r="D505" s="31"/>
      <c r="E505" s="31"/>
      <c r="F505" s="31"/>
      <c r="G505" s="31"/>
      <c r="H505" s="31"/>
      <c r="I505" s="34"/>
      <c r="J505" s="31"/>
      <c r="K505" s="31"/>
      <c r="L505" s="35"/>
      <c r="M505" s="34"/>
      <c r="N505" s="35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8.75" customHeight="1">
      <c r="A506" s="31"/>
      <c r="B506" s="31"/>
      <c r="C506" s="36"/>
      <c r="D506" s="31"/>
      <c r="E506" s="31"/>
      <c r="F506" s="31"/>
      <c r="G506" s="31"/>
      <c r="H506" s="31"/>
      <c r="I506" s="34"/>
      <c r="J506" s="31"/>
      <c r="K506" s="31"/>
      <c r="L506" s="35"/>
      <c r="M506" s="34"/>
      <c r="N506" s="35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8.75" customHeight="1">
      <c r="A507" s="31"/>
      <c r="B507" s="31"/>
      <c r="C507" s="36"/>
      <c r="D507" s="31"/>
      <c r="E507" s="31"/>
      <c r="F507" s="31"/>
      <c r="G507" s="31"/>
      <c r="H507" s="31"/>
      <c r="I507" s="34"/>
      <c r="J507" s="31"/>
      <c r="K507" s="31"/>
      <c r="L507" s="35"/>
      <c r="M507" s="34"/>
      <c r="N507" s="35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8.75" customHeight="1">
      <c r="A508" s="31"/>
      <c r="B508" s="31"/>
      <c r="C508" s="36"/>
      <c r="D508" s="31"/>
      <c r="E508" s="31"/>
      <c r="F508" s="31"/>
      <c r="G508" s="31"/>
      <c r="H508" s="31"/>
      <c r="I508" s="34"/>
      <c r="J508" s="31"/>
      <c r="K508" s="31"/>
      <c r="L508" s="35"/>
      <c r="M508" s="34"/>
      <c r="N508" s="35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8.75" customHeight="1">
      <c r="A509" s="31"/>
      <c r="B509" s="31"/>
      <c r="C509" s="36"/>
      <c r="D509" s="31"/>
      <c r="E509" s="31"/>
      <c r="F509" s="31"/>
      <c r="G509" s="31"/>
      <c r="H509" s="31"/>
      <c r="I509" s="34"/>
      <c r="J509" s="31"/>
      <c r="K509" s="31"/>
      <c r="L509" s="35"/>
      <c r="M509" s="34"/>
      <c r="N509" s="35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8.75" customHeight="1">
      <c r="A510" s="31"/>
      <c r="B510" s="31"/>
      <c r="C510" s="36"/>
      <c r="D510" s="31"/>
      <c r="E510" s="31"/>
      <c r="F510" s="31"/>
      <c r="G510" s="31"/>
      <c r="H510" s="31"/>
      <c r="I510" s="34"/>
      <c r="J510" s="31"/>
      <c r="K510" s="31"/>
      <c r="L510" s="35"/>
      <c r="M510" s="34"/>
      <c r="N510" s="35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8.75" customHeight="1">
      <c r="A511" s="31"/>
      <c r="B511" s="31"/>
      <c r="C511" s="36"/>
      <c r="D511" s="31"/>
      <c r="E511" s="31"/>
      <c r="F511" s="31"/>
      <c r="G511" s="31"/>
      <c r="H511" s="31"/>
      <c r="I511" s="34"/>
      <c r="J511" s="31"/>
      <c r="K511" s="31"/>
      <c r="L511" s="35"/>
      <c r="M511" s="34"/>
      <c r="N511" s="35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8.75" customHeight="1">
      <c r="A512" s="31"/>
      <c r="B512" s="31"/>
      <c r="C512" s="36"/>
      <c r="D512" s="31"/>
      <c r="E512" s="31"/>
      <c r="F512" s="31"/>
      <c r="G512" s="31"/>
      <c r="H512" s="31"/>
      <c r="I512" s="34"/>
      <c r="J512" s="31"/>
      <c r="K512" s="31"/>
      <c r="L512" s="35"/>
      <c r="M512" s="34"/>
      <c r="N512" s="35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8.75" customHeight="1">
      <c r="A513" s="31"/>
      <c r="B513" s="31"/>
      <c r="C513" s="36"/>
      <c r="D513" s="31"/>
      <c r="E513" s="31"/>
      <c r="F513" s="31"/>
      <c r="G513" s="31"/>
      <c r="H513" s="31"/>
      <c r="I513" s="34"/>
      <c r="J513" s="31"/>
      <c r="K513" s="31"/>
      <c r="L513" s="35"/>
      <c r="M513" s="34"/>
      <c r="N513" s="35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8.75" customHeight="1">
      <c r="A514" s="31"/>
      <c r="B514" s="31"/>
      <c r="C514" s="36"/>
      <c r="D514" s="31"/>
      <c r="E514" s="31"/>
      <c r="F514" s="31"/>
      <c r="G514" s="31"/>
      <c r="H514" s="31"/>
      <c r="I514" s="34"/>
      <c r="J514" s="31"/>
      <c r="K514" s="31"/>
      <c r="L514" s="35"/>
      <c r="M514" s="34"/>
      <c r="N514" s="35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8.75" customHeight="1">
      <c r="A515" s="31"/>
      <c r="B515" s="31"/>
      <c r="C515" s="36"/>
      <c r="D515" s="31"/>
      <c r="E515" s="31"/>
      <c r="F515" s="31"/>
      <c r="G515" s="31"/>
      <c r="H515" s="31"/>
      <c r="I515" s="34"/>
      <c r="J515" s="31"/>
      <c r="K515" s="31"/>
      <c r="L515" s="35"/>
      <c r="M515" s="34"/>
      <c r="N515" s="35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8.75" customHeight="1">
      <c r="A516" s="31"/>
      <c r="B516" s="31"/>
      <c r="C516" s="36"/>
      <c r="D516" s="31"/>
      <c r="E516" s="31"/>
      <c r="F516" s="31"/>
      <c r="G516" s="31"/>
      <c r="H516" s="31"/>
      <c r="I516" s="34"/>
      <c r="J516" s="31"/>
      <c r="K516" s="31"/>
      <c r="L516" s="35"/>
      <c r="M516" s="34"/>
      <c r="N516" s="35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8.75" customHeight="1">
      <c r="A517" s="31"/>
      <c r="B517" s="31"/>
      <c r="C517" s="36"/>
      <c r="D517" s="31"/>
      <c r="E517" s="31"/>
      <c r="F517" s="31"/>
      <c r="G517" s="31"/>
      <c r="H517" s="31"/>
      <c r="I517" s="34"/>
      <c r="J517" s="31"/>
      <c r="K517" s="31"/>
      <c r="L517" s="35"/>
      <c r="M517" s="34"/>
      <c r="N517" s="35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8.75" customHeight="1">
      <c r="A518" s="31"/>
      <c r="B518" s="31"/>
      <c r="C518" s="36"/>
      <c r="D518" s="31"/>
      <c r="E518" s="31"/>
      <c r="F518" s="31"/>
      <c r="G518" s="31"/>
      <c r="H518" s="31"/>
      <c r="I518" s="34"/>
      <c r="J518" s="31"/>
      <c r="K518" s="31"/>
      <c r="L518" s="35"/>
      <c r="M518" s="34"/>
      <c r="N518" s="35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8.75" customHeight="1">
      <c r="A519" s="31"/>
      <c r="B519" s="31"/>
      <c r="C519" s="36"/>
      <c r="D519" s="31"/>
      <c r="E519" s="31"/>
      <c r="F519" s="31"/>
      <c r="G519" s="31"/>
      <c r="H519" s="31"/>
      <c r="I519" s="34"/>
      <c r="J519" s="31"/>
      <c r="K519" s="31"/>
      <c r="L519" s="35"/>
      <c r="M519" s="34"/>
      <c r="N519" s="35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8.75" customHeight="1">
      <c r="A520" s="31"/>
      <c r="B520" s="31"/>
      <c r="C520" s="36"/>
      <c r="D520" s="31"/>
      <c r="E520" s="31"/>
      <c r="F520" s="31"/>
      <c r="G520" s="31"/>
      <c r="H520" s="31"/>
      <c r="I520" s="34"/>
      <c r="J520" s="31"/>
      <c r="K520" s="31"/>
      <c r="L520" s="35"/>
      <c r="M520" s="34"/>
      <c r="N520" s="35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8.75" customHeight="1">
      <c r="A521" s="31"/>
      <c r="B521" s="31"/>
      <c r="C521" s="36"/>
      <c r="D521" s="31"/>
      <c r="E521" s="31"/>
      <c r="F521" s="31"/>
      <c r="G521" s="31"/>
      <c r="H521" s="31"/>
      <c r="I521" s="34"/>
      <c r="J521" s="31"/>
      <c r="K521" s="31"/>
      <c r="L521" s="35"/>
      <c r="M521" s="34"/>
      <c r="N521" s="35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8.75" customHeight="1">
      <c r="A522" s="31"/>
      <c r="B522" s="31"/>
      <c r="C522" s="36"/>
      <c r="D522" s="31"/>
      <c r="E522" s="31"/>
      <c r="F522" s="31"/>
      <c r="G522" s="31"/>
      <c r="H522" s="31"/>
      <c r="I522" s="34"/>
      <c r="J522" s="31"/>
      <c r="K522" s="31"/>
      <c r="L522" s="35"/>
      <c r="M522" s="34"/>
      <c r="N522" s="35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8.75" customHeight="1">
      <c r="A523" s="31"/>
      <c r="B523" s="31"/>
      <c r="C523" s="36"/>
      <c r="D523" s="31"/>
      <c r="E523" s="31"/>
      <c r="F523" s="31"/>
      <c r="G523" s="31"/>
      <c r="H523" s="31"/>
      <c r="I523" s="34"/>
      <c r="J523" s="31"/>
      <c r="K523" s="31"/>
      <c r="L523" s="35"/>
      <c r="M523" s="34"/>
      <c r="N523" s="35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8.75" customHeight="1">
      <c r="A524" s="31"/>
      <c r="B524" s="31"/>
      <c r="C524" s="36"/>
      <c r="D524" s="31"/>
      <c r="E524" s="31"/>
      <c r="F524" s="31"/>
      <c r="G524" s="31"/>
      <c r="H524" s="31"/>
      <c r="I524" s="34"/>
      <c r="J524" s="31"/>
      <c r="K524" s="31"/>
      <c r="L524" s="35"/>
      <c r="M524" s="34"/>
      <c r="N524" s="35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8.75" customHeight="1">
      <c r="A525" s="31"/>
      <c r="B525" s="31"/>
      <c r="C525" s="36"/>
      <c r="D525" s="31"/>
      <c r="E525" s="31"/>
      <c r="F525" s="31"/>
      <c r="G525" s="31"/>
      <c r="H525" s="31"/>
      <c r="I525" s="34"/>
      <c r="J525" s="31"/>
      <c r="K525" s="31"/>
      <c r="L525" s="35"/>
      <c r="M525" s="34"/>
      <c r="N525" s="35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8.75" customHeight="1">
      <c r="A526" s="31"/>
      <c r="B526" s="31"/>
      <c r="C526" s="36"/>
      <c r="D526" s="31"/>
      <c r="E526" s="31"/>
      <c r="F526" s="31"/>
      <c r="G526" s="31"/>
      <c r="H526" s="31"/>
      <c r="I526" s="34"/>
      <c r="J526" s="31"/>
      <c r="K526" s="31"/>
      <c r="L526" s="35"/>
      <c r="M526" s="34"/>
      <c r="N526" s="35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8.75" customHeight="1">
      <c r="A527" s="31"/>
      <c r="B527" s="31"/>
      <c r="C527" s="36"/>
      <c r="D527" s="31"/>
      <c r="E527" s="31"/>
      <c r="F527" s="31"/>
      <c r="G527" s="31"/>
      <c r="H527" s="31"/>
      <c r="I527" s="34"/>
      <c r="J527" s="31"/>
      <c r="K527" s="31"/>
      <c r="L527" s="35"/>
      <c r="M527" s="34"/>
      <c r="N527" s="35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8.75" customHeight="1">
      <c r="A528" s="31"/>
      <c r="B528" s="31"/>
      <c r="C528" s="36"/>
      <c r="D528" s="31"/>
      <c r="E528" s="31"/>
      <c r="F528" s="31"/>
      <c r="G528" s="31"/>
      <c r="H528" s="31"/>
      <c r="I528" s="34"/>
      <c r="J528" s="31"/>
      <c r="K528" s="31"/>
      <c r="L528" s="35"/>
      <c r="M528" s="34"/>
      <c r="N528" s="35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8.75" customHeight="1">
      <c r="A529" s="31"/>
      <c r="B529" s="31"/>
      <c r="C529" s="36"/>
      <c r="D529" s="31"/>
      <c r="E529" s="31"/>
      <c r="F529" s="31"/>
      <c r="G529" s="31"/>
      <c r="H529" s="31"/>
      <c r="I529" s="34"/>
      <c r="J529" s="31"/>
      <c r="K529" s="31"/>
      <c r="L529" s="35"/>
      <c r="M529" s="34"/>
      <c r="N529" s="35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8.75" customHeight="1">
      <c r="A530" s="31"/>
      <c r="B530" s="31"/>
      <c r="C530" s="36"/>
      <c r="D530" s="31"/>
      <c r="E530" s="31"/>
      <c r="F530" s="31"/>
      <c r="G530" s="31"/>
      <c r="H530" s="31"/>
      <c r="I530" s="34"/>
      <c r="J530" s="31"/>
      <c r="K530" s="31"/>
      <c r="L530" s="35"/>
      <c r="M530" s="34"/>
      <c r="N530" s="35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8.75" customHeight="1">
      <c r="A531" s="31"/>
      <c r="B531" s="31"/>
      <c r="C531" s="36"/>
      <c r="D531" s="31"/>
      <c r="E531" s="31"/>
      <c r="F531" s="31"/>
      <c r="G531" s="31"/>
      <c r="H531" s="31"/>
      <c r="I531" s="34"/>
      <c r="J531" s="31"/>
      <c r="K531" s="31"/>
      <c r="L531" s="35"/>
      <c r="M531" s="34"/>
      <c r="N531" s="35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8.75" customHeight="1">
      <c r="A532" s="31"/>
      <c r="B532" s="31"/>
      <c r="C532" s="36"/>
      <c r="D532" s="31"/>
      <c r="E532" s="31"/>
      <c r="F532" s="31"/>
      <c r="G532" s="31"/>
      <c r="H532" s="31"/>
      <c r="I532" s="34"/>
      <c r="J532" s="31"/>
      <c r="K532" s="31"/>
      <c r="L532" s="35"/>
      <c r="M532" s="34"/>
      <c r="N532" s="35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8.75" customHeight="1">
      <c r="A533" s="31"/>
      <c r="B533" s="31"/>
      <c r="C533" s="36"/>
      <c r="D533" s="31"/>
      <c r="E533" s="31"/>
      <c r="F533" s="31"/>
      <c r="G533" s="31"/>
      <c r="H533" s="31"/>
      <c r="I533" s="34"/>
      <c r="J533" s="31"/>
      <c r="K533" s="31"/>
      <c r="L533" s="35"/>
      <c r="M533" s="34"/>
      <c r="N533" s="35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8.75" customHeight="1">
      <c r="A534" s="31"/>
      <c r="B534" s="31"/>
      <c r="C534" s="36"/>
      <c r="D534" s="31"/>
      <c r="E534" s="31"/>
      <c r="F534" s="31"/>
      <c r="G534" s="31"/>
      <c r="H534" s="31"/>
      <c r="I534" s="34"/>
      <c r="J534" s="31"/>
      <c r="K534" s="31"/>
      <c r="L534" s="35"/>
      <c r="M534" s="34"/>
      <c r="N534" s="35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8.75" customHeight="1">
      <c r="A535" s="31"/>
      <c r="B535" s="31"/>
      <c r="C535" s="36"/>
      <c r="D535" s="31"/>
      <c r="E535" s="31"/>
      <c r="F535" s="31"/>
      <c r="G535" s="31"/>
      <c r="H535" s="31"/>
      <c r="I535" s="34"/>
      <c r="J535" s="31"/>
      <c r="K535" s="31"/>
      <c r="L535" s="35"/>
      <c r="M535" s="34"/>
      <c r="N535" s="35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8.75" customHeight="1">
      <c r="A536" s="31"/>
      <c r="B536" s="31"/>
      <c r="C536" s="36"/>
      <c r="D536" s="31"/>
      <c r="E536" s="31"/>
      <c r="F536" s="31"/>
      <c r="G536" s="31"/>
      <c r="H536" s="31"/>
      <c r="I536" s="34"/>
      <c r="J536" s="31"/>
      <c r="K536" s="31"/>
      <c r="L536" s="35"/>
      <c r="M536" s="34"/>
      <c r="N536" s="35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8.75" customHeight="1">
      <c r="A537" s="31"/>
      <c r="B537" s="31"/>
      <c r="C537" s="36"/>
      <c r="D537" s="31"/>
      <c r="E537" s="31"/>
      <c r="F537" s="31"/>
      <c r="G537" s="31"/>
      <c r="H537" s="31"/>
      <c r="I537" s="34"/>
      <c r="J537" s="31"/>
      <c r="K537" s="31"/>
      <c r="L537" s="35"/>
      <c r="M537" s="34"/>
      <c r="N537" s="35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8.75" customHeight="1">
      <c r="A538" s="31"/>
      <c r="B538" s="31"/>
      <c r="C538" s="36"/>
      <c r="D538" s="31"/>
      <c r="E538" s="31"/>
      <c r="F538" s="31"/>
      <c r="G538" s="31"/>
      <c r="H538" s="31"/>
      <c r="I538" s="34"/>
      <c r="J538" s="31"/>
      <c r="K538" s="31"/>
      <c r="L538" s="35"/>
      <c r="M538" s="34"/>
      <c r="N538" s="35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8.75" customHeight="1">
      <c r="A539" s="31"/>
      <c r="B539" s="31"/>
      <c r="C539" s="36"/>
      <c r="D539" s="31"/>
      <c r="E539" s="31"/>
      <c r="F539" s="31"/>
      <c r="G539" s="31"/>
      <c r="H539" s="31"/>
      <c r="I539" s="34"/>
      <c r="J539" s="31"/>
      <c r="K539" s="31"/>
      <c r="L539" s="35"/>
      <c r="M539" s="34"/>
      <c r="N539" s="35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8.75" customHeight="1">
      <c r="A540" s="31"/>
      <c r="B540" s="31"/>
      <c r="C540" s="36"/>
      <c r="D540" s="31"/>
      <c r="E540" s="31"/>
      <c r="F540" s="31"/>
      <c r="G540" s="31"/>
      <c r="H540" s="31"/>
      <c r="I540" s="34"/>
      <c r="J540" s="31"/>
      <c r="K540" s="31"/>
      <c r="L540" s="35"/>
      <c r="M540" s="34"/>
      <c r="N540" s="35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8.75" customHeight="1">
      <c r="A541" s="31"/>
      <c r="B541" s="31"/>
      <c r="C541" s="36"/>
      <c r="D541" s="31"/>
      <c r="E541" s="31"/>
      <c r="F541" s="31"/>
      <c r="G541" s="31"/>
      <c r="H541" s="31"/>
      <c r="I541" s="34"/>
      <c r="J541" s="31"/>
      <c r="K541" s="31"/>
      <c r="L541" s="35"/>
      <c r="M541" s="34"/>
      <c r="N541" s="35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8.75" customHeight="1">
      <c r="A542" s="31"/>
      <c r="B542" s="31"/>
      <c r="C542" s="36"/>
      <c r="D542" s="31"/>
      <c r="E542" s="31"/>
      <c r="F542" s="31"/>
      <c r="G542" s="31"/>
      <c r="H542" s="31"/>
      <c r="I542" s="34"/>
      <c r="J542" s="31"/>
      <c r="K542" s="31"/>
      <c r="L542" s="35"/>
      <c r="M542" s="34"/>
      <c r="N542" s="35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8.75" customHeight="1">
      <c r="A543" s="31"/>
      <c r="B543" s="31"/>
      <c r="C543" s="36"/>
      <c r="D543" s="31"/>
      <c r="E543" s="31"/>
      <c r="F543" s="31"/>
      <c r="G543" s="31"/>
      <c r="H543" s="31"/>
      <c r="I543" s="34"/>
      <c r="J543" s="31"/>
      <c r="K543" s="31"/>
      <c r="L543" s="35"/>
      <c r="M543" s="34"/>
      <c r="N543" s="35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8.75" customHeight="1">
      <c r="A544" s="31"/>
      <c r="B544" s="31"/>
      <c r="C544" s="36"/>
      <c r="D544" s="31"/>
      <c r="E544" s="31"/>
      <c r="F544" s="31"/>
      <c r="G544" s="31"/>
      <c r="H544" s="31"/>
      <c r="I544" s="34"/>
      <c r="J544" s="31"/>
      <c r="K544" s="31"/>
      <c r="L544" s="35"/>
      <c r="M544" s="34"/>
      <c r="N544" s="35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8.75" customHeight="1">
      <c r="A545" s="31"/>
      <c r="B545" s="31"/>
      <c r="C545" s="36"/>
      <c r="D545" s="31"/>
      <c r="E545" s="31"/>
      <c r="F545" s="31"/>
      <c r="G545" s="31"/>
      <c r="H545" s="31"/>
      <c r="I545" s="34"/>
      <c r="J545" s="31"/>
      <c r="K545" s="31"/>
      <c r="L545" s="35"/>
      <c r="M545" s="34"/>
      <c r="N545" s="35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8.75" customHeight="1">
      <c r="A546" s="31"/>
      <c r="B546" s="31"/>
      <c r="C546" s="36"/>
      <c r="D546" s="31"/>
      <c r="E546" s="31"/>
      <c r="F546" s="31"/>
      <c r="G546" s="31"/>
      <c r="H546" s="31"/>
      <c r="I546" s="34"/>
      <c r="J546" s="31"/>
      <c r="K546" s="31"/>
      <c r="L546" s="35"/>
      <c r="M546" s="34"/>
      <c r="N546" s="35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8.75" customHeight="1">
      <c r="A547" s="31"/>
      <c r="B547" s="31"/>
      <c r="C547" s="36"/>
      <c r="D547" s="31"/>
      <c r="E547" s="31"/>
      <c r="F547" s="31"/>
      <c r="G547" s="31"/>
      <c r="H547" s="31"/>
      <c r="I547" s="34"/>
      <c r="J547" s="31"/>
      <c r="K547" s="31"/>
      <c r="L547" s="35"/>
      <c r="M547" s="34"/>
      <c r="N547" s="35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8.75" customHeight="1">
      <c r="A548" s="31"/>
      <c r="B548" s="31"/>
      <c r="C548" s="36"/>
      <c r="D548" s="31"/>
      <c r="E548" s="31"/>
      <c r="F548" s="31"/>
      <c r="G548" s="31"/>
      <c r="H548" s="31"/>
      <c r="I548" s="34"/>
      <c r="J548" s="31"/>
      <c r="K548" s="31"/>
      <c r="L548" s="35"/>
      <c r="M548" s="34"/>
      <c r="N548" s="35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8.75" customHeight="1">
      <c r="A549" s="31"/>
      <c r="B549" s="31"/>
      <c r="C549" s="36"/>
      <c r="D549" s="31"/>
      <c r="E549" s="31"/>
      <c r="F549" s="31"/>
      <c r="G549" s="31"/>
      <c r="H549" s="31"/>
      <c r="I549" s="34"/>
      <c r="J549" s="31"/>
      <c r="K549" s="31"/>
      <c r="L549" s="35"/>
      <c r="M549" s="34"/>
      <c r="N549" s="35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8.75" customHeight="1">
      <c r="A550" s="31"/>
      <c r="B550" s="31"/>
      <c r="C550" s="36"/>
      <c r="D550" s="31"/>
      <c r="E550" s="31"/>
      <c r="F550" s="31"/>
      <c r="G550" s="31"/>
      <c r="H550" s="31"/>
      <c r="I550" s="34"/>
      <c r="J550" s="31"/>
      <c r="K550" s="31"/>
      <c r="L550" s="35"/>
      <c r="M550" s="34"/>
      <c r="N550" s="35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8.75" customHeight="1">
      <c r="A551" s="31"/>
      <c r="B551" s="31"/>
      <c r="C551" s="36"/>
      <c r="D551" s="31"/>
      <c r="E551" s="31"/>
      <c r="F551" s="31"/>
      <c r="G551" s="31"/>
      <c r="H551" s="31"/>
      <c r="I551" s="34"/>
      <c r="J551" s="31"/>
      <c r="K551" s="31"/>
      <c r="L551" s="35"/>
      <c r="M551" s="34"/>
      <c r="N551" s="35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8.75" customHeight="1">
      <c r="A552" s="31"/>
      <c r="B552" s="31"/>
      <c r="C552" s="36"/>
      <c r="D552" s="31"/>
      <c r="E552" s="31"/>
      <c r="F552" s="31"/>
      <c r="G552" s="31"/>
      <c r="H552" s="31"/>
      <c r="I552" s="34"/>
      <c r="J552" s="31"/>
      <c r="K552" s="31"/>
      <c r="L552" s="35"/>
      <c r="M552" s="34"/>
      <c r="N552" s="35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8.75" customHeight="1">
      <c r="A553" s="31"/>
      <c r="B553" s="31"/>
      <c r="C553" s="36"/>
      <c r="D553" s="31"/>
      <c r="E553" s="31"/>
      <c r="F553" s="31"/>
      <c r="G553" s="31"/>
      <c r="H553" s="31"/>
      <c r="I553" s="34"/>
      <c r="J553" s="31"/>
      <c r="K553" s="31"/>
      <c r="L553" s="35"/>
      <c r="M553" s="34"/>
      <c r="N553" s="35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8.75" customHeight="1">
      <c r="A554" s="31"/>
      <c r="B554" s="31"/>
      <c r="C554" s="36"/>
      <c r="D554" s="31"/>
      <c r="E554" s="31"/>
      <c r="F554" s="31"/>
      <c r="G554" s="31"/>
      <c r="H554" s="31"/>
      <c r="I554" s="34"/>
      <c r="J554" s="31"/>
      <c r="K554" s="31"/>
      <c r="L554" s="35"/>
      <c r="M554" s="34"/>
      <c r="N554" s="35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8.75" customHeight="1">
      <c r="A555" s="31"/>
      <c r="B555" s="31"/>
      <c r="C555" s="36"/>
      <c r="D555" s="31"/>
      <c r="E555" s="31"/>
      <c r="F555" s="31"/>
      <c r="G555" s="31"/>
      <c r="H555" s="31"/>
      <c r="I555" s="34"/>
      <c r="J555" s="31"/>
      <c r="K555" s="31"/>
      <c r="L555" s="35"/>
      <c r="M555" s="34"/>
      <c r="N555" s="35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8.75" customHeight="1">
      <c r="A556" s="31"/>
      <c r="B556" s="31"/>
      <c r="C556" s="36"/>
      <c r="D556" s="31"/>
      <c r="E556" s="31"/>
      <c r="F556" s="31"/>
      <c r="G556" s="31"/>
      <c r="H556" s="31"/>
      <c r="I556" s="34"/>
      <c r="J556" s="31"/>
      <c r="K556" s="31"/>
      <c r="L556" s="35"/>
      <c r="M556" s="34"/>
      <c r="N556" s="35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8.75" customHeight="1">
      <c r="A557" s="31"/>
      <c r="B557" s="31"/>
      <c r="C557" s="36"/>
      <c r="D557" s="31"/>
      <c r="E557" s="31"/>
      <c r="F557" s="31"/>
      <c r="G557" s="31"/>
      <c r="H557" s="31"/>
      <c r="I557" s="34"/>
      <c r="J557" s="31"/>
      <c r="K557" s="31"/>
      <c r="L557" s="35"/>
      <c r="M557" s="34"/>
      <c r="N557" s="35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8.75" customHeight="1">
      <c r="A558" s="31"/>
      <c r="B558" s="31"/>
      <c r="C558" s="36"/>
      <c r="D558" s="31"/>
      <c r="E558" s="31"/>
      <c r="F558" s="31"/>
      <c r="G558" s="31"/>
      <c r="H558" s="31"/>
      <c r="I558" s="34"/>
      <c r="J558" s="31"/>
      <c r="K558" s="31"/>
      <c r="L558" s="35"/>
      <c r="M558" s="34"/>
      <c r="N558" s="35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8.75" customHeight="1">
      <c r="A559" s="31"/>
      <c r="B559" s="31"/>
      <c r="C559" s="36"/>
      <c r="D559" s="31"/>
      <c r="E559" s="31"/>
      <c r="F559" s="31"/>
      <c r="G559" s="31"/>
      <c r="H559" s="31"/>
      <c r="I559" s="34"/>
      <c r="J559" s="31"/>
      <c r="K559" s="31"/>
      <c r="L559" s="35"/>
      <c r="M559" s="34"/>
      <c r="N559" s="35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8.75" customHeight="1">
      <c r="A560" s="31"/>
      <c r="B560" s="31"/>
      <c r="C560" s="36"/>
      <c r="D560" s="31"/>
      <c r="E560" s="31"/>
      <c r="F560" s="31"/>
      <c r="G560" s="31"/>
      <c r="H560" s="31"/>
      <c r="I560" s="34"/>
      <c r="J560" s="31"/>
      <c r="K560" s="31"/>
      <c r="L560" s="35"/>
      <c r="M560" s="34"/>
      <c r="N560" s="35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8.75" customHeight="1">
      <c r="A561" s="31"/>
      <c r="B561" s="31"/>
      <c r="C561" s="36"/>
      <c r="D561" s="31"/>
      <c r="E561" s="31"/>
      <c r="F561" s="31"/>
      <c r="G561" s="31"/>
      <c r="H561" s="31"/>
      <c r="I561" s="34"/>
      <c r="J561" s="31"/>
      <c r="K561" s="31"/>
      <c r="L561" s="35"/>
      <c r="M561" s="34"/>
      <c r="N561" s="35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8.75" customHeight="1">
      <c r="A562" s="31"/>
      <c r="B562" s="31"/>
      <c r="C562" s="36"/>
      <c r="D562" s="31"/>
      <c r="E562" s="31"/>
      <c r="F562" s="31"/>
      <c r="G562" s="31"/>
      <c r="H562" s="31"/>
      <c r="I562" s="34"/>
      <c r="J562" s="31"/>
      <c r="K562" s="31"/>
      <c r="L562" s="35"/>
      <c r="M562" s="34"/>
      <c r="N562" s="35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8.75" customHeight="1">
      <c r="A563" s="31"/>
      <c r="B563" s="31"/>
      <c r="C563" s="36"/>
      <c r="D563" s="31"/>
      <c r="E563" s="31"/>
      <c r="F563" s="31"/>
      <c r="G563" s="31"/>
      <c r="H563" s="31"/>
      <c r="I563" s="34"/>
      <c r="J563" s="31"/>
      <c r="K563" s="31"/>
      <c r="L563" s="35"/>
      <c r="M563" s="34"/>
      <c r="N563" s="35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8.75" customHeight="1">
      <c r="A564" s="31"/>
      <c r="B564" s="31"/>
      <c r="C564" s="36"/>
      <c r="D564" s="31"/>
      <c r="E564" s="31"/>
      <c r="F564" s="31"/>
      <c r="G564" s="31"/>
      <c r="H564" s="31"/>
      <c r="I564" s="34"/>
      <c r="J564" s="31"/>
      <c r="K564" s="31"/>
      <c r="L564" s="35"/>
      <c r="M564" s="34"/>
      <c r="N564" s="35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8.75" customHeight="1">
      <c r="A565" s="31"/>
      <c r="B565" s="31"/>
      <c r="C565" s="36"/>
      <c r="D565" s="31"/>
      <c r="E565" s="31"/>
      <c r="F565" s="31"/>
      <c r="G565" s="31"/>
      <c r="H565" s="31"/>
      <c r="I565" s="34"/>
      <c r="J565" s="31"/>
      <c r="K565" s="31"/>
      <c r="L565" s="35"/>
      <c r="M565" s="34"/>
      <c r="N565" s="35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8.75" customHeight="1">
      <c r="A566" s="31"/>
      <c r="B566" s="31"/>
      <c r="C566" s="36"/>
      <c r="D566" s="31"/>
      <c r="E566" s="31"/>
      <c r="F566" s="31"/>
      <c r="G566" s="31"/>
      <c r="H566" s="31"/>
      <c r="I566" s="34"/>
      <c r="J566" s="31"/>
      <c r="K566" s="31"/>
      <c r="L566" s="35"/>
      <c r="M566" s="34"/>
      <c r="N566" s="35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8.75" customHeight="1">
      <c r="A567" s="31"/>
      <c r="B567" s="31"/>
      <c r="C567" s="36"/>
      <c r="D567" s="31"/>
      <c r="E567" s="31"/>
      <c r="F567" s="31"/>
      <c r="G567" s="31"/>
      <c r="H567" s="31"/>
      <c r="I567" s="34"/>
      <c r="J567" s="31"/>
      <c r="K567" s="31"/>
      <c r="L567" s="35"/>
      <c r="M567" s="34"/>
      <c r="N567" s="35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8.75" customHeight="1">
      <c r="A568" s="31"/>
      <c r="B568" s="31"/>
      <c r="C568" s="36"/>
      <c r="D568" s="31"/>
      <c r="E568" s="31"/>
      <c r="F568" s="31"/>
      <c r="G568" s="31"/>
      <c r="H568" s="31"/>
      <c r="I568" s="34"/>
      <c r="J568" s="31"/>
      <c r="K568" s="31"/>
      <c r="L568" s="35"/>
      <c r="M568" s="34"/>
      <c r="N568" s="35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8.75" customHeight="1">
      <c r="A569" s="31"/>
      <c r="B569" s="31"/>
      <c r="C569" s="36"/>
      <c r="D569" s="31"/>
      <c r="E569" s="31"/>
      <c r="F569" s="31"/>
      <c r="G569" s="31"/>
      <c r="H569" s="31"/>
      <c r="I569" s="34"/>
      <c r="J569" s="31"/>
      <c r="K569" s="31"/>
      <c r="L569" s="35"/>
      <c r="M569" s="34"/>
      <c r="N569" s="35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8.75" customHeight="1">
      <c r="A570" s="31"/>
      <c r="B570" s="31"/>
      <c r="C570" s="36"/>
      <c r="D570" s="31"/>
      <c r="E570" s="31"/>
      <c r="F570" s="31"/>
      <c r="G570" s="31"/>
      <c r="H570" s="31"/>
      <c r="I570" s="34"/>
      <c r="J570" s="31"/>
      <c r="K570" s="31"/>
      <c r="L570" s="35"/>
      <c r="M570" s="34"/>
      <c r="N570" s="35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8.75" customHeight="1">
      <c r="A571" s="31"/>
      <c r="B571" s="31"/>
      <c r="C571" s="36"/>
      <c r="D571" s="31"/>
      <c r="E571" s="31"/>
      <c r="F571" s="31"/>
      <c r="G571" s="31"/>
      <c r="H571" s="31"/>
      <c r="I571" s="34"/>
      <c r="J571" s="31"/>
      <c r="K571" s="31"/>
      <c r="L571" s="35"/>
      <c r="M571" s="34"/>
      <c r="N571" s="35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8.75" customHeight="1">
      <c r="A572" s="31"/>
      <c r="B572" s="31"/>
      <c r="C572" s="36"/>
      <c r="D572" s="31"/>
      <c r="E572" s="31"/>
      <c r="F572" s="31"/>
      <c r="G572" s="31"/>
      <c r="H572" s="31"/>
      <c r="I572" s="34"/>
      <c r="J572" s="31"/>
      <c r="K572" s="31"/>
      <c r="L572" s="35"/>
      <c r="M572" s="34"/>
      <c r="N572" s="35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8.75" customHeight="1">
      <c r="A573" s="31"/>
      <c r="B573" s="31"/>
      <c r="C573" s="36"/>
      <c r="D573" s="31"/>
      <c r="E573" s="31"/>
      <c r="F573" s="31"/>
      <c r="G573" s="31"/>
      <c r="H573" s="31"/>
      <c r="I573" s="34"/>
      <c r="J573" s="31"/>
      <c r="K573" s="31"/>
      <c r="L573" s="35"/>
      <c r="M573" s="34"/>
      <c r="N573" s="35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8.75" customHeight="1">
      <c r="A574" s="31"/>
      <c r="B574" s="31"/>
      <c r="C574" s="36"/>
      <c r="D574" s="31"/>
      <c r="E574" s="31"/>
      <c r="F574" s="31"/>
      <c r="G574" s="31"/>
      <c r="H574" s="31"/>
      <c r="I574" s="34"/>
      <c r="J574" s="31"/>
      <c r="K574" s="31"/>
      <c r="L574" s="35"/>
      <c r="M574" s="34"/>
      <c r="N574" s="35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8.75" customHeight="1">
      <c r="A575" s="31"/>
      <c r="B575" s="31"/>
      <c r="C575" s="36"/>
      <c r="D575" s="31"/>
      <c r="E575" s="31"/>
      <c r="F575" s="31"/>
      <c r="G575" s="31"/>
      <c r="H575" s="31"/>
      <c r="I575" s="34"/>
      <c r="J575" s="31"/>
      <c r="K575" s="31"/>
      <c r="L575" s="35"/>
      <c r="M575" s="34"/>
      <c r="N575" s="35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8.75" customHeight="1">
      <c r="A576" s="31"/>
      <c r="B576" s="31"/>
      <c r="C576" s="36"/>
      <c r="D576" s="31"/>
      <c r="E576" s="31"/>
      <c r="F576" s="31"/>
      <c r="G576" s="31"/>
      <c r="H576" s="31"/>
      <c r="I576" s="34"/>
      <c r="J576" s="31"/>
      <c r="K576" s="31"/>
      <c r="L576" s="35"/>
      <c r="M576" s="34"/>
      <c r="N576" s="35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8.75" customHeight="1">
      <c r="A577" s="31"/>
      <c r="B577" s="31"/>
      <c r="C577" s="36"/>
      <c r="D577" s="31"/>
      <c r="E577" s="31"/>
      <c r="F577" s="31"/>
      <c r="G577" s="31"/>
      <c r="H577" s="31"/>
      <c r="I577" s="34"/>
      <c r="J577" s="31"/>
      <c r="K577" s="31"/>
      <c r="L577" s="35"/>
      <c r="M577" s="34"/>
      <c r="N577" s="35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8.75" customHeight="1">
      <c r="A578" s="31"/>
      <c r="B578" s="31"/>
      <c r="C578" s="36"/>
      <c r="D578" s="31"/>
      <c r="E578" s="31"/>
      <c r="F578" s="31"/>
      <c r="G578" s="31"/>
      <c r="H578" s="31"/>
      <c r="I578" s="34"/>
      <c r="J578" s="31"/>
      <c r="K578" s="31"/>
      <c r="L578" s="35"/>
      <c r="M578" s="34"/>
      <c r="N578" s="35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8.75" customHeight="1">
      <c r="A579" s="31"/>
      <c r="B579" s="31"/>
      <c r="C579" s="36"/>
      <c r="D579" s="31"/>
      <c r="E579" s="31"/>
      <c r="F579" s="31"/>
      <c r="G579" s="31"/>
      <c r="H579" s="31"/>
      <c r="I579" s="34"/>
      <c r="J579" s="31"/>
      <c r="K579" s="31"/>
      <c r="L579" s="35"/>
      <c r="M579" s="34"/>
      <c r="N579" s="35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8.75" customHeight="1">
      <c r="A580" s="31"/>
      <c r="B580" s="31"/>
      <c r="C580" s="36"/>
      <c r="D580" s="31"/>
      <c r="E580" s="31"/>
      <c r="F580" s="31"/>
      <c r="G580" s="31"/>
      <c r="H580" s="31"/>
      <c r="I580" s="34"/>
      <c r="J580" s="31"/>
      <c r="K580" s="31"/>
      <c r="L580" s="35"/>
      <c r="M580" s="34"/>
      <c r="N580" s="35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8.75" customHeight="1">
      <c r="A581" s="31"/>
      <c r="B581" s="31"/>
      <c r="C581" s="36"/>
      <c r="D581" s="31"/>
      <c r="E581" s="31"/>
      <c r="F581" s="31"/>
      <c r="G581" s="31"/>
      <c r="H581" s="31"/>
      <c r="I581" s="34"/>
      <c r="J581" s="31"/>
      <c r="K581" s="31"/>
      <c r="L581" s="35"/>
      <c r="M581" s="34"/>
      <c r="N581" s="35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8.75" customHeight="1">
      <c r="A582" s="31"/>
      <c r="B582" s="31"/>
      <c r="C582" s="36"/>
      <c r="D582" s="31"/>
      <c r="E582" s="31"/>
      <c r="F582" s="31"/>
      <c r="G582" s="31"/>
      <c r="H582" s="31"/>
      <c r="I582" s="34"/>
      <c r="J582" s="31"/>
      <c r="K582" s="31"/>
      <c r="L582" s="35"/>
      <c r="M582" s="34"/>
      <c r="N582" s="35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8.75" customHeight="1">
      <c r="A583" s="31"/>
      <c r="B583" s="31"/>
      <c r="C583" s="36"/>
      <c r="D583" s="31"/>
      <c r="E583" s="31"/>
      <c r="F583" s="31"/>
      <c r="G583" s="31"/>
      <c r="H583" s="31"/>
      <c r="I583" s="34"/>
      <c r="J583" s="31"/>
      <c r="K583" s="31"/>
      <c r="L583" s="35"/>
      <c r="M583" s="34"/>
      <c r="N583" s="35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8.75" customHeight="1">
      <c r="A584" s="31"/>
      <c r="B584" s="31"/>
      <c r="C584" s="36"/>
      <c r="D584" s="31"/>
      <c r="E584" s="31"/>
      <c r="F584" s="31"/>
      <c r="G584" s="31"/>
      <c r="H584" s="31"/>
      <c r="I584" s="34"/>
      <c r="J584" s="31"/>
      <c r="K584" s="31"/>
      <c r="L584" s="35"/>
      <c r="M584" s="34"/>
      <c r="N584" s="35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8.75" customHeight="1">
      <c r="A585" s="31"/>
      <c r="B585" s="31"/>
      <c r="C585" s="36"/>
      <c r="D585" s="31"/>
      <c r="E585" s="31"/>
      <c r="F585" s="31"/>
      <c r="G585" s="31"/>
      <c r="H585" s="31"/>
      <c r="I585" s="34"/>
      <c r="J585" s="31"/>
      <c r="K585" s="31"/>
      <c r="L585" s="35"/>
      <c r="M585" s="34"/>
      <c r="N585" s="35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8.75" customHeight="1">
      <c r="A586" s="31"/>
      <c r="B586" s="31"/>
      <c r="C586" s="36"/>
      <c r="D586" s="31"/>
      <c r="E586" s="31"/>
      <c r="F586" s="31"/>
      <c r="G586" s="31"/>
      <c r="H586" s="31"/>
      <c r="I586" s="34"/>
      <c r="J586" s="31"/>
      <c r="K586" s="31"/>
      <c r="L586" s="35"/>
      <c r="M586" s="34"/>
      <c r="N586" s="35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8.75" customHeight="1">
      <c r="A587" s="31"/>
      <c r="B587" s="31"/>
      <c r="C587" s="36"/>
      <c r="D587" s="31"/>
      <c r="E587" s="31"/>
      <c r="F587" s="31"/>
      <c r="G587" s="31"/>
      <c r="H587" s="31"/>
      <c r="I587" s="34"/>
      <c r="J587" s="31"/>
      <c r="K587" s="31"/>
      <c r="L587" s="35"/>
      <c r="M587" s="34"/>
      <c r="N587" s="35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8.75" customHeight="1">
      <c r="A588" s="31"/>
      <c r="B588" s="31"/>
      <c r="C588" s="36"/>
      <c r="D588" s="31"/>
      <c r="E588" s="31"/>
      <c r="F588" s="31"/>
      <c r="G588" s="31"/>
      <c r="H588" s="31"/>
      <c r="I588" s="34"/>
      <c r="J588" s="31"/>
      <c r="K588" s="31"/>
      <c r="L588" s="35"/>
      <c r="M588" s="34"/>
      <c r="N588" s="35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8.75" customHeight="1">
      <c r="A589" s="31"/>
      <c r="B589" s="31"/>
      <c r="C589" s="36"/>
      <c r="D589" s="31"/>
      <c r="E589" s="31"/>
      <c r="F589" s="31"/>
      <c r="G589" s="31"/>
      <c r="H589" s="31"/>
      <c r="I589" s="34"/>
      <c r="J589" s="31"/>
      <c r="K589" s="31"/>
      <c r="L589" s="35"/>
      <c r="M589" s="34"/>
      <c r="N589" s="35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8.75" customHeight="1">
      <c r="A590" s="31"/>
      <c r="B590" s="31"/>
      <c r="C590" s="36"/>
      <c r="D590" s="31"/>
      <c r="E590" s="31"/>
      <c r="F590" s="31"/>
      <c r="G590" s="31"/>
      <c r="H590" s="31"/>
      <c r="I590" s="34"/>
      <c r="J590" s="31"/>
      <c r="K590" s="31"/>
      <c r="L590" s="35"/>
      <c r="M590" s="34"/>
      <c r="N590" s="35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8.75" customHeight="1">
      <c r="A591" s="31"/>
      <c r="B591" s="31"/>
      <c r="C591" s="36"/>
      <c r="D591" s="31"/>
      <c r="E591" s="31"/>
      <c r="F591" s="31"/>
      <c r="G591" s="31"/>
      <c r="H591" s="31"/>
      <c r="I591" s="34"/>
      <c r="J591" s="31"/>
      <c r="K591" s="31"/>
      <c r="L591" s="35"/>
      <c r="M591" s="34"/>
      <c r="N591" s="35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8.75" customHeight="1">
      <c r="A592" s="31"/>
      <c r="B592" s="31"/>
      <c r="C592" s="36"/>
      <c r="D592" s="31"/>
      <c r="E592" s="31"/>
      <c r="F592" s="31"/>
      <c r="G592" s="31"/>
      <c r="H592" s="31"/>
      <c r="I592" s="34"/>
      <c r="J592" s="31"/>
      <c r="K592" s="31"/>
      <c r="L592" s="35"/>
      <c r="M592" s="34"/>
      <c r="N592" s="35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8.75" customHeight="1">
      <c r="A593" s="31"/>
      <c r="B593" s="31"/>
      <c r="C593" s="36"/>
      <c r="D593" s="31"/>
      <c r="E593" s="31"/>
      <c r="F593" s="31"/>
      <c r="G593" s="31"/>
      <c r="H593" s="31"/>
      <c r="I593" s="34"/>
      <c r="J593" s="31"/>
      <c r="K593" s="31"/>
      <c r="L593" s="35"/>
      <c r="M593" s="34"/>
      <c r="N593" s="35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8.75" customHeight="1">
      <c r="A594" s="31"/>
      <c r="B594" s="31"/>
      <c r="C594" s="36"/>
      <c r="D594" s="31"/>
      <c r="E594" s="31"/>
      <c r="F594" s="31"/>
      <c r="G594" s="31"/>
      <c r="H594" s="31"/>
      <c r="I594" s="34"/>
      <c r="J594" s="31"/>
      <c r="K594" s="31"/>
      <c r="L594" s="35"/>
      <c r="M594" s="34"/>
      <c r="N594" s="35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8.75" customHeight="1">
      <c r="A595" s="31"/>
      <c r="B595" s="31"/>
      <c r="C595" s="36"/>
      <c r="D595" s="31"/>
      <c r="E595" s="31"/>
      <c r="F595" s="31"/>
      <c r="G595" s="31"/>
      <c r="H595" s="31"/>
      <c r="I595" s="34"/>
      <c r="J595" s="31"/>
      <c r="K595" s="31"/>
      <c r="L595" s="35"/>
      <c r="M595" s="34"/>
      <c r="N595" s="35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8.75" customHeight="1">
      <c r="A596" s="31"/>
      <c r="B596" s="31"/>
      <c r="C596" s="36"/>
      <c r="D596" s="31"/>
      <c r="E596" s="31"/>
      <c r="F596" s="31"/>
      <c r="G596" s="31"/>
      <c r="H596" s="31"/>
      <c r="I596" s="34"/>
      <c r="J596" s="31"/>
      <c r="K596" s="31"/>
      <c r="L596" s="35"/>
      <c r="M596" s="34"/>
      <c r="N596" s="35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8.75" customHeight="1">
      <c r="A597" s="31"/>
      <c r="B597" s="31"/>
      <c r="C597" s="36"/>
      <c r="D597" s="31"/>
      <c r="E597" s="31"/>
      <c r="F597" s="31"/>
      <c r="G597" s="31"/>
      <c r="H597" s="31"/>
      <c r="I597" s="34"/>
      <c r="J597" s="31"/>
      <c r="K597" s="31"/>
      <c r="L597" s="35"/>
      <c r="M597" s="34"/>
      <c r="N597" s="35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8.75" customHeight="1">
      <c r="A598" s="31"/>
      <c r="B598" s="31"/>
      <c r="C598" s="36"/>
      <c r="D598" s="31"/>
      <c r="E598" s="31"/>
      <c r="F598" s="31"/>
      <c r="G598" s="31"/>
      <c r="H598" s="31"/>
      <c r="I598" s="34"/>
      <c r="J598" s="31"/>
      <c r="K598" s="31"/>
      <c r="L598" s="35"/>
      <c r="M598" s="34"/>
      <c r="N598" s="35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8.75" customHeight="1">
      <c r="A599" s="31"/>
      <c r="B599" s="31"/>
      <c r="C599" s="36"/>
      <c r="D599" s="31"/>
      <c r="E599" s="31"/>
      <c r="F599" s="31"/>
      <c r="G599" s="31"/>
      <c r="H599" s="31"/>
      <c r="I599" s="34"/>
      <c r="J599" s="31"/>
      <c r="K599" s="31"/>
      <c r="L599" s="35"/>
      <c r="M599" s="34"/>
      <c r="N599" s="35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8.75" customHeight="1">
      <c r="A600" s="31"/>
      <c r="B600" s="31"/>
      <c r="C600" s="36"/>
      <c r="D600" s="31"/>
      <c r="E600" s="31"/>
      <c r="F600" s="31"/>
      <c r="G600" s="31"/>
      <c r="H600" s="31"/>
      <c r="I600" s="34"/>
      <c r="J600" s="31"/>
      <c r="K600" s="31"/>
      <c r="L600" s="35"/>
      <c r="M600" s="34"/>
      <c r="N600" s="35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8.75" customHeight="1">
      <c r="A601" s="31"/>
      <c r="B601" s="31"/>
      <c r="C601" s="36"/>
      <c r="D601" s="31"/>
      <c r="E601" s="31"/>
      <c r="F601" s="31"/>
      <c r="G601" s="31"/>
      <c r="H601" s="31"/>
      <c r="I601" s="34"/>
      <c r="J601" s="31"/>
      <c r="K601" s="31"/>
      <c r="L601" s="35"/>
      <c r="M601" s="34"/>
      <c r="N601" s="35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8.75" customHeight="1">
      <c r="A602" s="31"/>
      <c r="B602" s="31"/>
      <c r="C602" s="36"/>
      <c r="D602" s="31"/>
      <c r="E602" s="31"/>
      <c r="F602" s="31"/>
      <c r="G602" s="31"/>
      <c r="H602" s="31"/>
      <c r="I602" s="34"/>
      <c r="J602" s="31"/>
      <c r="K602" s="31"/>
      <c r="L602" s="35"/>
      <c r="M602" s="34"/>
      <c r="N602" s="35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8.75" customHeight="1">
      <c r="A603" s="31"/>
      <c r="B603" s="31"/>
      <c r="C603" s="36"/>
      <c r="D603" s="31"/>
      <c r="E603" s="31"/>
      <c r="F603" s="31"/>
      <c r="G603" s="31"/>
      <c r="H603" s="31"/>
      <c r="I603" s="34"/>
      <c r="J603" s="31"/>
      <c r="K603" s="31"/>
      <c r="L603" s="35"/>
      <c r="M603" s="34"/>
      <c r="N603" s="35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8.75" customHeight="1">
      <c r="A604" s="31"/>
      <c r="B604" s="31"/>
      <c r="C604" s="36"/>
      <c r="D604" s="31"/>
      <c r="E604" s="31"/>
      <c r="F604" s="31"/>
      <c r="G604" s="31"/>
      <c r="H604" s="31"/>
      <c r="I604" s="34"/>
      <c r="J604" s="31"/>
      <c r="K604" s="31"/>
      <c r="L604" s="35"/>
      <c r="M604" s="34"/>
      <c r="N604" s="35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8.75" customHeight="1">
      <c r="A605" s="31"/>
      <c r="B605" s="31"/>
      <c r="C605" s="36"/>
      <c r="D605" s="31"/>
      <c r="E605" s="31"/>
      <c r="F605" s="31"/>
      <c r="G605" s="31"/>
      <c r="H605" s="31"/>
      <c r="I605" s="34"/>
      <c r="J605" s="31"/>
      <c r="K605" s="31"/>
      <c r="L605" s="35"/>
      <c r="M605" s="34"/>
      <c r="N605" s="35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8.75" customHeight="1">
      <c r="A606" s="31"/>
      <c r="B606" s="31"/>
      <c r="C606" s="36"/>
      <c r="D606" s="31"/>
      <c r="E606" s="31"/>
      <c r="F606" s="31"/>
      <c r="G606" s="31"/>
      <c r="H606" s="31"/>
      <c r="I606" s="34"/>
      <c r="J606" s="31"/>
      <c r="K606" s="31"/>
      <c r="L606" s="35"/>
      <c r="M606" s="34"/>
      <c r="N606" s="35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8.75" customHeight="1">
      <c r="A607" s="31"/>
      <c r="B607" s="31"/>
      <c r="C607" s="36"/>
      <c r="D607" s="31"/>
      <c r="E607" s="31"/>
      <c r="F607" s="31"/>
      <c r="G607" s="31"/>
      <c r="H607" s="31"/>
      <c r="I607" s="34"/>
      <c r="J607" s="31"/>
      <c r="K607" s="31"/>
      <c r="L607" s="35"/>
      <c r="M607" s="34"/>
      <c r="N607" s="35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8.75" customHeight="1">
      <c r="A608" s="31"/>
      <c r="B608" s="31"/>
      <c r="C608" s="36"/>
      <c r="D608" s="31"/>
      <c r="E608" s="31"/>
      <c r="F608" s="31"/>
      <c r="G608" s="31"/>
      <c r="H608" s="31"/>
      <c r="I608" s="34"/>
      <c r="J608" s="31"/>
      <c r="K608" s="31"/>
      <c r="L608" s="35"/>
      <c r="M608" s="34"/>
      <c r="N608" s="35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8.75" customHeight="1">
      <c r="A609" s="31"/>
      <c r="B609" s="31"/>
      <c r="C609" s="36"/>
      <c r="D609" s="31"/>
      <c r="E609" s="31"/>
      <c r="F609" s="31"/>
      <c r="G609" s="31"/>
      <c r="H609" s="31"/>
      <c r="I609" s="34"/>
      <c r="J609" s="31"/>
      <c r="K609" s="31"/>
      <c r="L609" s="35"/>
      <c r="M609" s="34"/>
      <c r="N609" s="35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8.75" customHeight="1">
      <c r="A610" s="31"/>
      <c r="B610" s="31"/>
      <c r="C610" s="36"/>
      <c r="D610" s="31"/>
      <c r="E610" s="31"/>
      <c r="F610" s="31"/>
      <c r="G610" s="31"/>
      <c r="H610" s="31"/>
      <c r="I610" s="34"/>
      <c r="J610" s="31"/>
      <c r="K610" s="31"/>
      <c r="L610" s="35"/>
      <c r="M610" s="34"/>
      <c r="N610" s="35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8.75" customHeight="1">
      <c r="A611" s="31"/>
      <c r="B611" s="31"/>
      <c r="C611" s="36"/>
      <c r="D611" s="31"/>
      <c r="E611" s="31"/>
      <c r="F611" s="31"/>
      <c r="G611" s="31"/>
      <c r="H611" s="31"/>
      <c r="I611" s="34"/>
      <c r="J611" s="31"/>
      <c r="K611" s="31"/>
      <c r="L611" s="35"/>
      <c r="M611" s="34"/>
      <c r="N611" s="35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8.75" customHeight="1">
      <c r="A612" s="31"/>
      <c r="B612" s="31"/>
      <c r="C612" s="36"/>
      <c r="D612" s="31"/>
      <c r="E612" s="31"/>
      <c r="F612" s="31"/>
      <c r="G612" s="31"/>
      <c r="H612" s="31"/>
      <c r="I612" s="34"/>
      <c r="J612" s="31"/>
      <c r="K612" s="31"/>
      <c r="L612" s="35"/>
      <c r="M612" s="34"/>
      <c r="N612" s="35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8.75" customHeight="1">
      <c r="A613" s="31"/>
      <c r="B613" s="31"/>
      <c r="C613" s="36"/>
      <c r="D613" s="31"/>
      <c r="E613" s="31"/>
      <c r="F613" s="31"/>
      <c r="G613" s="31"/>
      <c r="H613" s="31"/>
      <c r="I613" s="34"/>
      <c r="J613" s="31"/>
      <c r="K613" s="31"/>
      <c r="L613" s="35"/>
      <c r="M613" s="34"/>
      <c r="N613" s="35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8.75" customHeight="1">
      <c r="A614" s="31"/>
      <c r="B614" s="31"/>
      <c r="C614" s="36"/>
      <c r="D614" s="31"/>
      <c r="E614" s="31"/>
      <c r="F614" s="31"/>
      <c r="G614" s="31"/>
      <c r="H614" s="31"/>
      <c r="I614" s="34"/>
      <c r="J614" s="31"/>
      <c r="K614" s="31"/>
      <c r="L614" s="35"/>
      <c r="M614" s="34"/>
      <c r="N614" s="35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8.75" customHeight="1">
      <c r="A615" s="31"/>
      <c r="B615" s="31"/>
      <c r="C615" s="36"/>
      <c r="D615" s="31"/>
      <c r="E615" s="31"/>
      <c r="F615" s="31"/>
      <c r="G615" s="31"/>
      <c r="H615" s="31"/>
      <c r="I615" s="34"/>
      <c r="J615" s="31"/>
      <c r="K615" s="31"/>
      <c r="L615" s="35"/>
      <c r="M615" s="34"/>
      <c r="N615" s="35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8.75" customHeight="1">
      <c r="A616" s="31"/>
      <c r="B616" s="31"/>
      <c r="C616" s="36"/>
      <c r="D616" s="31"/>
      <c r="E616" s="31"/>
      <c r="F616" s="31"/>
      <c r="G616" s="31"/>
      <c r="H616" s="31"/>
      <c r="I616" s="34"/>
      <c r="J616" s="31"/>
      <c r="K616" s="31"/>
      <c r="L616" s="35"/>
      <c r="M616" s="34"/>
      <c r="N616" s="35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8.75" customHeight="1">
      <c r="A617" s="31"/>
      <c r="B617" s="31"/>
      <c r="C617" s="36"/>
      <c r="D617" s="31"/>
      <c r="E617" s="31"/>
      <c r="F617" s="31"/>
      <c r="G617" s="31"/>
      <c r="H617" s="31"/>
      <c r="I617" s="34"/>
      <c r="J617" s="31"/>
      <c r="K617" s="31"/>
      <c r="L617" s="35"/>
      <c r="M617" s="34"/>
      <c r="N617" s="35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8.75" customHeight="1">
      <c r="A618" s="31"/>
      <c r="B618" s="31"/>
      <c r="C618" s="36"/>
      <c r="D618" s="31"/>
      <c r="E618" s="31"/>
      <c r="F618" s="31"/>
      <c r="G618" s="31"/>
      <c r="H618" s="31"/>
      <c r="I618" s="34"/>
      <c r="J618" s="31"/>
      <c r="K618" s="31"/>
      <c r="L618" s="35"/>
      <c r="M618" s="34"/>
      <c r="N618" s="35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8.75" customHeight="1">
      <c r="A619" s="31"/>
      <c r="B619" s="31"/>
      <c r="C619" s="36"/>
      <c r="D619" s="31"/>
      <c r="E619" s="31"/>
      <c r="F619" s="31"/>
      <c r="G619" s="31"/>
      <c r="H619" s="31"/>
      <c r="I619" s="34"/>
      <c r="J619" s="31"/>
      <c r="K619" s="31"/>
      <c r="L619" s="35"/>
      <c r="M619" s="34"/>
      <c r="N619" s="35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8.75" customHeight="1">
      <c r="A620" s="31"/>
      <c r="B620" s="31"/>
      <c r="C620" s="36"/>
      <c r="D620" s="31"/>
      <c r="E620" s="31"/>
      <c r="F620" s="31"/>
      <c r="G620" s="31"/>
      <c r="H620" s="31"/>
      <c r="I620" s="34"/>
      <c r="J620" s="31"/>
      <c r="K620" s="31"/>
      <c r="L620" s="35"/>
      <c r="M620" s="34"/>
      <c r="N620" s="35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8.75" customHeight="1">
      <c r="A621" s="31"/>
      <c r="B621" s="31"/>
      <c r="C621" s="36"/>
      <c r="D621" s="31"/>
      <c r="E621" s="31"/>
      <c r="F621" s="31"/>
      <c r="G621" s="31"/>
      <c r="H621" s="31"/>
      <c r="I621" s="34"/>
      <c r="J621" s="31"/>
      <c r="K621" s="31"/>
      <c r="L621" s="35"/>
      <c r="M621" s="34"/>
      <c r="N621" s="35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8.75" customHeight="1">
      <c r="A622" s="31"/>
      <c r="B622" s="31"/>
      <c r="C622" s="36"/>
      <c r="D622" s="31"/>
      <c r="E622" s="31"/>
      <c r="F622" s="31"/>
      <c r="G622" s="31"/>
      <c r="H622" s="31"/>
      <c r="I622" s="34"/>
      <c r="J622" s="31"/>
      <c r="K622" s="31"/>
      <c r="L622" s="35"/>
      <c r="M622" s="34"/>
      <c r="N622" s="35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8.75" customHeight="1">
      <c r="A623" s="31"/>
      <c r="B623" s="31"/>
      <c r="C623" s="36"/>
      <c r="D623" s="31"/>
      <c r="E623" s="31"/>
      <c r="F623" s="31"/>
      <c r="G623" s="31"/>
      <c r="H623" s="31"/>
      <c r="I623" s="34"/>
      <c r="J623" s="31"/>
      <c r="K623" s="31"/>
      <c r="L623" s="35"/>
      <c r="M623" s="34"/>
      <c r="N623" s="35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8.75" customHeight="1">
      <c r="A624" s="31"/>
      <c r="B624" s="31"/>
      <c r="C624" s="36"/>
      <c r="D624" s="31"/>
      <c r="E624" s="31"/>
      <c r="F624" s="31"/>
      <c r="G624" s="31"/>
      <c r="H624" s="31"/>
      <c r="I624" s="34"/>
      <c r="J624" s="31"/>
      <c r="K624" s="31"/>
      <c r="L624" s="35"/>
      <c r="M624" s="34"/>
      <c r="N624" s="35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8.75" customHeight="1">
      <c r="A625" s="31"/>
      <c r="B625" s="31"/>
      <c r="C625" s="36"/>
      <c r="D625" s="31"/>
      <c r="E625" s="31"/>
      <c r="F625" s="31"/>
      <c r="G625" s="31"/>
      <c r="H625" s="31"/>
      <c r="I625" s="34"/>
      <c r="J625" s="31"/>
      <c r="K625" s="31"/>
      <c r="L625" s="35"/>
      <c r="M625" s="34"/>
      <c r="N625" s="35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8.75" customHeight="1">
      <c r="A626" s="31"/>
      <c r="B626" s="31"/>
      <c r="C626" s="36"/>
      <c r="D626" s="31"/>
      <c r="E626" s="31"/>
      <c r="F626" s="31"/>
      <c r="G626" s="31"/>
      <c r="H626" s="31"/>
      <c r="I626" s="34"/>
      <c r="J626" s="31"/>
      <c r="K626" s="31"/>
      <c r="L626" s="35"/>
      <c r="M626" s="34"/>
      <c r="N626" s="35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8.75" customHeight="1">
      <c r="A627" s="31"/>
      <c r="B627" s="31"/>
      <c r="C627" s="36"/>
      <c r="D627" s="31"/>
      <c r="E627" s="31"/>
      <c r="F627" s="31"/>
      <c r="G627" s="31"/>
      <c r="H627" s="31"/>
      <c r="I627" s="34"/>
      <c r="J627" s="31"/>
      <c r="K627" s="31"/>
      <c r="L627" s="35"/>
      <c r="M627" s="34"/>
      <c r="N627" s="35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8.75" customHeight="1">
      <c r="A628" s="31"/>
      <c r="B628" s="31"/>
      <c r="C628" s="36"/>
      <c r="D628" s="31"/>
      <c r="E628" s="31"/>
      <c r="F628" s="31"/>
      <c r="G628" s="31"/>
      <c r="H628" s="31"/>
      <c r="I628" s="34"/>
      <c r="J628" s="31"/>
      <c r="K628" s="31"/>
      <c r="L628" s="35"/>
      <c r="M628" s="34"/>
      <c r="N628" s="35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8.75" customHeight="1">
      <c r="A629" s="31"/>
      <c r="B629" s="31"/>
      <c r="C629" s="36"/>
      <c r="D629" s="31"/>
      <c r="E629" s="31"/>
      <c r="F629" s="31"/>
      <c r="G629" s="31"/>
      <c r="H629" s="31"/>
      <c r="I629" s="34"/>
      <c r="J629" s="31"/>
      <c r="K629" s="31"/>
      <c r="L629" s="35"/>
      <c r="M629" s="34"/>
      <c r="N629" s="35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8.75" customHeight="1">
      <c r="A630" s="31"/>
      <c r="B630" s="31"/>
      <c r="C630" s="36"/>
      <c r="D630" s="31"/>
      <c r="E630" s="31"/>
      <c r="F630" s="31"/>
      <c r="G630" s="31"/>
      <c r="H630" s="31"/>
      <c r="I630" s="34"/>
      <c r="J630" s="31"/>
      <c r="K630" s="31"/>
      <c r="L630" s="35"/>
      <c r="M630" s="34"/>
      <c r="N630" s="35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8.75" customHeight="1">
      <c r="A631" s="31"/>
      <c r="B631" s="31"/>
      <c r="C631" s="36"/>
      <c r="D631" s="31"/>
      <c r="E631" s="31"/>
      <c r="F631" s="31"/>
      <c r="G631" s="31"/>
      <c r="H631" s="31"/>
      <c r="I631" s="34"/>
      <c r="J631" s="31"/>
      <c r="K631" s="31"/>
      <c r="L631" s="35"/>
      <c r="M631" s="34"/>
      <c r="N631" s="35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8.75" customHeight="1">
      <c r="A632" s="31"/>
      <c r="B632" s="31"/>
      <c r="C632" s="36"/>
      <c r="D632" s="31"/>
      <c r="E632" s="31"/>
      <c r="F632" s="31"/>
      <c r="G632" s="31"/>
      <c r="H632" s="31"/>
      <c r="I632" s="34"/>
      <c r="J632" s="31"/>
      <c r="K632" s="31"/>
      <c r="L632" s="35"/>
      <c r="M632" s="34"/>
      <c r="N632" s="35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8.75" customHeight="1">
      <c r="A633" s="31"/>
      <c r="B633" s="31"/>
      <c r="C633" s="36"/>
      <c r="D633" s="31"/>
      <c r="E633" s="31"/>
      <c r="F633" s="31"/>
      <c r="G633" s="31"/>
      <c r="H633" s="31"/>
      <c r="I633" s="34"/>
      <c r="J633" s="31"/>
      <c r="K633" s="31"/>
      <c r="L633" s="35"/>
      <c r="M633" s="34"/>
      <c r="N633" s="35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8.75" customHeight="1">
      <c r="A634" s="31"/>
      <c r="B634" s="31"/>
      <c r="C634" s="36"/>
      <c r="D634" s="31"/>
      <c r="E634" s="31"/>
      <c r="F634" s="31"/>
      <c r="G634" s="31"/>
      <c r="H634" s="31"/>
      <c r="I634" s="34"/>
      <c r="J634" s="31"/>
      <c r="K634" s="31"/>
      <c r="L634" s="35"/>
      <c r="M634" s="34"/>
      <c r="N634" s="35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8.75" customHeight="1">
      <c r="A635" s="31"/>
      <c r="B635" s="31"/>
      <c r="C635" s="36"/>
      <c r="D635" s="31"/>
      <c r="E635" s="31"/>
      <c r="F635" s="31"/>
      <c r="G635" s="31"/>
      <c r="H635" s="31"/>
      <c r="I635" s="34"/>
      <c r="J635" s="31"/>
      <c r="K635" s="31"/>
      <c r="L635" s="35"/>
      <c r="M635" s="34"/>
      <c r="N635" s="35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8.75" customHeight="1">
      <c r="A636" s="31"/>
      <c r="B636" s="31"/>
      <c r="C636" s="36"/>
      <c r="D636" s="31"/>
      <c r="E636" s="31"/>
      <c r="F636" s="31"/>
      <c r="G636" s="31"/>
      <c r="H636" s="31"/>
      <c r="I636" s="34"/>
      <c r="J636" s="31"/>
      <c r="K636" s="31"/>
      <c r="L636" s="35"/>
      <c r="M636" s="34"/>
      <c r="N636" s="35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8.75" customHeight="1">
      <c r="A637" s="31"/>
      <c r="B637" s="31"/>
      <c r="C637" s="36"/>
      <c r="D637" s="31"/>
      <c r="E637" s="31"/>
      <c r="F637" s="31"/>
      <c r="G637" s="31"/>
      <c r="H637" s="31"/>
      <c r="I637" s="34"/>
      <c r="J637" s="31"/>
      <c r="K637" s="31"/>
      <c r="L637" s="35"/>
      <c r="M637" s="34"/>
      <c r="N637" s="35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8.75" customHeight="1">
      <c r="A638" s="31"/>
      <c r="B638" s="31"/>
      <c r="C638" s="36"/>
      <c r="D638" s="31"/>
      <c r="E638" s="31"/>
      <c r="F638" s="31"/>
      <c r="G638" s="31"/>
      <c r="H638" s="31"/>
      <c r="I638" s="34"/>
      <c r="J638" s="31"/>
      <c r="K638" s="31"/>
      <c r="L638" s="35"/>
      <c r="M638" s="34"/>
      <c r="N638" s="35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8.75" customHeight="1">
      <c r="A639" s="31"/>
      <c r="B639" s="31"/>
      <c r="C639" s="36"/>
      <c r="D639" s="31"/>
      <c r="E639" s="31"/>
      <c r="F639" s="31"/>
      <c r="G639" s="31"/>
      <c r="H639" s="31"/>
      <c r="I639" s="34"/>
      <c r="J639" s="31"/>
      <c r="K639" s="31"/>
      <c r="L639" s="35"/>
      <c r="M639" s="34"/>
      <c r="N639" s="35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8.75" customHeight="1">
      <c r="A640" s="31"/>
      <c r="B640" s="31"/>
      <c r="C640" s="36"/>
      <c r="D640" s="31"/>
      <c r="E640" s="31"/>
      <c r="F640" s="31"/>
      <c r="G640" s="31"/>
      <c r="H640" s="31"/>
      <c r="I640" s="34"/>
      <c r="J640" s="31"/>
      <c r="K640" s="31"/>
      <c r="L640" s="35"/>
      <c r="M640" s="34"/>
      <c r="N640" s="35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8.75" customHeight="1">
      <c r="A641" s="31"/>
      <c r="B641" s="31"/>
      <c r="C641" s="36"/>
      <c r="D641" s="31"/>
      <c r="E641" s="31"/>
      <c r="F641" s="31"/>
      <c r="G641" s="31"/>
      <c r="H641" s="31"/>
      <c r="I641" s="34"/>
      <c r="J641" s="31"/>
      <c r="K641" s="31"/>
      <c r="L641" s="35"/>
      <c r="M641" s="34"/>
      <c r="N641" s="35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8.75" customHeight="1">
      <c r="A642" s="31"/>
      <c r="B642" s="31"/>
      <c r="C642" s="36"/>
      <c r="D642" s="31"/>
      <c r="E642" s="31"/>
      <c r="F642" s="31"/>
      <c r="G642" s="31"/>
      <c r="H642" s="31"/>
      <c r="I642" s="34"/>
      <c r="J642" s="31"/>
      <c r="K642" s="31"/>
      <c r="L642" s="35"/>
      <c r="M642" s="34"/>
      <c r="N642" s="35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8.75" customHeight="1">
      <c r="A643" s="31"/>
      <c r="B643" s="31"/>
      <c r="C643" s="36"/>
      <c r="D643" s="31"/>
      <c r="E643" s="31"/>
      <c r="F643" s="31"/>
      <c r="G643" s="31"/>
      <c r="H643" s="31"/>
      <c r="I643" s="34"/>
      <c r="J643" s="31"/>
      <c r="K643" s="31"/>
      <c r="L643" s="35"/>
      <c r="M643" s="34"/>
      <c r="N643" s="35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8.75" customHeight="1">
      <c r="A644" s="31"/>
      <c r="B644" s="31"/>
      <c r="C644" s="36"/>
      <c r="D644" s="31"/>
      <c r="E644" s="31"/>
      <c r="F644" s="31"/>
      <c r="G644" s="31"/>
      <c r="H644" s="31"/>
      <c r="I644" s="34"/>
      <c r="J644" s="31"/>
      <c r="K644" s="31"/>
      <c r="L644" s="35"/>
      <c r="M644" s="34"/>
      <c r="N644" s="35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8.75" customHeight="1">
      <c r="A645" s="31"/>
      <c r="B645" s="31"/>
      <c r="C645" s="36"/>
      <c r="D645" s="31"/>
      <c r="E645" s="31"/>
      <c r="F645" s="31"/>
      <c r="G645" s="31"/>
      <c r="H645" s="31"/>
      <c r="I645" s="34"/>
      <c r="J645" s="31"/>
      <c r="K645" s="31"/>
      <c r="L645" s="35"/>
      <c r="M645" s="34"/>
      <c r="N645" s="35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8.75" customHeight="1">
      <c r="A646" s="31"/>
      <c r="B646" s="31"/>
      <c r="C646" s="36"/>
      <c r="D646" s="31"/>
      <c r="E646" s="31"/>
      <c r="F646" s="31"/>
      <c r="G646" s="31"/>
      <c r="H646" s="31"/>
      <c r="I646" s="34"/>
      <c r="J646" s="31"/>
      <c r="K646" s="31"/>
      <c r="L646" s="35"/>
      <c r="M646" s="34"/>
      <c r="N646" s="35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8.75" customHeight="1">
      <c r="A647" s="31"/>
      <c r="B647" s="31"/>
      <c r="C647" s="36"/>
      <c r="D647" s="31"/>
      <c r="E647" s="31"/>
      <c r="F647" s="31"/>
      <c r="G647" s="31"/>
      <c r="H647" s="31"/>
      <c r="I647" s="34"/>
      <c r="J647" s="31"/>
      <c r="K647" s="31"/>
      <c r="L647" s="35"/>
      <c r="M647" s="34"/>
      <c r="N647" s="35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8.75" customHeight="1">
      <c r="A648" s="31"/>
      <c r="B648" s="31"/>
      <c r="C648" s="36"/>
      <c r="D648" s="31"/>
      <c r="E648" s="31"/>
      <c r="F648" s="31"/>
      <c r="G648" s="31"/>
      <c r="H648" s="31"/>
      <c r="I648" s="34"/>
      <c r="J648" s="31"/>
      <c r="K648" s="31"/>
      <c r="L648" s="35"/>
      <c r="M648" s="34"/>
      <c r="N648" s="35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8.75" customHeight="1">
      <c r="A649" s="31"/>
      <c r="B649" s="31"/>
      <c r="C649" s="36"/>
      <c r="D649" s="31"/>
      <c r="E649" s="31"/>
      <c r="F649" s="31"/>
      <c r="G649" s="31"/>
      <c r="H649" s="31"/>
      <c r="I649" s="34"/>
      <c r="J649" s="31"/>
      <c r="K649" s="31"/>
      <c r="L649" s="35"/>
      <c r="M649" s="34"/>
      <c r="N649" s="35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8.75" customHeight="1">
      <c r="A650" s="31"/>
      <c r="B650" s="31"/>
      <c r="C650" s="36"/>
      <c r="D650" s="31"/>
      <c r="E650" s="31"/>
      <c r="F650" s="31"/>
      <c r="G650" s="31"/>
      <c r="H650" s="31"/>
      <c r="I650" s="34"/>
      <c r="J650" s="31"/>
      <c r="K650" s="31"/>
      <c r="L650" s="35"/>
      <c r="M650" s="34"/>
      <c r="N650" s="35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8.75" customHeight="1">
      <c r="A651" s="31"/>
      <c r="B651" s="31"/>
      <c r="C651" s="36"/>
      <c r="D651" s="31"/>
      <c r="E651" s="31"/>
      <c r="F651" s="31"/>
      <c r="G651" s="31"/>
      <c r="H651" s="31"/>
      <c r="I651" s="34"/>
      <c r="J651" s="31"/>
      <c r="K651" s="31"/>
      <c r="L651" s="35"/>
      <c r="M651" s="34"/>
      <c r="N651" s="35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8.75" customHeight="1">
      <c r="A652" s="31"/>
      <c r="B652" s="31"/>
      <c r="C652" s="36"/>
      <c r="D652" s="31"/>
      <c r="E652" s="31"/>
      <c r="F652" s="31"/>
      <c r="G652" s="31"/>
      <c r="H652" s="31"/>
      <c r="I652" s="34"/>
      <c r="J652" s="31"/>
      <c r="K652" s="31"/>
      <c r="L652" s="35"/>
      <c r="M652" s="34"/>
      <c r="N652" s="35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8.75" customHeight="1">
      <c r="A653" s="31"/>
      <c r="B653" s="31"/>
      <c r="C653" s="36"/>
      <c r="D653" s="31"/>
      <c r="E653" s="31"/>
      <c r="F653" s="31"/>
      <c r="G653" s="31"/>
      <c r="H653" s="31"/>
      <c r="I653" s="34"/>
      <c r="J653" s="31"/>
      <c r="K653" s="31"/>
      <c r="L653" s="35"/>
      <c r="M653" s="34"/>
      <c r="N653" s="35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8.75" customHeight="1">
      <c r="A654" s="31"/>
      <c r="B654" s="31"/>
      <c r="C654" s="36"/>
      <c r="D654" s="31"/>
      <c r="E654" s="31"/>
      <c r="F654" s="31"/>
      <c r="G654" s="31"/>
      <c r="H654" s="31"/>
      <c r="I654" s="34"/>
      <c r="J654" s="31"/>
      <c r="K654" s="31"/>
      <c r="L654" s="35"/>
      <c r="M654" s="34"/>
      <c r="N654" s="35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8.75" customHeight="1">
      <c r="A655" s="31"/>
      <c r="B655" s="31"/>
      <c r="C655" s="36"/>
      <c r="D655" s="31"/>
      <c r="E655" s="31"/>
      <c r="F655" s="31"/>
      <c r="G655" s="31"/>
      <c r="H655" s="31"/>
      <c r="I655" s="34"/>
      <c r="J655" s="31"/>
      <c r="K655" s="31"/>
      <c r="L655" s="35"/>
      <c r="M655" s="34"/>
      <c r="N655" s="35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8.75" customHeight="1">
      <c r="A656" s="31"/>
      <c r="B656" s="31"/>
      <c r="C656" s="36"/>
      <c r="D656" s="31"/>
      <c r="E656" s="31"/>
      <c r="F656" s="31"/>
      <c r="G656" s="31"/>
      <c r="H656" s="31"/>
      <c r="I656" s="34"/>
      <c r="J656" s="31"/>
      <c r="K656" s="31"/>
      <c r="L656" s="35"/>
      <c r="M656" s="34"/>
      <c r="N656" s="35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8.75" customHeight="1">
      <c r="A657" s="31"/>
      <c r="B657" s="31"/>
      <c r="C657" s="36"/>
      <c r="D657" s="31"/>
      <c r="E657" s="31"/>
      <c r="F657" s="31"/>
      <c r="G657" s="31"/>
      <c r="H657" s="31"/>
      <c r="I657" s="34"/>
      <c r="J657" s="31"/>
      <c r="K657" s="31"/>
      <c r="L657" s="35"/>
      <c r="M657" s="34"/>
      <c r="N657" s="35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8.75" customHeight="1">
      <c r="A658" s="31"/>
      <c r="B658" s="31"/>
      <c r="C658" s="36"/>
      <c r="D658" s="31"/>
      <c r="E658" s="31"/>
      <c r="F658" s="31"/>
      <c r="G658" s="31"/>
      <c r="H658" s="31"/>
      <c r="I658" s="34"/>
      <c r="J658" s="31"/>
      <c r="K658" s="31"/>
      <c r="L658" s="35"/>
      <c r="M658" s="34"/>
      <c r="N658" s="35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8.75" customHeight="1">
      <c r="A659" s="31"/>
      <c r="B659" s="31"/>
      <c r="C659" s="36"/>
      <c r="D659" s="31"/>
      <c r="E659" s="31"/>
      <c r="F659" s="31"/>
      <c r="G659" s="31"/>
      <c r="H659" s="31"/>
      <c r="I659" s="34"/>
      <c r="J659" s="31"/>
      <c r="K659" s="31"/>
      <c r="L659" s="35"/>
      <c r="M659" s="34"/>
      <c r="N659" s="35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8.75" customHeight="1">
      <c r="A660" s="31"/>
      <c r="B660" s="31"/>
      <c r="C660" s="36"/>
      <c r="D660" s="31"/>
      <c r="E660" s="31"/>
      <c r="F660" s="31"/>
      <c r="G660" s="31"/>
      <c r="H660" s="31"/>
      <c r="I660" s="34"/>
      <c r="J660" s="31"/>
      <c r="K660" s="31"/>
      <c r="L660" s="35"/>
      <c r="M660" s="34"/>
      <c r="N660" s="35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8.75" customHeight="1">
      <c r="A661" s="31"/>
      <c r="B661" s="31"/>
      <c r="C661" s="36"/>
      <c r="D661" s="31"/>
      <c r="E661" s="31"/>
      <c r="F661" s="31"/>
      <c r="G661" s="31"/>
      <c r="H661" s="31"/>
      <c r="I661" s="34"/>
      <c r="J661" s="31"/>
      <c r="K661" s="31"/>
      <c r="L661" s="35"/>
      <c r="M661" s="34"/>
      <c r="N661" s="35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8.75" customHeight="1">
      <c r="A662" s="31"/>
      <c r="B662" s="31"/>
      <c r="C662" s="36"/>
      <c r="D662" s="31"/>
      <c r="E662" s="31"/>
      <c r="F662" s="31"/>
      <c r="G662" s="31"/>
      <c r="H662" s="31"/>
      <c r="I662" s="34"/>
      <c r="J662" s="31"/>
      <c r="K662" s="31"/>
      <c r="L662" s="35"/>
      <c r="M662" s="34"/>
      <c r="N662" s="35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8.75" customHeight="1">
      <c r="A663" s="31"/>
      <c r="B663" s="31"/>
      <c r="C663" s="36"/>
      <c r="D663" s="31"/>
      <c r="E663" s="31"/>
      <c r="F663" s="31"/>
      <c r="G663" s="31"/>
      <c r="H663" s="31"/>
      <c r="I663" s="34"/>
      <c r="J663" s="31"/>
      <c r="K663" s="31"/>
      <c r="L663" s="35"/>
      <c r="M663" s="34"/>
      <c r="N663" s="35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8.75" customHeight="1">
      <c r="A664" s="31"/>
      <c r="B664" s="31"/>
      <c r="C664" s="36"/>
      <c r="D664" s="31"/>
      <c r="E664" s="31"/>
      <c r="F664" s="31"/>
      <c r="G664" s="31"/>
      <c r="H664" s="31"/>
      <c r="I664" s="34"/>
      <c r="J664" s="31"/>
      <c r="K664" s="31"/>
      <c r="L664" s="35"/>
      <c r="M664" s="34"/>
      <c r="N664" s="35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8.75" customHeight="1">
      <c r="A665" s="31"/>
      <c r="B665" s="31"/>
      <c r="C665" s="36"/>
      <c r="D665" s="31"/>
      <c r="E665" s="31"/>
      <c r="F665" s="31"/>
      <c r="G665" s="31"/>
      <c r="H665" s="31"/>
      <c r="I665" s="34"/>
      <c r="J665" s="31"/>
      <c r="K665" s="31"/>
      <c r="L665" s="35"/>
      <c r="M665" s="34"/>
      <c r="N665" s="35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8.75" customHeight="1">
      <c r="A666" s="31"/>
      <c r="B666" s="31"/>
      <c r="C666" s="36"/>
      <c r="D666" s="31"/>
      <c r="E666" s="31"/>
      <c r="F666" s="31"/>
      <c r="G666" s="31"/>
      <c r="H666" s="31"/>
      <c r="I666" s="34"/>
      <c r="J666" s="31"/>
      <c r="K666" s="31"/>
      <c r="L666" s="35"/>
      <c r="M666" s="34"/>
      <c r="N666" s="35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8.75" customHeight="1">
      <c r="A667" s="31"/>
      <c r="B667" s="31"/>
      <c r="C667" s="36"/>
      <c r="D667" s="31"/>
      <c r="E667" s="31"/>
      <c r="F667" s="31"/>
      <c r="G667" s="31"/>
      <c r="H667" s="31"/>
      <c r="I667" s="34"/>
      <c r="J667" s="31"/>
      <c r="K667" s="31"/>
      <c r="L667" s="35"/>
      <c r="M667" s="34"/>
      <c r="N667" s="35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8.75" customHeight="1">
      <c r="A668" s="31"/>
      <c r="B668" s="31"/>
      <c r="C668" s="36"/>
      <c r="D668" s="31"/>
      <c r="E668" s="31"/>
      <c r="F668" s="31"/>
      <c r="G668" s="31"/>
      <c r="H668" s="31"/>
      <c r="I668" s="34"/>
      <c r="J668" s="31"/>
      <c r="K668" s="31"/>
      <c r="L668" s="35"/>
      <c r="M668" s="34"/>
      <c r="N668" s="35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8.75" customHeight="1">
      <c r="A669" s="31"/>
      <c r="B669" s="31"/>
      <c r="C669" s="36"/>
      <c r="D669" s="31"/>
      <c r="E669" s="31"/>
      <c r="F669" s="31"/>
      <c r="G669" s="31"/>
      <c r="H669" s="31"/>
      <c r="I669" s="34"/>
      <c r="J669" s="31"/>
      <c r="K669" s="31"/>
      <c r="L669" s="35"/>
      <c r="M669" s="34"/>
      <c r="N669" s="35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8.75" customHeight="1">
      <c r="A670" s="31"/>
      <c r="B670" s="31"/>
      <c r="C670" s="36"/>
      <c r="D670" s="31"/>
      <c r="E670" s="31"/>
      <c r="F670" s="31"/>
      <c r="G670" s="31"/>
      <c r="H670" s="31"/>
      <c r="I670" s="34"/>
      <c r="J670" s="31"/>
      <c r="K670" s="31"/>
      <c r="L670" s="35"/>
      <c r="M670" s="34"/>
      <c r="N670" s="35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8.75" customHeight="1">
      <c r="A671" s="31"/>
      <c r="B671" s="31"/>
      <c r="C671" s="36"/>
      <c r="D671" s="31"/>
      <c r="E671" s="31"/>
      <c r="F671" s="31"/>
      <c r="G671" s="31"/>
      <c r="H671" s="31"/>
      <c r="I671" s="34"/>
      <c r="J671" s="31"/>
      <c r="K671" s="31"/>
      <c r="L671" s="35"/>
      <c r="M671" s="34"/>
      <c r="N671" s="35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8.75" customHeight="1">
      <c r="A672" s="31"/>
      <c r="B672" s="31"/>
      <c r="C672" s="36"/>
      <c r="D672" s="31"/>
      <c r="E672" s="31"/>
      <c r="F672" s="31"/>
      <c r="G672" s="31"/>
      <c r="H672" s="31"/>
      <c r="I672" s="34"/>
      <c r="J672" s="31"/>
      <c r="K672" s="31"/>
      <c r="L672" s="35"/>
      <c r="M672" s="34"/>
      <c r="N672" s="35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8.75" customHeight="1">
      <c r="A673" s="31"/>
      <c r="B673" s="31"/>
      <c r="C673" s="36"/>
      <c r="D673" s="31"/>
      <c r="E673" s="31"/>
      <c r="F673" s="31"/>
      <c r="G673" s="31"/>
      <c r="H673" s="31"/>
      <c r="I673" s="34"/>
      <c r="J673" s="31"/>
      <c r="K673" s="31"/>
      <c r="L673" s="35"/>
      <c r="M673" s="34"/>
      <c r="N673" s="35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8.75" customHeight="1">
      <c r="A674" s="31"/>
      <c r="B674" s="31"/>
      <c r="C674" s="36"/>
      <c r="D674" s="31"/>
      <c r="E674" s="31"/>
      <c r="F674" s="31"/>
      <c r="G674" s="31"/>
      <c r="H674" s="31"/>
      <c r="I674" s="34"/>
      <c r="J674" s="31"/>
      <c r="K674" s="31"/>
      <c r="L674" s="35"/>
      <c r="M674" s="34"/>
      <c r="N674" s="35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8.75" customHeight="1">
      <c r="A675" s="31"/>
      <c r="B675" s="31"/>
      <c r="C675" s="36"/>
      <c r="D675" s="31"/>
      <c r="E675" s="31"/>
      <c r="F675" s="31"/>
      <c r="G675" s="31"/>
      <c r="H675" s="31"/>
      <c r="I675" s="34"/>
      <c r="J675" s="31"/>
      <c r="K675" s="31"/>
      <c r="L675" s="35"/>
      <c r="M675" s="34"/>
      <c r="N675" s="35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8.75" customHeight="1">
      <c r="A676" s="31"/>
      <c r="B676" s="31"/>
      <c r="C676" s="36"/>
      <c r="D676" s="31"/>
      <c r="E676" s="31"/>
      <c r="F676" s="31"/>
      <c r="G676" s="31"/>
      <c r="H676" s="31"/>
      <c r="I676" s="34"/>
      <c r="J676" s="31"/>
      <c r="K676" s="31"/>
      <c r="L676" s="35"/>
      <c r="M676" s="34"/>
      <c r="N676" s="35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8.75" customHeight="1">
      <c r="A677" s="31"/>
      <c r="B677" s="31"/>
      <c r="C677" s="36"/>
      <c r="D677" s="31"/>
      <c r="E677" s="31"/>
      <c r="F677" s="31"/>
      <c r="G677" s="31"/>
      <c r="H677" s="31"/>
      <c r="I677" s="34"/>
      <c r="J677" s="31"/>
      <c r="K677" s="31"/>
      <c r="L677" s="35"/>
      <c r="M677" s="34"/>
      <c r="N677" s="35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8.75" customHeight="1">
      <c r="A678" s="31"/>
      <c r="B678" s="31"/>
      <c r="C678" s="36"/>
      <c r="D678" s="31"/>
      <c r="E678" s="31"/>
      <c r="F678" s="31"/>
      <c r="G678" s="31"/>
      <c r="H678" s="31"/>
      <c r="I678" s="34"/>
      <c r="J678" s="31"/>
      <c r="K678" s="31"/>
      <c r="L678" s="35"/>
      <c r="M678" s="34"/>
      <c r="N678" s="35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8.75" customHeight="1">
      <c r="A679" s="31"/>
      <c r="B679" s="31"/>
      <c r="C679" s="36"/>
      <c r="D679" s="31"/>
      <c r="E679" s="31"/>
      <c r="F679" s="31"/>
      <c r="G679" s="31"/>
      <c r="H679" s="31"/>
      <c r="I679" s="34"/>
      <c r="J679" s="31"/>
      <c r="K679" s="31"/>
      <c r="L679" s="35"/>
      <c r="M679" s="34"/>
      <c r="N679" s="35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8.75" customHeight="1">
      <c r="A680" s="31"/>
      <c r="B680" s="31"/>
      <c r="C680" s="36"/>
      <c r="D680" s="31"/>
      <c r="E680" s="31"/>
      <c r="F680" s="31"/>
      <c r="G680" s="31"/>
      <c r="H680" s="31"/>
      <c r="I680" s="34"/>
      <c r="J680" s="31"/>
      <c r="K680" s="31"/>
      <c r="L680" s="35"/>
      <c r="M680" s="34"/>
      <c r="N680" s="35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8.75" customHeight="1">
      <c r="A681" s="31"/>
      <c r="B681" s="31"/>
      <c r="C681" s="36"/>
      <c r="D681" s="31"/>
      <c r="E681" s="31"/>
      <c r="F681" s="31"/>
      <c r="G681" s="31"/>
      <c r="H681" s="31"/>
      <c r="I681" s="34"/>
      <c r="J681" s="31"/>
      <c r="K681" s="31"/>
      <c r="L681" s="35"/>
      <c r="M681" s="34"/>
      <c r="N681" s="35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8.75" customHeight="1">
      <c r="A682" s="31"/>
      <c r="B682" s="31"/>
      <c r="C682" s="36"/>
      <c r="D682" s="31"/>
      <c r="E682" s="31"/>
      <c r="F682" s="31"/>
      <c r="G682" s="31"/>
      <c r="H682" s="31"/>
      <c r="I682" s="34"/>
      <c r="J682" s="31"/>
      <c r="K682" s="31"/>
      <c r="L682" s="35"/>
      <c r="M682" s="34"/>
      <c r="N682" s="35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8.75" customHeight="1">
      <c r="A683" s="31"/>
      <c r="B683" s="31"/>
      <c r="C683" s="36"/>
      <c r="D683" s="31"/>
      <c r="E683" s="31"/>
      <c r="F683" s="31"/>
      <c r="G683" s="31"/>
      <c r="H683" s="31"/>
      <c r="I683" s="34"/>
      <c r="J683" s="31"/>
      <c r="K683" s="31"/>
      <c r="L683" s="35"/>
      <c r="M683" s="34"/>
      <c r="N683" s="35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8.75" customHeight="1">
      <c r="A684" s="31"/>
      <c r="B684" s="31"/>
      <c r="C684" s="36"/>
      <c r="D684" s="31"/>
      <c r="E684" s="31"/>
      <c r="F684" s="31"/>
      <c r="G684" s="31"/>
      <c r="H684" s="31"/>
      <c r="I684" s="34"/>
      <c r="J684" s="31"/>
      <c r="K684" s="31"/>
      <c r="L684" s="35"/>
      <c r="M684" s="34"/>
      <c r="N684" s="35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8.75" customHeight="1">
      <c r="A685" s="31"/>
      <c r="B685" s="31"/>
      <c r="C685" s="36"/>
      <c r="D685" s="31"/>
      <c r="E685" s="31"/>
      <c r="F685" s="31"/>
      <c r="G685" s="31"/>
      <c r="H685" s="31"/>
      <c r="I685" s="34"/>
      <c r="J685" s="31"/>
      <c r="K685" s="31"/>
      <c r="L685" s="35"/>
      <c r="M685" s="34"/>
      <c r="N685" s="35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8.75" customHeight="1">
      <c r="A686" s="31"/>
      <c r="B686" s="31"/>
      <c r="C686" s="36"/>
      <c r="D686" s="31"/>
      <c r="E686" s="31"/>
      <c r="F686" s="31"/>
      <c r="G686" s="31"/>
      <c r="H686" s="31"/>
      <c r="I686" s="34"/>
      <c r="J686" s="31"/>
      <c r="K686" s="31"/>
      <c r="L686" s="35"/>
      <c r="M686" s="34"/>
      <c r="N686" s="35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8.75" customHeight="1">
      <c r="A687" s="31"/>
      <c r="B687" s="31"/>
      <c r="C687" s="36"/>
      <c r="D687" s="31"/>
      <c r="E687" s="31"/>
      <c r="F687" s="31"/>
      <c r="G687" s="31"/>
      <c r="H687" s="31"/>
      <c r="I687" s="34"/>
      <c r="J687" s="31"/>
      <c r="K687" s="31"/>
      <c r="L687" s="35"/>
      <c r="M687" s="34"/>
      <c r="N687" s="35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8.75" customHeight="1">
      <c r="A688" s="31"/>
      <c r="B688" s="31"/>
      <c r="C688" s="36"/>
      <c r="D688" s="31"/>
      <c r="E688" s="31"/>
      <c r="F688" s="31"/>
      <c r="G688" s="31"/>
      <c r="H688" s="31"/>
      <c r="I688" s="34"/>
      <c r="J688" s="31"/>
      <c r="K688" s="31"/>
      <c r="L688" s="35"/>
      <c r="M688" s="34"/>
      <c r="N688" s="35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8.75" customHeight="1">
      <c r="A689" s="31"/>
      <c r="B689" s="31"/>
      <c r="C689" s="36"/>
      <c r="D689" s="31"/>
      <c r="E689" s="31"/>
      <c r="F689" s="31"/>
      <c r="G689" s="31"/>
      <c r="H689" s="31"/>
      <c r="I689" s="34"/>
      <c r="J689" s="31"/>
      <c r="K689" s="31"/>
      <c r="L689" s="35"/>
      <c r="M689" s="34"/>
      <c r="N689" s="35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8.75" customHeight="1">
      <c r="A690" s="31"/>
      <c r="B690" s="31"/>
      <c r="C690" s="36"/>
      <c r="D690" s="31"/>
      <c r="E690" s="31"/>
      <c r="F690" s="31"/>
      <c r="G690" s="31"/>
      <c r="H690" s="31"/>
      <c r="I690" s="34"/>
      <c r="J690" s="31"/>
      <c r="K690" s="31"/>
      <c r="L690" s="35"/>
      <c r="M690" s="34"/>
      <c r="N690" s="35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8.75" customHeight="1">
      <c r="A691" s="31"/>
      <c r="B691" s="31"/>
      <c r="C691" s="36"/>
      <c r="D691" s="31"/>
      <c r="E691" s="31"/>
      <c r="F691" s="31"/>
      <c r="G691" s="31"/>
      <c r="H691" s="31"/>
      <c r="I691" s="34"/>
      <c r="J691" s="31"/>
      <c r="K691" s="31"/>
      <c r="L691" s="35"/>
      <c r="M691" s="34"/>
      <c r="N691" s="35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8.75" customHeight="1">
      <c r="A692" s="31"/>
      <c r="B692" s="31"/>
      <c r="C692" s="36"/>
      <c r="D692" s="31"/>
      <c r="E692" s="31"/>
      <c r="F692" s="31"/>
      <c r="G692" s="31"/>
      <c r="H692" s="31"/>
      <c r="I692" s="34"/>
      <c r="J692" s="31"/>
      <c r="K692" s="31"/>
      <c r="L692" s="35"/>
      <c r="M692" s="34"/>
      <c r="N692" s="35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8.75" customHeight="1">
      <c r="A693" s="31"/>
      <c r="B693" s="31"/>
      <c r="C693" s="36"/>
      <c r="D693" s="31"/>
      <c r="E693" s="31"/>
      <c r="F693" s="31"/>
      <c r="G693" s="31"/>
      <c r="H693" s="31"/>
      <c r="I693" s="34"/>
      <c r="J693" s="31"/>
      <c r="K693" s="31"/>
      <c r="L693" s="35"/>
      <c r="M693" s="34"/>
      <c r="N693" s="35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8.75" customHeight="1">
      <c r="A694" s="31"/>
      <c r="B694" s="31"/>
      <c r="C694" s="36"/>
      <c r="D694" s="31"/>
      <c r="E694" s="31"/>
      <c r="F694" s="31"/>
      <c r="G694" s="31"/>
      <c r="H694" s="31"/>
      <c r="I694" s="34"/>
      <c r="J694" s="31"/>
      <c r="K694" s="31"/>
      <c r="L694" s="35"/>
      <c r="M694" s="34"/>
      <c r="N694" s="35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8.75" customHeight="1">
      <c r="A695" s="31"/>
      <c r="B695" s="31"/>
      <c r="C695" s="36"/>
      <c r="D695" s="31"/>
      <c r="E695" s="31"/>
      <c r="F695" s="31"/>
      <c r="G695" s="31"/>
      <c r="H695" s="31"/>
      <c r="I695" s="34"/>
      <c r="J695" s="31"/>
      <c r="K695" s="31"/>
      <c r="L695" s="35"/>
      <c r="M695" s="34"/>
      <c r="N695" s="35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8.75" customHeight="1">
      <c r="A696" s="31"/>
      <c r="B696" s="31"/>
      <c r="C696" s="36"/>
      <c r="D696" s="31"/>
      <c r="E696" s="31"/>
      <c r="F696" s="31"/>
      <c r="G696" s="31"/>
      <c r="H696" s="31"/>
      <c r="I696" s="34"/>
      <c r="J696" s="31"/>
      <c r="K696" s="31"/>
      <c r="L696" s="35"/>
      <c r="M696" s="34"/>
      <c r="N696" s="35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8.75" customHeight="1">
      <c r="A697" s="31"/>
      <c r="B697" s="31"/>
      <c r="C697" s="36"/>
      <c r="D697" s="31"/>
      <c r="E697" s="31"/>
      <c r="F697" s="31"/>
      <c r="G697" s="31"/>
      <c r="H697" s="31"/>
      <c r="I697" s="34"/>
      <c r="J697" s="31"/>
      <c r="K697" s="31"/>
      <c r="L697" s="35"/>
      <c r="M697" s="34"/>
      <c r="N697" s="35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8.75" customHeight="1">
      <c r="A698" s="31"/>
      <c r="B698" s="31"/>
      <c r="C698" s="36"/>
      <c r="D698" s="31"/>
      <c r="E698" s="31"/>
      <c r="F698" s="31"/>
      <c r="G698" s="31"/>
      <c r="H698" s="31"/>
      <c r="I698" s="34"/>
      <c r="J698" s="31"/>
      <c r="K698" s="31"/>
      <c r="L698" s="35"/>
      <c r="M698" s="34"/>
      <c r="N698" s="35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8.75" customHeight="1">
      <c r="A699" s="31"/>
      <c r="B699" s="31"/>
      <c r="C699" s="36"/>
      <c r="D699" s="31"/>
      <c r="E699" s="31"/>
      <c r="F699" s="31"/>
      <c r="G699" s="31"/>
      <c r="H699" s="31"/>
      <c r="I699" s="34"/>
      <c r="J699" s="31"/>
      <c r="K699" s="31"/>
      <c r="L699" s="35"/>
      <c r="M699" s="34"/>
      <c r="N699" s="35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8.75" customHeight="1">
      <c r="A700" s="31"/>
      <c r="B700" s="31"/>
      <c r="C700" s="36"/>
      <c r="D700" s="31"/>
      <c r="E700" s="31"/>
      <c r="F700" s="31"/>
      <c r="G700" s="31"/>
      <c r="H700" s="31"/>
      <c r="I700" s="34"/>
      <c r="J700" s="31"/>
      <c r="K700" s="31"/>
      <c r="L700" s="35"/>
      <c r="M700" s="34"/>
      <c r="N700" s="35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8.75" customHeight="1">
      <c r="A701" s="31"/>
      <c r="B701" s="31"/>
      <c r="C701" s="36"/>
      <c r="D701" s="31"/>
      <c r="E701" s="31"/>
      <c r="F701" s="31"/>
      <c r="G701" s="31"/>
      <c r="H701" s="31"/>
      <c r="I701" s="34"/>
      <c r="J701" s="31"/>
      <c r="K701" s="31"/>
      <c r="L701" s="35"/>
      <c r="M701" s="34"/>
      <c r="N701" s="35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8.75" customHeight="1">
      <c r="A702" s="31"/>
      <c r="B702" s="31"/>
      <c r="C702" s="36"/>
      <c r="D702" s="31"/>
      <c r="E702" s="31"/>
      <c r="F702" s="31"/>
      <c r="G702" s="31"/>
      <c r="H702" s="31"/>
      <c r="I702" s="34"/>
      <c r="J702" s="31"/>
      <c r="K702" s="31"/>
      <c r="L702" s="35"/>
      <c r="M702" s="34"/>
      <c r="N702" s="35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8.75" customHeight="1">
      <c r="A703" s="31"/>
      <c r="B703" s="31"/>
      <c r="C703" s="36"/>
      <c r="D703" s="31"/>
      <c r="E703" s="31"/>
      <c r="F703" s="31"/>
      <c r="G703" s="31"/>
      <c r="H703" s="31"/>
      <c r="I703" s="34"/>
      <c r="J703" s="31"/>
      <c r="K703" s="31"/>
      <c r="L703" s="35"/>
      <c r="M703" s="34"/>
      <c r="N703" s="35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8.75" customHeight="1">
      <c r="A704" s="31"/>
      <c r="B704" s="31"/>
      <c r="C704" s="36"/>
      <c r="D704" s="31"/>
      <c r="E704" s="31"/>
      <c r="F704" s="31"/>
      <c r="G704" s="31"/>
      <c r="H704" s="31"/>
      <c r="I704" s="34"/>
      <c r="J704" s="31"/>
      <c r="K704" s="31"/>
      <c r="L704" s="35"/>
      <c r="M704" s="34"/>
      <c r="N704" s="35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8.75" customHeight="1">
      <c r="A705" s="31"/>
      <c r="B705" s="31"/>
      <c r="C705" s="36"/>
      <c r="D705" s="31"/>
      <c r="E705" s="31"/>
      <c r="F705" s="31"/>
      <c r="G705" s="31"/>
      <c r="H705" s="31"/>
      <c r="I705" s="34"/>
      <c r="J705" s="31"/>
      <c r="K705" s="31"/>
      <c r="L705" s="35"/>
      <c r="M705" s="34"/>
      <c r="N705" s="35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8.75" customHeight="1">
      <c r="A706" s="31"/>
      <c r="B706" s="31"/>
      <c r="C706" s="36"/>
      <c r="D706" s="31"/>
      <c r="E706" s="31"/>
      <c r="F706" s="31"/>
      <c r="G706" s="31"/>
      <c r="H706" s="31"/>
      <c r="I706" s="34"/>
      <c r="J706" s="31"/>
      <c r="K706" s="31"/>
      <c r="L706" s="35"/>
      <c r="M706" s="34"/>
      <c r="N706" s="35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8.75" customHeight="1">
      <c r="A707" s="31"/>
      <c r="B707" s="31"/>
      <c r="C707" s="36"/>
      <c r="D707" s="31"/>
      <c r="E707" s="31"/>
      <c r="F707" s="31"/>
      <c r="G707" s="31"/>
      <c r="H707" s="31"/>
      <c r="I707" s="34"/>
      <c r="J707" s="31"/>
      <c r="K707" s="31"/>
      <c r="L707" s="35"/>
      <c r="M707" s="34"/>
      <c r="N707" s="35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8.75" customHeight="1">
      <c r="A708" s="31"/>
      <c r="B708" s="31"/>
      <c r="C708" s="36"/>
      <c r="D708" s="31"/>
      <c r="E708" s="31"/>
      <c r="F708" s="31"/>
      <c r="G708" s="31"/>
      <c r="H708" s="31"/>
      <c r="I708" s="34"/>
      <c r="J708" s="31"/>
      <c r="K708" s="31"/>
      <c r="L708" s="35"/>
      <c r="M708" s="34"/>
      <c r="N708" s="35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8.75" customHeight="1">
      <c r="A709" s="31"/>
      <c r="B709" s="31"/>
      <c r="C709" s="36"/>
      <c r="D709" s="31"/>
      <c r="E709" s="31"/>
      <c r="F709" s="31"/>
      <c r="G709" s="31"/>
      <c r="H709" s="31"/>
      <c r="I709" s="34"/>
      <c r="J709" s="31"/>
      <c r="K709" s="31"/>
      <c r="L709" s="35"/>
      <c r="M709" s="34"/>
      <c r="N709" s="35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8.75" customHeight="1">
      <c r="A710" s="31"/>
      <c r="B710" s="31"/>
      <c r="C710" s="36"/>
      <c r="D710" s="31"/>
      <c r="E710" s="31"/>
      <c r="F710" s="31"/>
      <c r="G710" s="31"/>
      <c r="H710" s="31"/>
      <c r="I710" s="34"/>
      <c r="J710" s="31"/>
      <c r="K710" s="31"/>
      <c r="L710" s="35"/>
      <c r="M710" s="34"/>
      <c r="N710" s="35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8.75" customHeight="1">
      <c r="A711" s="31"/>
      <c r="B711" s="31"/>
      <c r="C711" s="36"/>
      <c r="D711" s="31"/>
      <c r="E711" s="31"/>
      <c r="F711" s="31"/>
      <c r="G711" s="31"/>
      <c r="H711" s="31"/>
      <c r="I711" s="34"/>
      <c r="J711" s="31"/>
      <c r="K711" s="31"/>
      <c r="L711" s="35"/>
      <c r="M711" s="34"/>
      <c r="N711" s="35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8.75" customHeight="1">
      <c r="A712" s="31"/>
      <c r="B712" s="31"/>
      <c r="C712" s="36"/>
      <c r="D712" s="31"/>
      <c r="E712" s="31"/>
      <c r="F712" s="31"/>
      <c r="G712" s="31"/>
      <c r="H712" s="31"/>
      <c r="I712" s="34"/>
      <c r="J712" s="31"/>
      <c r="K712" s="31"/>
      <c r="L712" s="35"/>
      <c r="M712" s="34"/>
      <c r="N712" s="35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8.75" customHeight="1">
      <c r="A713" s="31"/>
      <c r="B713" s="31"/>
      <c r="C713" s="36"/>
      <c r="D713" s="31"/>
      <c r="E713" s="31"/>
      <c r="F713" s="31"/>
      <c r="G713" s="31"/>
      <c r="H713" s="31"/>
      <c r="I713" s="34"/>
      <c r="J713" s="31"/>
      <c r="K713" s="31"/>
      <c r="L713" s="35"/>
      <c r="M713" s="34"/>
      <c r="N713" s="35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8.75" customHeight="1">
      <c r="A714" s="31"/>
      <c r="B714" s="31"/>
      <c r="C714" s="36"/>
      <c r="D714" s="31"/>
      <c r="E714" s="31"/>
      <c r="F714" s="31"/>
      <c r="G714" s="31"/>
      <c r="H714" s="31"/>
      <c r="I714" s="34"/>
      <c r="J714" s="31"/>
      <c r="K714" s="31"/>
      <c r="L714" s="35"/>
      <c r="M714" s="34"/>
      <c r="N714" s="35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8.75" customHeight="1">
      <c r="A715" s="31"/>
      <c r="B715" s="31"/>
      <c r="C715" s="36"/>
      <c r="D715" s="31"/>
      <c r="E715" s="31"/>
      <c r="F715" s="31"/>
      <c r="G715" s="31"/>
      <c r="H715" s="31"/>
      <c r="I715" s="34"/>
      <c r="J715" s="31"/>
      <c r="K715" s="31"/>
      <c r="L715" s="35"/>
      <c r="M715" s="34"/>
      <c r="N715" s="35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8.75" customHeight="1">
      <c r="A716" s="31"/>
      <c r="B716" s="31"/>
      <c r="C716" s="36"/>
      <c r="D716" s="31"/>
      <c r="E716" s="31"/>
      <c r="F716" s="31"/>
      <c r="G716" s="31"/>
      <c r="H716" s="31"/>
      <c r="I716" s="34"/>
      <c r="J716" s="31"/>
      <c r="K716" s="31"/>
      <c r="L716" s="35"/>
      <c r="M716" s="34"/>
      <c r="N716" s="35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8.75" customHeight="1">
      <c r="A717" s="31"/>
      <c r="B717" s="31"/>
      <c r="C717" s="36"/>
      <c r="D717" s="31"/>
      <c r="E717" s="31"/>
      <c r="F717" s="31"/>
      <c r="G717" s="31"/>
      <c r="H717" s="31"/>
      <c r="I717" s="34"/>
      <c r="J717" s="31"/>
      <c r="K717" s="31"/>
      <c r="L717" s="35"/>
      <c r="M717" s="34"/>
      <c r="N717" s="35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8.75" customHeight="1">
      <c r="A718" s="31"/>
      <c r="B718" s="31"/>
      <c r="C718" s="36"/>
      <c r="D718" s="31"/>
      <c r="E718" s="31"/>
      <c r="F718" s="31"/>
      <c r="G718" s="31"/>
      <c r="H718" s="31"/>
      <c r="I718" s="34"/>
      <c r="J718" s="31"/>
      <c r="K718" s="31"/>
      <c r="L718" s="35"/>
      <c r="M718" s="34"/>
      <c r="N718" s="35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8.75" customHeight="1">
      <c r="A719" s="31"/>
      <c r="B719" s="31"/>
      <c r="C719" s="36"/>
      <c r="D719" s="31"/>
      <c r="E719" s="31"/>
      <c r="F719" s="31"/>
      <c r="G719" s="31"/>
      <c r="H719" s="31"/>
      <c r="I719" s="34"/>
      <c r="J719" s="31"/>
      <c r="K719" s="31"/>
      <c r="L719" s="35"/>
      <c r="M719" s="34"/>
      <c r="N719" s="35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8.75" customHeight="1">
      <c r="A720" s="31"/>
      <c r="B720" s="31"/>
      <c r="C720" s="36"/>
      <c r="D720" s="31"/>
      <c r="E720" s="31"/>
      <c r="F720" s="31"/>
      <c r="G720" s="31"/>
      <c r="H720" s="31"/>
      <c r="I720" s="34"/>
      <c r="J720" s="31"/>
      <c r="K720" s="31"/>
      <c r="L720" s="35"/>
      <c r="M720" s="34"/>
      <c r="N720" s="35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8.75" customHeight="1">
      <c r="A721" s="31"/>
      <c r="B721" s="31"/>
      <c r="C721" s="36"/>
      <c r="D721" s="31"/>
      <c r="E721" s="31"/>
      <c r="F721" s="31"/>
      <c r="G721" s="31"/>
      <c r="H721" s="31"/>
      <c r="I721" s="34"/>
      <c r="J721" s="31"/>
      <c r="K721" s="31"/>
      <c r="L721" s="35"/>
      <c r="M721" s="34"/>
      <c r="N721" s="35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8.75" customHeight="1">
      <c r="A722" s="31"/>
      <c r="B722" s="31"/>
      <c r="C722" s="36"/>
      <c r="D722" s="31"/>
      <c r="E722" s="31"/>
      <c r="F722" s="31"/>
      <c r="G722" s="31"/>
      <c r="H722" s="31"/>
      <c r="I722" s="34"/>
      <c r="J722" s="31"/>
      <c r="K722" s="31"/>
      <c r="L722" s="35"/>
      <c r="M722" s="34"/>
      <c r="N722" s="35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8.75" customHeight="1">
      <c r="A723" s="31"/>
      <c r="B723" s="31"/>
      <c r="C723" s="36"/>
      <c r="D723" s="31"/>
      <c r="E723" s="31"/>
      <c r="F723" s="31"/>
      <c r="G723" s="31"/>
      <c r="H723" s="31"/>
      <c r="I723" s="34"/>
      <c r="J723" s="31"/>
      <c r="K723" s="31"/>
      <c r="L723" s="35"/>
      <c r="M723" s="34"/>
      <c r="N723" s="35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8.75" customHeight="1">
      <c r="A724" s="31"/>
      <c r="B724" s="31"/>
      <c r="C724" s="36"/>
      <c r="D724" s="31"/>
      <c r="E724" s="31"/>
      <c r="F724" s="31"/>
      <c r="G724" s="31"/>
      <c r="H724" s="31"/>
      <c r="I724" s="34"/>
      <c r="J724" s="31"/>
      <c r="K724" s="31"/>
      <c r="L724" s="35"/>
      <c r="M724" s="34"/>
      <c r="N724" s="35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8.75" customHeight="1">
      <c r="A725" s="31"/>
      <c r="B725" s="31"/>
      <c r="C725" s="36"/>
      <c r="D725" s="31"/>
      <c r="E725" s="31"/>
      <c r="F725" s="31"/>
      <c r="G725" s="31"/>
      <c r="H725" s="31"/>
      <c r="I725" s="34"/>
      <c r="J725" s="31"/>
      <c r="K725" s="31"/>
      <c r="L725" s="35"/>
      <c r="M725" s="34"/>
      <c r="N725" s="35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8.75" customHeight="1">
      <c r="A726" s="31"/>
      <c r="B726" s="31"/>
      <c r="C726" s="36"/>
      <c r="D726" s="31"/>
      <c r="E726" s="31"/>
      <c r="F726" s="31"/>
      <c r="G726" s="31"/>
      <c r="H726" s="31"/>
      <c r="I726" s="34"/>
      <c r="J726" s="31"/>
      <c r="K726" s="31"/>
      <c r="L726" s="35"/>
      <c r="M726" s="34"/>
      <c r="N726" s="35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8.75" customHeight="1">
      <c r="A727" s="31"/>
      <c r="B727" s="31"/>
      <c r="C727" s="36"/>
      <c r="D727" s="31"/>
      <c r="E727" s="31"/>
      <c r="F727" s="31"/>
      <c r="G727" s="31"/>
      <c r="H727" s="31"/>
      <c r="I727" s="34"/>
      <c r="J727" s="31"/>
      <c r="K727" s="31"/>
      <c r="L727" s="35"/>
      <c r="M727" s="34"/>
      <c r="N727" s="35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8.75" customHeight="1">
      <c r="A728" s="31"/>
      <c r="B728" s="31"/>
      <c r="C728" s="36"/>
      <c r="D728" s="31"/>
      <c r="E728" s="31"/>
      <c r="F728" s="31"/>
      <c r="G728" s="31"/>
      <c r="H728" s="31"/>
      <c r="I728" s="34"/>
      <c r="J728" s="31"/>
      <c r="K728" s="31"/>
      <c r="L728" s="35"/>
      <c r="M728" s="34"/>
      <c r="N728" s="35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8.75" customHeight="1">
      <c r="A729" s="31"/>
      <c r="B729" s="31"/>
      <c r="C729" s="36"/>
      <c r="D729" s="31"/>
      <c r="E729" s="31"/>
      <c r="F729" s="31"/>
      <c r="G729" s="31"/>
      <c r="H729" s="31"/>
      <c r="I729" s="34"/>
      <c r="J729" s="31"/>
      <c r="K729" s="31"/>
      <c r="L729" s="35"/>
      <c r="M729" s="34"/>
      <c r="N729" s="35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8.75" customHeight="1">
      <c r="A730" s="31"/>
      <c r="B730" s="31"/>
      <c r="C730" s="36"/>
      <c r="D730" s="31"/>
      <c r="E730" s="31"/>
      <c r="F730" s="31"/>
      <c r="G730" s="31"/>
      <c r="H730" s="31"/>
      <c r="I730" s="34"/>
      <c r="J730" s="31"/>
      <c r="K730" s="31"/>
      <c r="L730" s="35"/>
      <c r="M730" s="34"/>
      <c r="N730" s="35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8.75" customHeight="1">
      <c r="A731" s="31"/>
      <c r="B731" s="31"/>
      <c r="C731" s="36"/>
      <c r="D731" s="31"/>
      <c r="E731" s="31"/>
      <c r="F731" s="31"/>
      <c r="G731" s="31"/>
      <c r="H731" s="31"/>
      <c r="I731" s="34"/>
      <c r="J731" s="31"/>
      <c r="K731" s="31"/>
      <c r="L731" s="35"/>
      <c r="M731" s="34"/>
      <c r="N731" s="35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8.75" customHeight="1">
      <c r="A732" s="31"/>
      <c r="B732" s="31"/>
      <c r="C732" s="36"/>
      <c r="D732" s="31"/>
      <c r="E732" s="31"/>
      <c r="F732" s="31"/>
      <c r="G732" s="31"/>
      <c r="H732" s="31"/>
      <c r="I732" s="34"/>
      <c r="J732" s="31"/>
      <c r="K732" s="31"/>
      <c r="L732" s="35"/>
      <c r="M732" s="34"/>
      <c r="N732" s="35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8.75" customHeight="1">
      <c r="A733" s="31"/>
      <c r="B733" s="31"/>
      <c r="C733" s="36"/>
      <c r="D733" s="31"/>
      <c r="E733" s="31"/>
      <c r="F733" s="31"/>
      <c r="G733" s="31"/>
      <c r="H733" s="31"/>
      <c r="I733" s="34"/>
      <c r="J733" s="31"/>
      <c r="K733" s="31"/>
      <c r="L733" s="35"/>
      <c r="M733" s="34"/>
      <c r="N733" s="35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8.75" customHeight="1">
      <c r="A734" s="31"/>
      <c r="B734" s="31"/>
      <c r="C734" s="36"/>
      <c r="D734" s="31"/>
      <c r="E734" s="31"/>
      <c r="F734" s="31"/>
      <c r="G734" s="31"/>
      <c r="H734" s="31"/>
      <c r="I734" s="34"/>
      <c r="J734" s="31"/>
      <c r="K734" s="31"/>
      <c r="L734" s="35"/>
      <c r="M734" s="34"/>
      <c r="N734" s="35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8.75" customHeight="1">
      <c r="A735" s="31"/>
      <c r="B735" s="31"/>
      <c r="C735" s="36"/>
      <c r="D735" s="31"/>
      <c r="E735" s="31"/>
      <c r="F735" s="31"/>
      <c r="G735" s="31"/>
      <c r="H735" s="31"/>
      <c r="I735" s="34"/>
      <c r="J735" s="31"/>
      <c r="K735" s="31"/>
      <c r="L735" s="35"/>
      <c r="M735" s="34"/>
      <c r="N735" s="35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8.75" customHeight="1">
      <c r="A736" s="31"/>
      <c r="B736" s="31"/>
      <c r="C736" s="36"/>
      <c r="D736" s="31"/>
      <c r="E736" s="31"/>
      <c r="F736" s="31"/>
      <c r="G736" s="31"/>
      <c r="H736" s="31"/>
      <c r="I736" s="34"/>
      <c r="J736" s="31"/>
      <c r="K736" s="31"/>
      <c r="L736" s="35"/>
      <c r="M736" s="34"/>
      <c r="N736" s="35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8.75" customHeight="1">
      <c r="A737" s="31"/>
      <c r="B737" s="31"/>
      <c r="C737" s="36"/>
      <c r="D737" s="31"/>
      <c r="E737" s="31"/>
      <c r="F737" s="31"/>
      <c r="G737" s="31"/>
      <c r="H737" s="31"/>
      <c r="I737" s="34"/>
      <c r="J737" s="31"/>
      <c r="K737" s="31"/>
      <c r="L737" s="35"/>
      <c r="M737" s="34"/>
      <c r="N737" s="35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8.75" customHeight="1">
      <c r="A738" s="31"/>
      <c r="B738" s="31"/>
      <c r="C738" s="36"/>
      <c r="D738" s="31"/>
      <c r="E738" s="31"/>
      <c r="F738" s="31"/>
      <c r="G738" s="31"/>
      <c r="H738" s="31"/>
      <c r="I738" s="34"/>
      <c r="J738" s="31"/>
      <c r="K738" s="31"/>
      <c r="L738" s="35"/>
      <c r="M738" s="34"/>
      <c r="N738" s="35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8.75" customHeight="1">
      <c r="A739" s="31"/>
      <c r="B739" s="31"/>
      <c r="C739" s="36"/>
      <c r="D739" s="31"/>
      <c r="E739" s="31"/>
      <c r="F739" s="31"/>
      <c r="G739" s="31"/>
      <c r="H739" s="31"/>
      <c r="I739" s="34"/>
      <c r="J739" s="31"/>
      <c r="K739" s="31"/>
      <c r="L739" s="35"/>
      <c r="M739" s="34"/>
      <c r="N739" s="35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8.75" customHeight="1">
      <c r="A740" s="31"/>
      <c r="B740" s="31"/>
      <c r="C740" s="36"/>
      <c r="D740" s="31"/>
      <c r="E740" s="31"/>
      <c r="F740" s="31"/>
      <c r="G740" s="31"/>
      <c r="H740" s="31"/>
      <c r="I740" s="34"/>
      <c r="J740" s="31"/>
      <c r="K740" s="31"/>
      <c r="L740" s="35"/>
      <c r="M740" s="34"/>
      <c r="N740" s="35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8.75" customHeight="1">
      <c r="A741" s="31"/>
      <c r="B741" s="31"/>
      <c r="C741" s="36"/>
      <c r="D741" s="31"/>
      <c r="E741" s="31"/>
      <c r="F741" s="31"/>
      <c r="G741" s="31"/>
      <c r="H741" s="31"/>
      <c r="I741" s="34"/>
      <c r="J741" s="31"/>
      <c r="K741" s="31"/>
      <c r="L741" s="35"/>
      <c r="M741" s="34"/>
      <c r="N741" s="35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8.75" customHeight="1">
      <c r="A742" s="31"/>
      <c r="B742" s="31"/>
      <c r="C742" s="36"/>
      <c r="D742" s="31"/>
      <c r="E742" s="31"/>
      <c r="F742" s="31"/>
      <c r="G742" s="31"/>
      <c r="H742" s="31"/>
      <c r="I742" s="34"/>
      <c r="J742" s="31"/>
      <c r="K742" s="31"/>
      <c r="L742" s="35"/>
      <c r="M742" s="34"/>
      <c r="N742" s="35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8.75" customHeight="1">
      <c r="A743" s="31"/>
      <c r="B743" s="31"/>
      <c r="C743" s="36"/>
      <c r="D743" s="31"/>
      <c r="E743" s="31"/>
      <c r="F743" s="31"/>
      <c r="G743" s="31"/>
      <c r="H743" s="31"/>
      <c r="I743" s="34"/>
      <c r="J743" s="31"/>
      <c r="K743" s="31"/>
      <c r="L743" s="35"/>
      <c r="M743" s="34"/>
      <c r="N743" s="35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8.75" customHeight="1">
      <c r="A744" s="31"/>
      <c r="B744" s="31"/>
      <c r="C744" s="36"/>
      <c r="D744" s="31"/>
      <c r="E744" s="31"/>
      <c r="F744" s="31"/>
      <c r="G744" s="31"/>
      <c r="H744" s="31"/>
      <c r="I744" s="34"/>
      <c r="J744" s="31"/>
      <c r="K744" s="31"/>
      <c r="L744" s="35"/>
      <c r="M744" s="34"/>
      <c r="N744" s="35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8.75" customHeight="1">
      <c r="A745" s="31"/>
      <c r="B745" s="31"/>
      <c r="C745" s="36"/>
      <c r="D745" s="31"/>
      <c r="E745" s="31"/>
      <c r="F745" s="31"/>
      <c r="G745" s="31"/>
      <c r="H745" s="31"/>
      <c r="I745" s="34"/>
      <c r="J745" s="31"/>
      <c r="K745" s="31"/>
      <c r="L745" s="35"/>
      <c r="M745" s="34"/>
      <c r="N745" s="35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8.75" customHeight="1">
      <c r="A746" s="31"/>
      <c r="B746" s="31"/>
      <c r="C746" s="36"/>
      <c r="D746" s="31"/>
      <c r="E746" s="31"/>
      <c r="F746" s="31"/>
      <c r="G746" s="31"/>
      <c r="H746" s="31"/>
      <c r="I746" s="34"/>
      <c r="J746" s="31"/>
      <c r="K746" s="31"/>
      <c r="L746" s="35"/>
      <c r="M746" s="34"/>
      <c r="N746" s="35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8.75" customHeight="1">
      <c r="A747" s="31"/>
      <c r="B747" s="31"/>
      <c r="C747" s="36"/>
      <c r="D747" s="31"/>
      <c r="E747" s="31"/>
      <c r="F747" s="31"/>
      <c r="G747" s="31"/>
      <c r="H747" s="31"/>
      <c r="I747" s="34"/>
      <c r="J747" s="31"/>
      <c r="K747" s="31"/>
      <c r="L747" s="35"/>
      <c r="M747" s="34"/>
      <c r="N747" s="35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8.75" customHeight="1">
      <c r="A748" s="31"/>
      <c r="B748" s="31"/>
      <c r="C748" s="36"/>
      <c r="D748" s="31"/>
      <c r="E748" s="31"/>
      <c r="F748" s="31"/>
      <c r="G748" s="31"/>
      <c r="H748" s="31"/>
      <c r="I748" s="34"/>
      <c r="J748" s="31"/>
      <c r="K748" s="31"/>
      <c r="L748" s="35"/>
      <c r="M748" s="34"/>
      <c r="N748" s="35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8.75" customHeight="1">
      <c r="A749" s="31"/>
      <c r="B749" s="31"/>
      <c r="C749" s="36"/>
      <c r="D749" s="31"/>
      <c r="E749" s="31"/>
      <c r="F749" s="31"/>
      <c r="G749" s="31"/>
      <c r="H749" s="31"/>
      <c r="I749" s="34"/>
      <c r="J749" s="31"/>
      <c r="K749" s="31"/>
      <c r="L749" s="35"/>
      <c r="M749" s="34"/>
      <c r="N749" s="35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8.75" customHeight="1">
      <c r="A750" s="31"/>
      <c r="B750" s="31"/>
      <c r="C750" s="36"/>
      <c r="D750" s="31"/>
      <c r="E750" s="31"/>
      <c r="F750" s="31"/>
      <c r="G750" s="31"/>
      <c r="H750" s="31"/>
      <c r="I750" s="34"/>
      <c r="J750" s="31"/>
      <c r="K750" s="31"/>
      <c r="L750" s="35"/>
      <c r="M750" s="34"/>
      <c r="N750" s="35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8.75" customHeight="1">
      <c r="A751" s="31"/>
      <c r="B751" s="31"/>
      <c r="C751" s="36"/>
      <c r="D751" s="31"/>
      <c r="E751" s="31"/>
      <c r="F751" s="31"/>
      <c r="G751" s="31"/>
      <c r="H751" s="31"/>
      <c r="I751" s="34"/>
      <c r="J751" s="31"/>
      <c r="K751" s="31"/>
      <c r="L751" s="35"/>
      <c r="M751" s="34"/>
      <c r="N751" s="35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8.75" customHeight="1">
      <c r="A752" s="31"/>
      <c r="B752" s="31"/>
      <c r="C752" s="36"/>
      <c r="D752" s="31"/>
      <c r="E752" s="31"/>
      <c r="F752" s="31"/>
      <c r="G752" s="31"/>
      <c r="H752" s="31"/>
      <c r="I752" s="34"/>
      <c r="J752" s="31"/>
      <c r="K752" s="31"/>
      <c r="L752" s="35"/>
      <c r="M752" s="34"/>
      <c r="N752" s="35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8.75" customHeight="1">
      <c r="A753" s="31"/>
      <c r="B753" s="31"/>
      <c r="C753" s="36"/>
      <c r="D753" s="31"/>
      <c r="E753" s="31"/>
      <c r="F753" s="31"/>
      <c r="G753" s="31"/>
      <c r="H753" s="31"/>
      <c r="I753" s="34"/>
      <c r="J753" s="31"/>
      <c r="K753" s="31"/>
      <c r="L753" s="35"/>
      <c r="M753" s="34"/>
      <c r="N753" s="35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8.75" customHeight="1">
      <c r="A754" s="31"/>
      <c r="B754" s="31"/>
      <c r="C754" s="36"/>
      <c r="D754" s="31"/>
      <c r="E754" s="31"/>
      <c r="F754" s="31"/>
      <c r="G754" s="31"/>
      <c r="H754" s="31"/>
      <c r="I754" s="34"/>
      <c r="J754" s="31"/>
      <c r="K754" s="31"/>
      <c r="L754" s="35"/>
      <c r="M754" s="34"/>
      <c r="N754" s="35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8.75" customHeight="1">
      <c r="A755" s="31"/>
      <c r="B755" s="31"/>
      <c r="C755" s="36"/>
      <c r="D755" s="31"/>
      <c r="E755" s="31"/>
      <c r="F755" s="31"/>
      <c r="G755" s="31"/>
      <c r="H755" s="31"/>
      <c r="I755" s="34"/>
      <c r="J755" s="31"/>
      <c r="K755" s="31"/>
      <c r="L755" s="35"/>
      <c r="M755" s="34"/>
      <c r="N755" s="35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8.75" customHeight="1">
      <c r="A756" s="31"/>
      <c r="B756" s="31"/>
      <c r="C756" s="36"/>
      <c r="D756" s="31"/>
      <c r="E756" s="31"/>
      <c r="F756" s="31"/>
      <c r="G756" s="31"/>
      <c r="H756" s="31"/>
      <c r="I756" s="34"/>
      <c r="J756" s="31"/>
      <c r="K756" s="31"/>
      <c r="L756" s="35"/>
      <c r="M756" s="34"/>
      <c r="N756" s="35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8.75" customHeight="1">
      <c r="A757" s="31"/>
      <c r="B757" s="31"/>
      <c r="C757" s="36"/>
      <c r="D757" s="31"/>
      <c r="E757" s="31"/>
      <c r="F757" s="31"/>
      <c r="G757" s="31"/>
      <c r="H757" s="31"/>
      <c r="I757" s="34"/>
      <c r="J757" s="31"/>
      <c r="K757" s="31"/>
      <c r="L757" s="35"/>
      <c r="M757" s="34"/>
      <c r="N757" s="35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8.75" customHeight="1">
      <c r="A758" s="31"/>
      <c r="B758" s="31"/>
      <c r="C758" s="36"/>
      <c r="D758" s="31"/>
      <c r="E758" s="31"/>
      <c r="F758" s="31"/>
      <c r="G758" s="31"/>
      <c r="H758" s="31"/>
      <c r="I758" s="34"/>
      <c r="J758" s="31"/>
      <c r="K758" s="31"/>
      <c r="L758" s="35"/>
      <c r="M758" s="34"/>
      <c r="N758" s="35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8.75" customHeight="1">
      <c r="A759" s="31"/>
      <c r="B759" s="31"/>
      <c r="C759" s="36"/>
      <c r="D759" s="31"/>
      <c r="E759" s="31"/>
      <c r="F759" s="31"/>
      <c r="G759" s="31"/>
      <c r="H759" s="31"/>
      <c r="I759" s="34"/>
      <c r="J759" s="31"/>
      <c r="K759" s="31"/>
      <c r="L759" s="35"/>
      <c r="M759" s="34"/>
      <c r="N759" s="35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8.75" customHeight="1">
      <c r="A760" s="31"/>
      <c r="B760" s="31"/>
      <c r="C760" s="36"/>
      <c r="D760" s="31"/>
      <c r="E760" s="31"/>
      <c r="F760" s="31"/>
      <c r="G760" s="31"/>
      <c r="H760" s="31"/>
      <c r="I760" s="34"/>
      <c r="J760" s="31"/>
      <c r="K760" s="31"/>
      <c r="L760" s="35"/>
      <c r="M760" s="34"/>
      <c r="N760" s="35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8.75" customHeight="1">
      <c r="A761" s="31"/>
      <c r="B761" s="31"/>
      <c r="C761" s="36"/>
      <c r="D761" s="31"/>
      <c r="E761" s="31"/>
      <c r="F761" s="31"/>
      <c r="G761" s="31"/>
      <c r="H761" s="31"/>
      <c r="I761" s="34"/>
      <c r="J761" s="31"/>
      <c r="K761" s="31"/>
      <c r="L761" s="35"/>
      <c r="M761" s="34"/>
      <c r="N761" s="35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8.75" customHeight="1">
      <c r="A762" s="31"/>
      <c r="B762" s="31"/>
      <c r="C762" s="36"/>
      <c r="D762" s="31"/>
      <c r="E762" s="31"/>
      <c r="F762" s="31"/>
      <c r="G762" s="31"/>
      <c r="H762" s="31"/>
      <c r="I762" s="34"/>
      <c r="J762" s="31"/>
      <c r="K762" s="31"/>
      <c r="L762" s="35"/>
      <c r="M762" s="34"/>
      <c r="N762" s="35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8.75" customHeight="1">
      <c r="A763" s="31"/>
      <c r="B763" s="31"/>
      <c r="C763" s="36"/>
      <c r="D763" s="31"/>
      <c r="E763" s="31"/>
      <c r="F763" s="31"/>
      <c r="G763" s="31"/>
      <c r="H763" s="31"/>
      <c r="I763" s="34"/>
      <c r="J763" s="31"/>
      <c r="K763" s="31"/>
      <c r="L763" s="35"/>
      <c r="M763" s="34"/>
      <c r="N763" s="35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8.75" customHeight="1">
      <c r="A764" s="31"/>
      <c r="B764" s="31"/>
      <c r="C764" s="36"/>
      <c r="D764" s="31"/>
      <c r="E764" s="31"/>
      <c r="F764" s="31"/>
      <c r="G764" s="31"/>
      <c r="H764" s="31"/>
      <c r="I764" s="34"/>
      <c r="J764" s="31"/>
      <c r="K764" s="31"/>
      <c r="L764" s="35"/>
      <c r="M764" s="34"/>
      <c r="N764" s="35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8.75" customHeight="1">
      <c r="A765" s="31"/>
      <c r="B765" s="31"/>
      <c r="C765" s="36"/>
      <c r="D765" s="31"/>
      <c r="E765" s="31"/>
      <c r="F765" s="31"/>
      <c r="G765" s="31"/>
      <c r="H765" s="31"/>
      <c r="I765" s="34"/>
      <c r="J765" s="31"/>
      <c r="K765" s="31"/>
      <c r="L765" s="35"/>
      <c r="M765" s="34"/>
      <c r="N765" s="35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8.75" customHeight="1">
      <c r="A766" s="31"/>
      <c r="B766" s="31"/>
      <c r="C766" s="36"/>
      <c r="D766" s="31"/>
      <c r="E766" s="31"/>
      <c r="F766" s="31"/>
      <c r="G766" s="31"/>
      <c r="H766" s="31"/>
      <c r="I766" s="34"/>
      <c r="J766" s="31"/>
      <c r="K766" s="31"/>
      <c r="L766" s="35"/>
      <c r="M766" s="34"/>
      <c r="N766" s="35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8.75" customHeight="1">
      <c r="A767" s="31"/>
      <c r="B767" s="31"/>
      <c r="C767" s="36"/>
      <c r="D767" s="31"/>
      <c r="E767" s="31"/>
      <c r="F767" s="31"/>
      <c r="G767" s="31"/>
      <c r="H767" s="31"/>
      <c r="I767" s="34"/>
      <c r="J767" s="31"/>
      <c r="K767" s="31"/>
      <c r="L767" s="35"/>
      <c r="M767" s="34"/>
      <c r="N767" s="35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8.75" customHeight="1">
      <c r="A768" s="31"/>
      <c r="B768" s="31"/>
      <c r="C768" s="36"/>
      <c r="D768" s="31"/>
      <c r="E768" s="31"/>
      <c r="F768" s="31"/>
      <c r="G768" s="31"/>
      <c r="H768" s="31"/>
      <c r="I768" s="34"/>
      <c r="J768" s="31"/>
      <c r="K768" s="31"/>
      <c r="L768" s="35"/>
      <c r="M768" s="34"/>
      <c r="N768" s="35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8.75" customHeight="1">
      <c r="A769" s="31"/>
      <c r="B769" s="31"/>
      <c r="C769" s="36"/>
      <c r="D769" s="31"/>
      <c r="E769" s="31"/>
      <c r="F769" s="31"/>
      <c r="G769" s="31"/>
      <c r="H769" s="31"/>
      <c r="I769" s="34"/>
      <c r="J769" s="31"/>
      <c r="K769" s="31"/>
      <c r="L769" s="35"/>
      <c r="M769" s="34"/>
      <c r="N769" s="35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8.75" customHeight="1">
      <c r="A770" s="31"/>
      <c r="B770" s="31"/>
      <c r="C770" s="36"/>
      <c r="D770" s="31"/>
      <c r="E770" s="31"/>
      <c r="F770" s="31"/>
      <c r="G770" s="31"/>
      <c r="H770" s="31"/>
      <c r="I770" s="34"/>
      <c r="J770" s="31"/>
      <c r="K770" s="31"/>
      <c r="L770" s="35"/>
      <c r="M770" s="34"/>
      <c r="N770" s="35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8.75" customHeight="1">
      <c r="A771" s="31"/>
      <c r="B771" s="31"/>
      <c r="C771" s="36"/>
      <c r="D771" s="31"/>
      <c r="E771" s="31"/>
      <c r="F771" s="31"/>
      <c r="G771" s="31"/>
      <c r="H771" s="31"/>
      <c r="I771" s="34"/>
      <c r="J771" s="31"/>
      <c r="K771" s="31"/>
      <c r="L771" s="35"/>
      <c r="M771" s="34"/>
      <c r="N771" s="35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8.75" customHeight="1">
      <c r="A772" s="31"/>
      <c r="B772" s="31"/>
      <c r="C772" s="36"/>
      <c r="D772" s="31"/>
      <c r="E772" s="31"/>
      <c r="F772" s="31"/>
      <c r="G772" s="31"/>
      <c r="H772" s="31"/>
      <c r="I772" s="34"/>
      <c r="J772" s="31"/>
      <c r="K772" s="31"/>
      <c r="L772" s="35"/>
      <c r="M772" s="34"/>
      <c r="N772" s="35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8.75" customHeight="1">
      <c r="A773" s="31"/>
      <c r="B773" s="31"/>
      <c r="C773" s="36"/>
      <c r="D773" s="31"/>
      <c r="E773" s="31"/>
      <c r="F773" s="31"/>
      <c r="G773" s="31"/>
      <c r="H773" s="31"/>
      <c r="I773" s="34"/>
      <c r="J773" s="31"/>
      <c r="K773" s="31"/>
      <c r="L773" s="35"/>
      <c r="M773" s="34"/>
      <c r="N773" s="35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8.75" customHeight="1">
      <c r="A774" s="31"/>
      <c r="B774" s="31"/>
      <c r="C774" s="36"/>
      <c r="D774" s="31"/>
      <c r="E774" s="31"/>
      <c r="F774" s="31"/>
      <c r="G774" s="31"/>
      <c r="H774" s="31"/>
      <c r="I774" s="34"/>
      <c r="J774" s="31"/>
      <c r="K774" s="31"/>
      <c r="L774" s="35"/>
      <c r="M774" s="34"/>
      <c r="N774" s="35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8.75" customHeight="1">
      <c r="A775" s="31"/>
      <c r="B775" s="31"/>
      <c r="C775" s="36"/>
      <c r="D775" s="31"/>
      <c r="E775" s="31"/>
      <c r="F775" s="31"/>
      <c r="G775" s="31"/>
      <c r="H775" s="31"/>
      <c r="I775" s="34"/>
      <c r="J775" s="31"/>
      <c r="K775" s="31"/>
      <c r="L775" s="35"/>
      <c r="M775" s="34"/>
      <c r="N775" s="35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8.75" customHeight="1">
      <c r="A776" s="31"/>
      <c r="B776" s="31"/>
      <c r="C776" s="36"/>
      <c r="D776" s="31"/>
      <c r="E776" s="31"/>
      <c r="F776" s="31"/>
      <c r="G776" s="31"/>
      <c r="H776" s="31"/>
      <c r="I776" s="34"/>
      <c r="J776" s="31"/>
      <c r="K776" s="31"/>
      <c r="L776" s="35"/>
      <c r="M776" s="34"/>
      <c r="N776" s="35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8.75" customHeight="1">
      <c r="A777" s="31"/>
      <c r="B777" s="31"/>
      <c r="C777" s="36"/>
      <c r="D777" s="31"/>
      <c r="E777" s="31"/>
      <c r="F777" s="31"/>
      <c r="G777" s="31"/>
      <c r="H777" s="31"/>
      <c r="I777" s="34"/>
      <c r="J777" s="31"/>
      <c r="K777" s="31"/>
      <c r="L777" s="35"/>
      <c r="M777" s="34"/>
      <c r="N777" s="35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8.75" customHeight="1">
      <c r="A778" s="31"/>
      <c r="B778" s="31"/>
      <c r="C778" s="36"/>
      <c r="D778" s="31"/>
      <c r="E778" s="31"/>
      <c r="F778" s="31"/>
      <c r="G778" s="31"/>
      <c r="H778" s="31"/>
      <c r="I778" s="34"/>
      <c r="J778" s="31"/>
      <c r="K778" s="31"/>
      <c r="L778" s="35"/>
      <c r="M778" s="34"/>
      <c r="N778" s="35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8.75" customHeight="1">
      <c r="A779" s="31"/>
      <c r="B779" s="31"/>
      <c r="C779" s="36"/>
      <c r="D779" s="31"/>
      <c r="E779" s="31"/>
      <c r="F779" s="31"/>
      <c r="G779" s="31"/>
      <c r="H779" s="31"/>
      <c r="I779" s="34"/>
      <c r="J779" s="31"/>
      <c r="K779" s="31"/>
      <c r="L779" s="35"/>
      <c r="M779" s="34"/>
      <c r="N779" s="35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8.75" customHeight="1">
      <c r="A780" s="31"/>
      <c r="B780" s="31"/>
      <c r="C780" s="36"/>
      <c r="D780" s="31"/>
      <c r="E780" s="31"/>
      <c r="F780" s="31"/>
      <c r="G780" s="31"/>
      <c r="H780" s="31"/>
      <c r="I780" s="34"/>
      <c r="J780" s="31"/>
      <c r="K780" s="31"/>
      <c r="L780" s="35"/>
      <c r="M780" s="34"/>
      <c r="N780" s="35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8.75" customHeight="1">
      <c r="A781" s="31"/>
      <c r="B781" s="31"/>
      <c r="C781" s="36"/>
      <c r="D781" s="31"/>
      <c r="E781" s="31"/>
      <c r="F781" s="31"/>
      <c r="G781" s="31"/>
      <c r="H781" s="31"/>
      <c r="I781" s="34"/>
      <c r="J781" s="31"/>
      <c r="K781" s="31"/>
      <c r="L781" s="35"/>
      <c r="M781" s="34"/>
      <c r="N781" s="35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8.75" customHeight="1">
      <c r="A782" s="31"/>
      <c r="B782" s="31"/>
      <c r="C782" s="36"/>
      <c r="D782" s="31"/>
      <c r="E782" s="31"/>
      <c r="F782" s="31"/>
      <c r="G782" s="31"/>
      <c r="H782" s="31"/>
      <c r="I782" s="34"/>
      <c r="J782" s="31"/>
      <c r="K782" s="31"/>
      <c r="L782" s="35"/>
      <c r="M782" s="34"/>
      <c r="N782" s="35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8.75" customHeight="1">
      <c r="A783" s="31"/>
      <c r="B783" s="31"/>
      <c r="C783" s="36"/>
      <c r="D783" s="31"/>
      <c r="E783" s="31"/>
      <c r="F783" s="31"/>
      <c r="G783" s="31"/>
      <c r="H783" s="31"/>
      <c r="I783" s="34"/>
      <c r="J783" s="31"/>
      <c r="K783" s="31"/>
      <c r="L783" s="35"/>
      <c r="M783" s="34"/>
      <c r="N783" s="35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8.75" customHeight="1">
      <c r="A784" s="31"/>
      <c r="B784" s="31"/>
      <c r="C784" s="36"/>
      <c r="D784" s="31"/>
      <c r="E784" s="31"/>
      <c r="F784" s="31"/>
      <c r="G784" s="31"/>
      <c r="H784" s="31"/>
      <c r="I784" s="34"/>
      <c r="J784" s="31"/>
      <c r="K784" s="31"/>
      <c r="L784" s="35"/>
      <c r="M784" s="34"/>
      <c r="N784" s="35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8.75" customHeight="1">
      <c r="A785" s="31"/>
      <c r="B785" s="31"/>
      <c r="C785" s="36"/>
      <c r="D785" s="31"/>
      <c r="E785" s="31"/>
      <c r="F785" s="31"/>
      <c r="G785" s="31"/>
      <c r="H785" s="31"/>
      <c r="I785" s="34"/>
      <c r="J785" s="31"/>
      <c r="K785" s="31"/>
      <c r="L785" s="35"/>
      <c r="M785" s="34"/>
      <c r="N785" s="35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8.75" customHeight="1">
      <c r="A786" s="31"/>
      <c r="B786" s="31"/>
      <c r="C786" s="36"/>
      <c r="D786" s="31"/>
      <c r="E786" s="31"/>
      <c r="F786" s="31"/>
      <c r="G786" s="31"/>
      <c r="H786" s="31"/>
      <c r="I786" s="34"/>
      <c r="J786" s="31"/>
      <c r="K786" s="31"/>
      <c r="L786" s="35"/>
      <c r="M786" s="34"/>
      <c r="N786" s="35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8.75" customHeight="1">
      <c r="A787" s="31"/>
      <c r="B787" s="31"/>
      <c r="C787" s="36"/>
      <c r="D787" s="31"/>
      <c r="E787" s="31"/>
      <c r="F787" s="31"/>
      <c r="G787" s="31"/>
      <c r="H787" s="31"/>
      <c r="I787" s="34"/>
      <c r="J787" s="31"/>
      <c r="K787" s="31"/>
      <c r="L787" s="35"/>
      <c r="M787" s="34"/>
      <c r="N787" s="35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8.75" customHeight="1">
      <c r="A788" s="31"/>
      <c r="B788" s="31"/>
      <c r="C788" s="36"/>
      <c r="D788" s="31"/>
      <c r="E788" s="31"/>
      <c r="F788" s="31"/>
      <c r="G788" s="31"/>
      <c r="H788" s="31"/>
      <c r="I788" s="34"/>
      <c r="J788" s="31"/>
      <c r="K788" s="31"/>
      <c r="L788" s="35"/>
      <c r="M788" s="34"/>
      <c r="N788" s="35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8.75" customHeight="1">
      <c r="A789" s="31"/>
      <c r="B789" s="31"/>
      <c r="C789" s="36"/>
      <c r="D789" s="31"/>
      <c r="E789" s="31"/>
      <c r="F789" s="31"/>
      <c r="G789" s="31"/>
      <c r="H789" s="31"/>
      <c r="I789" s="34"/>
      <c r="J789" s="31"/>
      <c r="K789" s="31"/>
      <c r="L789" s="35"/>
      <c r="M789" s="34"/>
      <c r="N789" s="35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8.75" customHeight="1">
      <c r="A790" s="31"/>
      <c r="B790" s="31"/>
      <c r="C790" s="36"/>
      <c r="D790" s="31"/>
      <c r="E790" s="31"/>
      <c r="F790" s="31"/>
      <c r="G790" s="31"/>
      <c r="H790" s="31"/>
      <c r="I790" s="34"/>
      <c r="J790" s="31"/>
      <c r="K790" s="31"/>
      <c r="L790" s="35"/>
      <c r="M790" s="34"/>
      <c r="N790" s="35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8.75" customHeight="1">
      <c r="A791" s="31"/>
      <c r="B791" s="31"/>
      <c r="C791" s="36"/>
      <c r="D791" s="31"/>
      <c r="E791" s="31"/>
      <c r="F791" s="31"/>
      <c r="G791" s="31"/>
      <c r="H791" s="31"/>
      <c r="I791" s="34"/>
      <c r="J791" s="31"/>
      <c r="K791" s="31"/>
      <c r="L791" s="35"/>
      <c r="M791" s="34"/>
      <c r="N791" s="35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8.75" customHeight="1">
      <c r="A792" s="31"/>
      <c r="B792" s="31"/>
      <c r="C792" s="36"/>
      <c r="D792" s="31"/>
      <c r="E792" s="31"/>
      <c r="F792" s="31"/>
      <c r="G792" s="31"/>
      <c r="H792" s="31"/>
      <c r="I792" s="34"/>
      <c r="J792" s="31"/>
      <c r="K792" s="31"/>
      <c r="L792" s="35"/>
      <c r="M792" s="34"/>
      <c r="N792" s="35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8.75" customHeight="1">
      <c r="A793" s="31"/>
      <c r="B793" s="31"/>
      <c r="C793" s="36"/>
      <c r="D793" s="31"/>
      <c r="E793" s="31"/>
      <c r="F793" s="31"/>
      <c r="G793" s="31"/>
      <c r="H793" s="31"/>
      <c r="I793" s="34"/>
      <c r="J793" s="31"/>
      <c r="K793" s="31"/>
      <c r="L793" s="35"/>
      <c r="M793" s="34"/>
      <c r="N793" s="35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8.75" customHeight="1">
      <c r="A794" s="31"/>
      <c r="B794" s="31"/>
      <c r="C794" s="36"/>
      <c r="D794" s="31"/>
      <c r="E794" s="31"/>
      <c r="F794" s="31"/>
      <c r="G794" s="31"/>
      <c r="H794" s="31"/>
      <c r="I794" s="34"/>
      <c r="J794" s="31"/>
      <c r="K794" s="31"/>
      <c r="L794" s="35"/>
      <c r="M794" s="34"/>
      <c r="N794" s="35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8.75" customHeight="1">
      <c r="A795" s="31"/>
      <c r="B795" s="31"/>
      <c r="C795" s="36"/>
      <c r="D795" s="31"/>
      <c r="E795" s="31"/>
      <c r="F795" s="31"/>
      <c r="G795" s="31"/>
      <c r="H795" s="31"/>
      <c r="I795" s="34"/>
      <c r="J795" s="31"/>
      <c r="K795" s="31"/>
      <c r="L795" s="35"/>
      <c r="M795" s="34"/>
      <c r="N795" s="35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8.75" customHeight="1">
      <c r="A796" s="31"/>
      <c r="B796" s="31"/>
      <c r="C796" s="36"/>
      <c r="D796" s="31"/>
      <c r="E796" s="31"/>
      <c r="F796" s="31"/>
      <c r="G796" s="31"/>
      <c r="H796" s="31"/>
      <c r="I796" s="34"/>
      <c r="J796" s="31"/>
      <c r="K796" s="31"/>
      <c r="L796" s="35"/>
      <c r="M796" s="34"/>
      <c r="N796" s="35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8.75" customHeight="1">
      <c r="A797" s="31"/>
      <c r="B797" s="31"/>
      <c r="C797" s="36"/>
      <c r="D797" s="31"/>
      <c r="E797" s="31"/>
      <c r="F797" s="31"/>
      <c r="G797" s="31"/>
      <c r="H797" s="31"/>
      <c r="I797" s="34"/>
      <c r="J797" s="31"/>
      <c r="K797" s="31"/>
      <c r="L797" s="35"/>
      <c r="M797" s="34"/>
      <c r="N797" s="35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8.75" customHeight="1">
      <c r="A798" s="31"/>
      <c r="B798" s="31"/>
      <c r="C798" s="36"/>
      <c r="D798" s="31"/>
      <c r="E798" s="31"/>
      <c r="F798" s="31"/>
      <c r="G798" s="31"/>
      <c r="H798" s="31"/>
      <c r="I798" s="34"/>
      <c r="J798" s="31"/>
      <c r="K798" s="31"/>
      <c r="L798" s="35"/>
      <c r="M798" s="34"/>
      <c r="N798" s="35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8.75" customHeight="1">
      <c r="A799" s="31"/>
      <c r="B799" s="31"/>
      <c r="C799" s="36"/>
      <c r="D799" s="31"/>
      <c r="E799" s="31"/>
      <c r="F799" s="31"/>
      <c r="G799" s="31"/>
      <c r="H799" s="31"/>
      <c r="I799" s="34"/>
      <c r="J799" s="31"/>
      <c r="K799" s="31"/>
      <c r="L799" s="35"/>
      <c r="M799" s="34"/>
      <c r="N799" s="35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8.75" customHeight="1">
      <c r="A800" s="31"/>
      <c r="B800" s="31"/>
      <c r="C800" s="36"/>
      <c r="D800" s="31"/>
      <c r="E800" s="31"/>
      <c r="F800" s="31"/>
      <c r="G800" s="31"/>
      <c r="H800" s="31"/>
      <c r="I800" s="34"/>
      <c r="J800" s="31"/>
      <c r="K800" s="31"/>
      <c r="L800" s="35"/>
      <c r="M800" s="34"/>
      <c r="N800" s="35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8.75" customHeight="1">
      <c r="A801" s="31"/>
      <c r="B801" s="31"/>
      <c r="C801" s="36"/>
      <c r="D801" s="31"/>
      <c r="E801" s="31"/>
      <c r="F801" s="31"/>
      <c r="G801" s="31"/>
      <c r="H801" s="31"/>
      <c r="I801" s="34"/>
      <c r="J801" s="31"/>
      <c r="K801" s="31"/>
      <c r="L801" s="35"/>
      <c r="M801" s="34"/>
      <c r="N801" s="35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8.75" customHeight="1">
      <c r="A802" s="31"/>
      <c r="B802" s="31"/>
      <c r="C802" s="36"/>
      <c r="D802" s="31"/>
      <c r="E802" s="31"/>
      <c r="F802" s="31"/>
      <c r="G802" s="31"/>
      <c r="H802" s="31"/>
      <c r="I802" s="34"/>
      <c r="J802" s="31"/>
      <c r="K802" s="31"/>
      <c r="L802" s="35"/>
      <c r="M802" s="34"/>
      <c r="N802" s="35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8.75" customHeight="1">
      <c r="A803" s="31"/>
      <c r="B803" s="31"/>
      <c r="C803" s="36"/>
      <c r="D803" s="31"/>
      <c r="E803" s="31"/>
      <c r="F803" s="31"/>
      <c r="G803" s="31"/>
      <c r="H803" s="31"/>
      <c r="I803" s="34"/>
      <c r="J803" s="31"/>
      <c r="K803" s="31"/>
      <c r="L803" s="35"/>
      <c r="M803" s="34"/>
      <c r="N803" s="35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8.75" customHeight="1">
      <c r="A804" s="31"/>
      <c r="B804" s="31"/>
      <c r="C804" s="36"/>
      <c r="D804" s="31"/>
      <c r="E804" s="31"/>
      <c r="F804" s="31"/>
      <c r="G804" s="31"/>
      <c r="H804" s="31"/>
      <c r="I804" s="34"/>
      <c r="J804" s="31"/>
      <c r="K804" s="31"/>
      <c r="L804" s="35"/>
      <c r="M804" s="34"/>
      <c r="N804" s="35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8.75" customHeight="1">
      <c r="A805" s="31"/>
      <c r="B805" s="31"/>
      <c r="C805" s="36"/>
      <c r="D805" s="31"/>
      <c r="E805" s="31"/>
      <c r="F805" s="31"/>
      <c r="G805" s="31"/>
      <c r="H805" s="31"/>
      <c r="I805" s="34"/>
      <c r="J805" s="31"/>
      <c r="K805" s="31"/>
      <c r="L805" s="35"/>
      <c r="M805" s="34"/>
      <c r="N805" s="35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8.75" customHeight="1">
      <c r="A806" s="31"/>
      <c r="B806" s="31"/>
      <c r="C806" s="36"/>
      <c r="D806" s="31"/>
      <c r="E806" s="31"/>
      <c r="F806" s="31"/>
      <c r="G806" s="31"/>
      <c r="H806" s="31"/>
      <c r="I806" s="34"/>
      <c r="J806" s="31"/>
      <c r="K806" s="31"/>
      <c r="L806" s="35"/>
      <c r="M806" s="34"/>
      <c r="N806" s="35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8.75" customHeight="1">
      <c r="A807" s="31"/>
      <c r="B807" s="31"/>
      <c r="C807" s="36"/>
      <c r="D807" s="31"/>
      <c r="E807" s="31"/>
      <c r="F807" s="31"/>
      <c r="G807" s="31"/>
      <c r="H807" s="31"/>
      <c r="I807" s="34"/>
      <c r="J807" s="31"/>
      <c r="K807" s="31"/>
      <c r="L807" s="35"/>
      <c r="M807" s="34"/>
      <c r="N807" s="35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8.75" customHeight="1">
      <c r="A808" s="31"/>
      <c r="B808" s="31"/>
      <c r="C808" s="36"/>
      <c r="D808" s="31"/>
      <c r="E808" s="31"/>
      <c r="F808" s="31"/>
      <c r="G808" s="31"/>
      <c r="H808" s="31"/>
      <c r="I808" s="34"/>
      <c r="J808" s="31"/>
      <c r="K808" s="31"/>
      <c r="L808" s="35"/>
      <c r="M808" s="34"/>
      <c r="N808" s="35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8.75" customHeight="1">
      <c r="A809" s="31"/>
      <c r="B809" s="31"/>
      <c r="C809" s="36"/>
      <c r="D809" s="31"/>
      <c r="E809" s="31"/>
      <c r="F809" s="31"/>
      <c r="G809" s="31"/>
      <c r="H809" s="31"/>
      <c r="I809" s="34"/>
      <c r="J809" s="31"/>
      <c r="K809" s="31"/>
      <c r="L809" s="35"/>
      <c r="M809" s="34"/>
      <c r="N809" s="35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8.75" customHeight="1">
      <c r="A810" s="31"/>
      <c r="B810" s="31"/>
      <c r="C810" s="36"/>
      <c r="D810" s="31"/>
      <c r="E810" s="31"/>
      <c r="F810" s="31"/>
      <c r="G810" s="31"/>
      <c r="H810" s="31"/>
      <c r="I810" s="34"/>
      <c r="J810" s="31"/>
      <c r="K810" s="31"/>
      <c r="L810" s="35"/>
      <c r="M810" s="34"/>
      <c r="N810" s="35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8.75" customHeight="1">
      <c r="A811" s="31"/>
      <c r="B811" s="31"/>
      <c r="C811" s="36"/>
      <c r="D811" s="31"/>
      <c r="E811" s="31"/>
      <c r="F811" s="31"/>
      <c r="G811" s="31"/>
      <c r="H811" s="31"/>
      <c r="I811" s="34"/>
      <c r="J811" s="31"/>
      <c r="K811" s="31"/>
      <c r="L811" s="35"/>
      <c r="M811" s="34"/>
      <c r="N811" s="35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8.75" customHeight="1">
      <c r="A812" s="31"/>
      <c r="B812" s="31"/>
      <c r="C812" s="36"/>
      <c r="D812" s="31"/>
      <c r="E812" s="31"/>
      <c r="F812" s="31"/>
      <c r="G812" s="31"/>
      <c r="H812" s="31"/>
      <c r="I812" s="34"/>
      <c r="J812" s="31"/>
      <c r="K812" s="31"/>
      <c r="L812" s="35"/>
      <c r="M812" s="34"/>
      <c r="N812" s="35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8.75" customHeight="1">
      <c r="A813" s="31"/>
      <c r="B813" s="31"/>
      <c r="C813" s="36"/>
      <c r="D813" s="31"/>
      <c r="E813" s="31"/>
      <c r="F813" s="31"/>
      <c r="G813" s="31"/>
      <c r="H813" s="31"/>
      <c r="I813" s="34"/>
      <c r="J813" s="31"/>
      <c r="K813" s="31"/>
      <c r="L813" s="35"/>
      <c r="M813" s="34"/>
      <c r="N813" s="35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8.75" customHeight="1">
      <c r="A814" s="31"/>
      <c r="B814" s="31"/>
      <c r="C814" s="36"/>
      <c r="D814" s="31"/>
      <c r="E814" s="31"/>
      <c r="F814" s="31"/>
      <c r="G814" s="31"/>
      <c r="H814" s="31"/>
      <c r="I814" s="34"/>
      <c r="J814" s="31"/>
      <c r="K814" s="31"/>
      <c r="L814" s="35"/>
      <c r="M814" s="34"/>
      <c r="N814" s="35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8.75" customHeight="1">
      <c r="A815" s="31"/>
      <c r="B815" s="31"/>
      <c r="C815" s="36"/>
      <c r="D815" s="31"/>
      <c r="E815" s="31"/>
      <c r="F815" s="31"/>
      <c r="G815" s="31"/>
      <c r="H815" s="31"/>
      <c r="I815" s="34"/>
      <c r="J815" s="31"/>
      <c r="K815" s="31"/>
      <c r="L815" s="35"/>
      <c r="M815" s="34"/>
      <c r="N815" s="35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8.75" customHeight="1">
      <c r="A816" s="31"/>
      <c r="B816" s="31"/>
      <c r="C816" s="36"/>
      <c r="D816" s="31"/>
      <c r="E816" s="31"/>
      <c r="F816" s="31"/>
      <c r="G816" s="31"/>
      <c r="H816" s="31"/>
      <c r="I816" s="34"/>
      <c r="J816" s="31"/>
      <c r="K816" s="31"/>
      <c r="L816" s="35"/>
      <c r="M816" s="34"/>
      <c r="N816" s="35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8.75" customHeight="1">
      <c r="A817" s="31"/>
      <c r="B817" s="31"/>
      <c r="C817" s="36"/>
      <c r="D817" s="31"/>
      <c r="E817" s="31"/>
      <c r="F817" s="31"/>
      <c r="G817" s="31"/>
      <c r="H817" s="31"/>
      <c r="I817" s="34"/>
      <c r="J817" s="31"/>
      <c r="K817" s="31"/>
      <c r="L817" s="35"/>
      <c r="M817" s="34"/>
      <c r="N817" s="35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8.75" customHeight="1">
      <c r="A818" s="31"/>
      <c r="B818" s="31"/>
      <c r="C818" s="36"/>
      <c r="D818" s="31"/>
      <c r="E818" s="31"/>
      <c r="F818" s="31"/>
      <c r="G818" s="31"/>
      <c r="H818" s="31"/>
      <c r="I818" s="34"/>
      <c r="J818" s="31"/>
      <c r="K818" s="31"/>
      <c r="L818" s="35"/>
      <c r="M818" s="34"/>
      <c r="N818" s="35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8.75" customHeight="1">
      <c r="A819" s="31"/>
      <c r="B819" s="31"/>
      <c r="C819" s="36"/>
      <c r="D819" s="31"/>
      <c r="E819" s="31"/>
      <c r="F819" s="31"/>
      <c r="G819" s="31"/>
      <c r="H819" s="31"/>
      <c r="I819" s="34"/>
      <c r="J819" s="31"/>
      <c r="K819" s="31"/>
      <c r="L819" s="35"/>
      <c r="M819" s="34"/>
      <c r="N819" s="35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8.75" customHeight="1">
      <c r="A820" s="31"/>
      <c r="B820" s="31"/>
      <c r="C820" s="36"/>
      <c r="D820" s="31"/>
      <c r="E820" s="31"/>
      <c r="F820" s="31"/>
      <c r="G820" s="31"/>
      <c r="H820" s="31"/>
      <c r="I820" s="34"/>
      <c r="J820" s="31"/>
      <c r="K820" s="31"/>
      <c r="L820" s="35"/>
      <c r="M820" s="34"/>
      <c r="N820" s="35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8.75" customHeight="1">
      <c r="A821" s="31"/>
      <c r="B821" s="31"/>
      <c r="C821" s="36"/>
      <c r="D821" s="31"/>
      <c r="E821" s="31"/>
      <c r="F821" s="31"/>
      <c r="G821" s="31"/>
      <c r="H821" s="31"/>
      <c r="I821" s="34"/>
      <c r="J821" s="31"/>
      <c r="K821" s="31"/>
      <c r="L821" s="35"/>
      <c r="M821" s="34"/>
      <c r="N821" s="35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8.75" customHeight="1">
      <c r="A822" s="31"/>
      <c r="B822" s="31"/>
      <c r="C822" s="36"/>
      <c r="D822" s="31"/>
      <c r="E822" s="31"/>
      <c r="F822" s="31"/>
      <c r="G822" s="31"/>
      <c r="H822" s="31"/>
      <c r="I822" s="34"/>
      <c r="J822" s="31"/>
      <c r="K822" s="31"/>
      <c r="L822" s="35"/>
      <c r="M822" s="34"/>
      <c r="N822" s="35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8.75" customHeight="1">
      <c r="A823" s="31"/>
      <c r="B823" s="31"/>
      <c r="C823" s="36"/>
      <c r="D823" s="31"/>
      <c r="E823" s="31"/>
      <c r="F823" s="31"/>
      <c r="G823" s="31"/>
      <c r="H823" s="31"/>
      <c r="I823" s="34"/>
      <c r="J823" s="31"/>
      <c r="K823" s="31"/>
      <c r="L823" s="35"/>
      <c r="M823" s="34"/>
      <c r="N823" s="35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8.75" customHeight="1">
      <c r="A824" s="31"/>
      <c r="B824" s="31"/>
      <c r="C824" s="36"/>
      <c r="D824" s="31"/>
      <c r="E824" s="31"/>
      <c r="F824" s="31"/>
      <c r="G824" s="31"/>
      <c r="H824" s="31"/>
      <c r="I824" s="34"/>
      <c r="J824" s="31"/>
      <c r="K824" s="31"/>
      <c r="L824" s="35"/>
      <c r="M824" s="34"/>
      <c r="N824" s="35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8.75" customHeight="1">
      <c r="A825" s="31"/>
      <c r="B825" s="31"/>
      <c r="C825" s="36"/>
      <c r="D825" s="31"/>
      <c r="E825" s="31"/>
      <c r="F825" s="31"/>
      <c r="G825" s="31"/>
      <c r="H825" s="31"/>
      <c r="I825" s="34"/>
      <c r="J825" s="31"/>
      <c r="K825" s="31"/>
      <c r="L825" s="35"/>
      <c r="M825" s="34"/>
      <c r="N825" s="35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8.75" customHeight="1">
      <c r="A826" s="31"/>
      <c r="B826" s="31"/>
      <c r="C826" s="36"/>
      <c r="D826" s="31"/>
      <c r="E826" s="31"/>
      <c r="F826" s="31"/>
      <c r="G826" s="31"/>
      <c r="H826" s="31"/>
      <c r="I826" s="34"/>
      <c r="J826" s="31"/>
      <c r="K826" s="31"/>
      <c r="L826" s="35"/>
      <c r="M826" s="34"/>
      <c r="N826" s="35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8.75" customHeight="1">
      <c r="A827" s="31"/>
      <c r="B827" s="31"/>
      <c r="C827" s="36"/>
      <c r="D827" s="31"/>
      <c r="E827" s="31"/>
      <c r="F827" s="31"/>
      <c r="G827" s="31"/>
      <c r="H827" s="31"/>
      <c r="I827" s="34"/>
      <c r="J827" s="31"/>
      <c r="K827" s="31"/>
      <c r="L827" s="35"/>
      <c r="M827" s="34"/>
      <c r="N827" s="35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8.75" customHeight="1">
      <c r="A828" s="31"/>
      <c r="B828" s="31"/>
      <c r="C828" s="36"/>
      <c r="D828" s="31"/>
      <c r="E828" s="31"/>
      <c r="F828" s="31"/>
      <c r="G828" s="31"/>
      <c r="H828" s="31"/>
      <c r="I828" s="34"/>
      <c r="J828" s="31"/>
      <c r="K828" s="31"/>
      <c r="L828" s="35"/>
      <c r="M828" s="34"/>
      <c r="N828" s="35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8.75" customHeight="1">
      <c r="A829" s="31"/>
      <c r="B829" s="31"/>
      <c r="C829" s="36"/>
      <c r="D829" s="31"/>
      <c r="E829" s="31"/>
      <c r="F829" s="31"/>
      <c r="G829" s="31"/>
      <c r="H829" s="31"/>
      <c r="I829" s="34"/>
      <c r="J829" s="31"/>
      <c r="K829" s="31"/>
      <c r="L829" s="35"/>
      <c r="M829" s="34"/>
      <c r="N829" s="35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8.75" customHeight="1">
      <c r="A830" s="31"/>
      <c r="B830" s="31"/>
      <c r="C830" s="36"/>
      <c r="D830" s="31"/>
      <c r="E830" s="31"/>
      <c r="F830" s="31"/>
      <c r="G830" s="31"/>
      <c r="H830" s="31"/>
      <c r="I830" s="34"/>
      <c r="J830" s="31"/>
      <c r="K830" s="31"/>
      <c r="L830" s="35"/>
      <c r="M830" s="34"/>
      <c r="N830" s="35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8.75" customHeight="1">
      <c r="A831" s="31"/>
      <c r="B831" s="31"/>
      <c r="C831" s="36"/>
      <c r="D831" s="31"/>
      <c r="E831" s="31"/>
      <c r="F831" s="31"/>
      <c r="G831" s="31"/>
      <c r="H831" s="31"/>
      <c r="I831" s="34"/>
      <c r="J831" s="31"/>
      <c r="K831" s="31"/>
      <c r="L831" s="35"/>
      <c r="M831" s="34"/>
      <c r="N831" s="35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8.75" customHeight="1">
      <c r="A832" s="31"/>
      <c r="B832" s="31"/>
      <c r="C832" s="36"/>
      <c r="D832" s="31"/>
      <c r="E832" s="31"/>
      <c r="F832" s="31"/>
      <c r="G832" s="31"/>
      <c r="H832" s="31"/>
      <c r="I832" s="34"/>
      <c r="J832" s="31"/>
      <c r="K832" s="31"/>
      <c r="L832" s="35"/>
      <c r="M832" s="34"/>
      <c r="N832" s="35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8.75" customHeight="1">
      <c r="A833" s="31"/>
      <c r="B833" s="31"/>
      <c r="C833" s="36"/>
      <c r="D833" s="31"/>
      <c r="E833" s="31"/>
      <c r="F833" s="31"/>
      <c r="G833" s="31"/>
      <c r="H833" s="31"/>
      <c r="I833" s="34"/>
      <c r="J833" s="31"/>
      <c r="K833" s="31"/>
      <c r="L833" s="35"/>
      <c r="M833" s="34"/>
      <c r="N833" s="35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8.75" customHeight="1">
      <c r="A834" s="31"/>
      <c r="B834" s="31"/>
      <c r="C834" s="36"/>
      <c r="D834" s="31"/>
      <c r="E834" s="31"/>
      <c r="F834" s="31"/>
      <c r="G834" s="31"/>
      <c r="H834" s="31"/>
      <c r="I834" s="34"/>
      <c r="J834" s="31"/>
      <c r="K834" s="31"/>
      <c r="L834" s="35"/>
      <c r="M834" s="34"/>
      <c r="N834" s="35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8.75" customHeight="1">
      <c r="A835" s="31"/>
      <c r="B835" s="31"/>
      <c r="C835" s="36"/>
      <c r="D835" s="31"/>
      <c r="E835" s="31"/>
      <c r="F835" s="31"/>
      <c r="G835" s="31"/>
      <c r="H835" s="31"/>
      <c r="I835" s="34"/>
      <c r="J835" s="31"/>
      <c r="K835" s="31"/>
      <c r="L835" s="35"/>
      <c r="M835" s="34"/>
      <c r="N835" s="35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8.75" customHeight="1">
      <c r="A836" s="31"/>
      <c r="B836" s="31"/>
      <c r="C836" s="36"/>
      <c r="D836" s="31"/>
      <c r="E836" s="31"/>
      <c r="F836" s="31"/>
      <c r="G836" s="31"/>
      <c r="H836" s="31"/>
      <c r="I836" s="34"/>
      <c r="J836" s="31"/>
      <c r="K836" s="31"/>
      <c r="L836" s="35"/>
      <c r="M836" s="34"/>
      <c r="N836" s="35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8.75" customHeight="1">
      <c r="A837" s="31"/>
      <c r="B837" s="31"/>
      <c r="C837" s="36"/>
      <c r="D837" s="31"/>
      <c r="E837" s="31"/>
      <c r="F837" s="31"/>
      <c r="G837" s="31"/>
      <c r="H837" s="31"/>
      <c r="I837" s="34"/>
      <c r="J837" s="31"/>
      <c r="K837" s="31"/>
      <c r="L837" s="35"/>
      <c r="M837" s="34"/>
      <c r="N837" s="35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8.75" customHeight="1">
      <c r="A838" s="31"/>
      <c r="B838" s="31"/>
      <c r="C838" s="36"/>
      <c r="D838" s="31"/>
      <c r="E838" s="31"/>
      <c r="F838" s="31"/>
      <c r="G838" s="31"/>
      <c r="H838" s="31"/>
      <c r="I838" s="34"/>
      <c r="J838" s="31"/>
      <c r="K838" s="31"/>
      <c r="L838" s="35"/>
      <c r="M838" s="34"/>
      <c r="N838" s="35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8.75" customHeight="1">
      <c r="A839" s="31"/>
      <c r="B839" s="31"/>
      <c r="C839" s="36"/>
      <c r="D839" s="31"/>
      <c r="E839" s="31"/>
      <c r="F839" s="31"/>
      <c r="G839" s="31"/>
      <c r="H839" s="31"/>
      <c r="I839" s="34"/>
      <c r="J839" s="31"/>
      <c r="K839" s="31"/>
      <c r="L839" s="35"/>
      <c r="M839" s="34"/>
      <c r="N839" s="35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8.75" customHeight="1">
      <c r="A840" s="31"/>
      <c r="B840" s="31"/>
      <c r="C840" s="36"/>
      <c r="D840" s="31"/>
      <c r="E840" s="31"/>
      <c r="F840" s="31"/>
      <c r="G840" s="31"/>
      <c r="H840" s="31"/>
      <c r="I840" s="34"/>
      <c r="J840" s="31"/>
      <c r="K840" s="31"/>
      <c r="L840" s="35"/>
      <c r="M840" s="34"/>
      <c r="N840" s="35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8.75" customHeight="1">
      <c r="A841" s="31"/>
      <c r="B841" s="31"/>
      <c r="C841" s="36"/>
      <c r="D841" s="31"/>
      <c r="E841" s="31"/>
      <c r="F841" s="31"/>
      <c r="G841" s="31"/>
      <c r="H841" s="31"/>
      <c r="I841" s="34"/>
      <c r="J841" s="31"/>
      <c r="K841" s="31"/>
      <c r="L841" s="35"/>
      <c r="M841" s="34"/>
      <c r="N841" s="35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8.75" customHeight="1">
      <c r="A842" s="31"/>
      <c r="B842" s="31"/>
      <c r="C842" s="36"/>
      <c r="D842" s="31"/>
      <c r="E842" s="31"/>
      <c r="F842" s="31"/>
      <c r="G842" s="31"/>
      <c r="H842" s="31"/>
      <c r="I842" s="34"/>
      <c r="J842" s="31"/>
      <c r="K842" s="31"/>
      <c r="L842" s="35"/>
      <c r="M842" s="34"/>
      <c r="N842" s="35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8.75" customHeight="1">
      <c r="A843" s="31"/>
      <c r="B843" s="31"/>
      <c r="C843" s="36"/>
      <c r="D843" s="31"/>
      <c r="E843" s="31"/>
      <c r="F843" s="31"/>
      <c r="G843" s="31"/>
      <c r="H843" s="31"/>
      <c r="I843" s="34"/>
      <c r="J843" s="31"/>
      <c r="K843" s="31"/>
      <c r="L843" s="35"/>
      <c r="M843" s="34"/>
      <c r="N843" s="35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8.75" customHeight="1">
      <c r="A844" s="31"/>
      <c r="B844" s="31"/>
      <c r="C844" s="36"/>
      <c r="D844" s="31"/>
      <c r="E844" s="31"/>
      <c r="F844" s="31"/>
      <c r="G844" s="31"/>
      <c r="H844" s="31"/>
      <c r="I844" s="34"/>
      <c r="J844" s="31"/>
      <c r="K844" s="31"/>
      <c r="L844" s="35"/>
      <c r="M844" s="34"/>
      <c r="N844" s="35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8.75" customHeight="1">
      <c r="A845" s="31"/>
      <c r="B845" s="31"/>
      <c r="C845" s="36"/>
      <c r="D845" s="31"/>
      <c r="E845" s="31"/>
      <c r="F845" s="31"/>
      <c r="G845" s="31"/>
      <c r="H845" s="31"/>
      <c r="I845" s="34"/>
      <c r="J845" s="31"/>
      <c r="K845" s="31"/>
      <c r="L845" s="35"/>
      <c r="M845" s="34"/>
      <c r="N845" s="35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8.75" customHeight="1">
      <c r="A846" s="31"/>
      <c r="B846" s="31"/>
      <c r="C846" s="36"/>
      <c r="D846" s="31"/>
      <c r="E846" s="31"/>
      <c r="F846" s="31"/>
      <c r="G846" s="31"/>
      <c r="H846" s="31"/>
      <c r="I846" s="34"/>
      <c r="J846" s="31"/>
      <c r="K846" s="31"/>
      <c r="L846" s="35"/>
      <c r="M846" s="34"/>
      <c r="N846" s="35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8.75" customHeight="1">
      <c r="A847" s="31"/>
      <c r="B847" s="31"/>
      <c r="C847" s="36"/>
      <c r="D847" s="31"/>
      <c r="E847" s="31"/>
      <c r="F847" s="31"/>
      <c r="G847" s="31"/>
      <c r="H847" s="31"/>
      <c r="I847" s="34"/>
      <c r="J847" s="31"/>
      <c r="K847" s="31"/>
      <c r="L847" s="35"/>
      <c r="M847" s="34"/>
      <c r="N847" s="35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8.75" customHeight="1">
      <c r="A848" s="31"/>
      <c r="B848" s="31"/>
      <c r="C848" s="36"/>
      <c r="D848" s="31"/>
      <c r="E848" s="31"/>
      <c r="F848" s="31"/>
      <c r="G848" s="31"/>
      <c r="H848" s="31"/>
      <c r="I848" s="34"/>
      <c r="J848" s="31"/>
      <c r="K848" s="31"/>
      <c r="L848" s="35"/>
      <c r="M848" s="34"/>
      <c r="N848" s="35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8.75" customHeight="1">
      <c r="A849" s="31"/>
      <c r="B849" s="31"/>
      <c r="C849" s="36"/>
      <c r="D849" s="31"/>
      <c r="E849" s="31"/>
      <c r="F849" s="31"/>
      <c r="G849" s="31"/>
      <c r="H849" s="31"/>
      <c r="I849" s="34"/>
      <c r="J849" s="31"/>
      <c r="K849" s="31"/>
      <c r="L849" s="35"/>
      <c r="M849" s="34"/>
      <c r="N849" s="35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8.75" customHeight="1">
      <c r="A850" s="31"/>
      <c r="B850" s="31"/>
      <c r="C850" s="36"/>
      <c r="D850" s="31"/>
      <c r="E850" s="31"/>
      <c r="F850" s="31"/>
      <c r="G850" s="31"/>
      <c r="H850" s="31"/>
      <c r="I850" s="34"/>
      <c r="J850" s="31"/>
      <c r="K850" s="31"/>
      <c r="L850" s="35"/>
      <c r="M850" s="34"/>
      <c r="N850" s="35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8.75" customHeight="1">
      <c r="A851" s="31"/>
      <c r="B851" s="31"/>
      <c r="C851" s="36"/>
      <c r="D851" s="31"/>
      <c r="E851" s="31"/>
      <c r="F851" s="31"/>
      <c r="G851" s="31"/>
      <c r="H851" s="31"/>
      <c r="I851" s="34"/>
      <c r="J851" s="31"/>
      <c r="K851" s="31"/>
      <c r="L851" s="35"/>
      <c r="M851" s="34"/>
      <c r="N851" s="35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8.75" customHeight="1">
      <c r="A852" s="31"/>
      <c r="B852" s="31"/>
      <c r="C852" s="36"/>
      <c r="D852" s="31"/>
      <c r="E852" s="31"/>
      <c r="F852" s="31"/>
      <c r="G852" s="31"/>
      <c r="H852" s="31"/>
      <c r="I852" s="34"/>
      <c r="J852" s="31"/>
      <c r="K852" s="31"/>
      <c r="L852" s="35"/>
      <c r="M852" s="34"/>
      <c r="N852" s="35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8.75" customHeight="1">
      <c r="A853" s="31"/>
      <c r="B853" s="31"/>
      <c r="C853" s="36"/>
      <c r="D853" s="31"/>
      <c r="E853" s="31"/>
      <c r="F853" s="31"/>
      <c r="G853" s="31"/>
      <c r="H853" s="31"/>
      <c r="I853" s="34"/>
      <c r="J853" s="31"/>
      <c r="K853" s="31"/>
      <c r="L853" s="35"/>
      <c r="M853" s="34"/>
      <c r="N853" s="35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8.75" customHeight="1">
      <c r="A854" s="31"/>
      <c r="B854" s="31"/>
      <c r="C854" s="36"/>
      <c r="D854" s="31"/>
      <c r="E854" s="31"/>
      <c r="F854" s="31"/>
      <c r="G854" s="31"/>
      <c r="H854" s="31"/>
      <c r="I854" s="34"/>
      <c r="J854" s="31"/>
      <c r="K854" s="31"/>
      <c r="L854" s="35"/>
      <c r="M854" s="34"/>
      <c r="N854" s="35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8.75" customHeight="1">
      <c r="A855" s="31"/>
      <c r="B855" s="31"/>
      <c r="C855" s="36"/>
      <c r="D855" s="31"/>
      <c r="E855" s="31"/>
      <c r="F855" s="31"/>
      <c r="G855" s="31"/>
      <c r="H855" s="31"/>
      <c r="I855" s="34"/>
      <c r="J855" s="31"/>
      <c r="K855" s="31"/>
      <c r="L855" s="35"/>
      <c r="M855" s="34"/>
      <c r="N855" s="35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8.75" customHeight="1">
      <c r="A856" s="31"/>
      <c r="B856" s="31"/>
      <c r="C856" s="36"/>
      <c r="D856" s="31"/>
      <c r="E856" s="31"/>
      <c r="F856" s="31"/>
      <c r="G856" s="31"/>
      <c r="H856" s="31"/>
      <c r="I856" s="34"/>
      <c r="J856" s="31"/>
      <c r="K856" s="31"/>
      <c r="L856" s="35"/>
      <c r="M856" s="34"/>
      <c r="N856" s="35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8.75" customHeight="1">
      <c r="A857" s="31"/>
      <c r="B857" s="31"/>
      <c r="C857" s="36"/>
      <c r="D857" s="31"/>
      <c r="E857" s="31"/>
      <c r="F857" s="31"/>
      <c r="G857" s="31"/>
      <c r="H857" s="31"/>
      <c r="I857" s="34"/>
      <c r="J857" s="31"/>
      <c r="K857" s="31"/>
      <c r="L857" s="35"/>
      <c r="M857" s="34"/>
      <c r="N857" s="35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8.75" customHeight="1">
      <c r="A858" s="31"/>
      <c r="B858" s="31"/>
      <c r="C858" s="36"/>
      <c r="D858" s="31"/>
      <c r="E858" s="31"/>
      <c r="F858" s="31"/>
      <c r="G858" s="31"/>
      <c r="H858" s="31"/>
      <c r="I858" s="34"/>
      <c r="J858" s="31"/>
      <c r="K858" s="31"/>
      <c r="L858" s="35"/>
      <c r="M858" s="34"/>
      <c r="N858" s="35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8.75" customHeight="1">
      <c r="A859" s="31"/>
      <c r="B859" s="31"/>
      <c r="C859" s="36"/>
      <c r="D859" s="31"/>
      <c r="E859" s="31"/>
      <c r="F859" s="31"/>
      <c r="G859" s="31"/>
      <c r="H859" s="31"/>
      <c r="I859" s="34"/>
      <c r="J859" s="31"/>
      <c r="K859" s="31"/>
      <c r="L859" s="35"/>
      <c r="M859" s="34"/>
      <c r="N859" s="35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8.75" customHeight="1">
      <c r="A860" s="31"/>
      <c r="B860" s="31"/>
      <c r="C860" s="36"/>
      <c r="D860" s="31"/>
      <c r="E860" s="31"/>
      <c r="F860" s="31"/>
      <c r="G860" s="31"/>
      <c r="H860" s="31"/>
      <c r="I860" s="34"/>
      <c r="J860" s="31"/>
      <c r="K860" s="31"/>
      <c r="L860" s="35"/>
      <c r="M860" s="34"/>
      <c r="N860" s="35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8.75" customHeight="1">
      <c r="A861" s="31"/>
      <c r="B861" s="31"/>
      <c r="C861" s="36"/>
      <c r="D861" s="31"/>
      <c r="E861" s="31"/>
      <c r="F861" s="31"/>
      <c r="G861" s="31"/>
      <c r="H861" s="31"/>
      <c r="I861" s="34"/>
      <c r="J861" s="31"/>
      <c r="K861" s="31"/>
      <c r="L861" s="35"/>
      <c r="M861" s="34"/>
      <c r="N861" s="35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8.75" customHeight="1">
      <c r="A862" s="31"/>
      <c r="B862" s="31"/>
      <c r="C862" s="36"/>
      <c r="D862" s="31"/>
      <c r="E862" s="31"/>
      <c r="F862" s="31"/>
      <c r="G862" s="31"/>
      <c r="H862" s="31"/>
      <c r="I862" s="34"/>
      <c r="J862" s="31"/>
      <c r="K862" s="31"/>
      <c r="L862" s="35"/>
      <c r="M862" s="34"/>
      <c r="N862" s="35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8.75" customHeight="1">
      <c r="A863" s="31"/>
      <c r="B863" s="31"/>
      <c r="C863" s="36"/>
      <c r="D863" s="31"/>
      <c r="E863" s="31"/>
      <c r="F863" s="31"/>
      <c r="G863" s="31"/>
      <c r="H863" s="31"/>
      <c r="I863" s="34"/>
      <c r="J863" s="31"/>
      <c r="K863" s="31"/>
      <c r="L863" s="35"/>
      <c r="M863" s="34"/>
      <c r="N863" s="35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8.75" customHeight="1">
      <c r="A864" s="31"/>
      <c r="B864" s="31"/>
      <c r="C864" s="36"/>
      <c r="D864" s="31"/>
      <c r="E864" s="31"/>
      <c r="F864" s="31"/>
      <c r="G864" s="31"/>
      <c r="H864" s="31"/>
      <c r="I864" s="34"/>
      <c r="J864" s="31"/>
      <c r="K864" s="31"/>
      <c r="L864" s="35"/>
      <c r="M864" s="34"/>
      <c r="N864" s="35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8.75" customHeight="1">
      <c r="A865" s="31"/>
      <c r="B865" s="31"/>
      <c r="C865" s="36"/>
      <c r="D865" s="31"/>
      <c r="E865" s="31"/>
      <c r="F865" s="31"/>
      <c r="G865" s="31"/>
      <c r="H865" s="31"/>
      <c r="I865" s="34"/>
      <c r="J865" s="31"/>
      <c r="K865" s="31"/>
      <c r="L865" s="35"/>
      <c r="M865" s="34"/>
      <c r="N865" s="35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8.75" customHeight="1">
      <c r="A866" s="31"/>
      <c r="B866" s="31"/>
      <c r="C866" s="36"/>
      <c r="D866" s="31"/>
      <c r="E866" s="31"/>
      <c r="F866" s="31"/>
      <c r="G866" s="31"/>
      <c r="H866" s="31"/>
      <c r="I866" s="34"/>
      <c r="J866" s="31"/>
      <c r="K866" s="31"/>
      <c r="L866" s="35"/>
      <c r="M866" s="34"/>
      <c r="N866" s="35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8.75" customHeight="1">
      <c r="A867" s="31"/>
      <c r="B867" s="31"/>
      <c r="C867" s="36"/>
      <c r="D867" s="31"/>
      <c r="E867" s="31"/>
      <c r="F867" s="31"/>
      <c r="G867" s="31"/>
      <c r="H867" s="31"/>
      <c r="I867" s="34"/>
      <c r="J867" s="31"/>
      <c r="K867" s="31"/>
      <c r="L867" s="35"/>
      <c r="M867" s="34"/>
      <c r="N867" s="35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8.75" customHeight="1">
      <c r="A868" s="31"/>
      <c r="B868" s="31"/>
      <c r="C868" s="36"/>
      <c r="D868" s="31"/>
      <c r="E868" s="31"/>
      <c r="F868" s="31"/>
      <c r="G868" s="31"/>
      <c r="H868" s="31"/>
      <c r="I868" s="34"/>
      <c r="J868" s="31"/>
      <c r="K868" s="31"/>
      <c r="L868" s="35"/>
      <c r="M868" s="34"/>
      <c r="N868" s="35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8.75" customHeight="1">
      <c r="A869" s="31"/>
      <c r="B869" s="31"/>
      <c r="C869" s="36"/>
      <c r="D869" s="31"/>
      <c r="E869" s="31"/>
      <c r="F869" s="31"/>
      <c r="G869" s="31"/>
      <c r="H869" s="31"/>
      <c r="I869" s="34"/>
      <c r="J869" s="31"/>
      <c r="K869" s="31"/>
      <c r="L869" s="35"/>
      <c r="M869" s="34"/>
      <c r="N869" s="35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8.75" customHeight="1">
      <c r="A870" s="31"/>
      <c r="B870" s="31"/>
      <c r="C870" s="36"/>
      <c r="D870" s="31"/>
      <c r="E870" s="31"/>
      <c r="F870" s="31"/>
      <c r="G870" s="31"/>
      <c r="H870" s="31"/>
      <c r="I870" s="34"/>
      <c r="J870" s="31"/>
      <c r="K870" s="31"/>
      <c r="L870" s="35"/>
      <c r="M870" s="34"/>
      <c r="N870" s="35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8.75" customHeight="1">
      <c r="A871" s="31"/>
      <c r="B871" s="31"/>
      <c r="C871" s="36"/>
      <c r="D871" s="31"/>
      <c r="E871" s="31"/>
      <c r="F871" s="31"/>
      <c r="G871" s="31"/>
      <c r="H871" s="31"/>
      <c r="I871" s="34"/>
      <c r="J871" s="31"/>
      <c r="K871" s="31"/>
      <c r="L871" s="35"/>
      <c r="M871" s="34"/>
      <c r="N871" s="35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8.75" customHeight="1">
      <c r="A872" s="31"/>
      <c r="B872" s="31"/>
      <c r="C872" s="36"/>
      <c r="D872" s="31"/>
      <c r="E872" s="31"/>
      <c r="F872" s="31"/>
      <c r="G872" s="31"/>
      <c r="H872" s="31"/>
      <c r="I872" s="34"/>
      <c r="J872" s="31"/>
      <c r="K872" s="31"/>
      <c r="L872" s="35"/>
      <c r="M872" s="34"/>
      <c r="N872" s="35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8.75" customHeight="1">
      <c r="A873" s="31"/>
      <c r="B873" s="31"/>
      <c r="C873" s="36"/>
      <c r="D873" s="31"/>
      <c r="E873" s="31"/>
      <c r="F873" s="31"/>
      <c r="G873" s="31"/>
      <c r="H873" s="31"/>
      <c r="I873" s="34"/>
      <c r="J873" s="31"/>
      <c r="K873" s="31"/>
      <c r="L873" s="35"/>
      <c r="M873" s="34"/>
      <c r="N873" s="35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8.75" customHeight="1">
      <c r="A874" s="31"/>
      <c r="B874" s="31"/>
      <c r="C874" s="36"/>
      <c r="D874" s="31"/>
      <c r="E874" s="31"/>
      <c r="F874" s="31"/>
      <c r="G874" s="31"/>
      <c r="H874" s="31"/>
      <c r="I874" s="34"/>
      <c r="J874" s="31"/>
      <c r="K874" s="31"/>
      <c r="L874" s="35"/>
      <c r="M874" s="34"/>
      <c r="N874" s="35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8.75" customHeight="1">
      <c r="A875" s="31"/>
      <c r="B875" s="31"/>
      <c r="C875" s="36"/>
      <c r="D875" s="31"/>
      <c r="E875" s="31"/>
      <c r="F875" s="31"/>
      <c r="G875" s="31"/>
      <c r="H875" s="31"/>
      <c r="I875" s="34"/>
      <c r="J875" s="31"/>
      <c r="K875" s="31"/>
      <c r="L875" s="35"/>
      <c r="M875" s="34"/>
      <c r="N875" s="35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8.75" customHeight="1">
      <c r="A876" s="31"/>
      <c r="B876" s="31"/>
      <c r="C876" s="36"/>
      <c r="D876" s="31"/>
      <c r="E876" s="31"/>
      <c r="F876" s="31"/>
      <c r="G876" s="31"/>
      <c r="H876" s="31"/>
      <c r="I876" s="34"/>
      <c r="J876" s="31"/>
      <c r="K876" s="31"/>
      <c r="L876" s="35"/>
      <c r="M876" s="34"/>
      <c r="N876" s="35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8.75" customHeight="1">
      <c r="A877" s="31"/>
      <c r="B877" s="31"/>
      <c r="C877" s="36"/>
      <c r="D877" s="31"/>
      <c r="E877" s="31"/>
      <c r="F877" s="31"/>
      <c r="G877" s="31"/>
      <c r="H877" s="31"/>
      <c r="I877" s="34"/>
      <c r="J877" s="31"/>
      <c r="K877" s="31"/>
      <c r="L877" s="35"/>
      <c r="M877" s="34"/>
      <c r="N877" s="35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8.75" customHeight="1">
      <c r="A878" s="31"/>
      <c r="B878" s="31"/>
      <c r="C878" s="36"/>
      <c r="D878" s="31"/>
      <c r="E878" s="31"/>
      <c r="F878" s="31"/>
      <c r="G878" s="31"/>
      <c r="H878" s="31"/>
      <c r="I878" s="34"/>
      <c r="J878" s="31"/>
      <c r="K878" s="31"/>
      <c r="L878" s="35"/>
      <c r="M878" s="34"/>
      <c r="N878" s="35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8.75" customHeight="1">
      <c r="A879" s="31"/>
      <c r="B879" s="31"/>
      <c r="C879" s="36"/>
      <c r="D879" s="31"/>
      <c r="E879" s="31"/>
      <c r="F879" s="31"/>
      <c r="G879" s="31"/>
      <c r="H879" s="31"/>
      <c r="I879" s="34"/>
      <c r="J879" s="31"/>
      <c r="K879" s="31"/>
      <c r="L879" s="35"/>
      <c r="M879" s="34"/>
      <c r="N879" s="35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8.75" customHeight="1">
      <c r="A880" s="31"/>
      <c r="B880" s="31"/>
      <c r="C880" s="36"/>
      <c r="D880" s="31"/>
      <c r="E880" s="31"/>
      <c r="F880" s="31"/>
      <c r="G880" s="31"/>
      <c r="H880" s="31"/>
      <c r="I880" s="34"/>
      <c r="J880" s="31"/>
      <c r="K880" s="31"/>
      <c r="L880" s="35"/>
      <c r="M880" s="34"/>
      <c r="N880" s="35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8.75" customHeight="1">
      <c r="A881" s="31"/>
      <c r="B881" s="31"/>
      <c r="C881" s="36"/>
      <c r="D881" s="31"/>
      <c r="E881" s="31"/>
      <c r="F881" s="31"/>
      <c r="G881" s="31"/>
      <c r="H881" s="31"/>
      <c r="I881" s="34"/>
      <c r="J881" s="31"/>
      <c r="K881" s="31"/>
      <c r="L881" s="35"/>
      <c r="M881" s="34"/>
      <c r="N881" s="35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8.75" customHeight="1">
      <c r="A882" s="31"/>
      <c r="B882" s="31"/>
      <c r="C882" s="36"/>
      <c r="D882" s="31"/>
      <c r="E882" s="31"/>
      <c r="F882" s="31"/>
      <c r="G882" s="31"/>
      <c r="H882" s="31"/>
      <c r="I882" s="34"/>
      <c r="J882" s="31"/>
      <c r="K882" s="31"/>
      <c r="L882" s="35"/>
      <c r="M882" s="34"/>
      <c r="N882" s="35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8.75" customHeight="1">
      <c r="A883" s="31"/>
      <c r="B883" s="31"/>
      <c r="C883" s="36"/>
      <c r="D883" s="31"/>
      <c r="E883" s="31"/>
      <c r="F883" s="31"/>
      <c r="G883" s="31"/>
      <c r="H883" s="31"/>
      <c r="I883" s="34"/>
      <c r="J883" s="31"/>
      <c r="K883" s="31"/>
      <c r="L883" s="35"/>
      <c r="M883" s="34"/>
      <c r="N883" s="35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8.75" customHeight="1">
      <c r="A884" s="31"/>
      <c r="B884" s="31"/>
      <c r="C884" s="36"/>
      <c r="D884" s="31"/>
      <c r="E884" s="31"/>
      <c r="F884" s="31"/>
      <c r="G884" s="31"/>
      <c r="H884" s="31"/>
      <c r="I884" s="34"/>
      <c r="J884" s="31"/>
      <c r="K884" s="31"/>
      <c r="L884" s="35"/>
      <c r="M884" s="34"/>
      <c r="N884" s="35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8.75" customHeight="1">
      <c r="A885" s="31"/>
      <c r="B885" s="31"/>
      <c r="C885" s="36"/>
      <c r="D885" s="31"/>
      <c r="E885" s="31"/>
      <c r="F885" s="31"/>
      <c r="G885" s="31"/>
      <c r="H885" s="31"/>
      <c r="I885" s="34"/>
      <c r="J885" s="31"/>
      <c r="K885" s="31"/>
      <c r="L885" s="35"/>
      <c r="M885" s="34"/>
      <c r="N885" s="35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8.75" customHeight="1">
      <c r="A886" s="31"/>
      <c r="B886" s="31"/>
      <c r="C886" s="36"/>
      <c r="D886" s="31"/>
      <c r="E886" s="31"/>
      <c r="F886" s="31"/>
      <c r="G886" s="31"/>
      <c r="H886" s="31"/>
      <c r="I886" s="34"/>
      <c r="J886" s="31"/>
      <c r="K886" s="31"/>
      <c r="L886" s="35"/>
      <c r="M886" s="34"/>
      <c r="N886" s="35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8.75" customHeight="1">
      <c r="A887" s="31"/>
      <c r="B887" s="31"/>
      <c r="C887" s="36"/>
      <c r="D887" s="31"/>
      <c r="E887" s="31"/>
      <c r="F887" s="31"/>
      <c r="G887" s="31"/>
      <c r="H887" s="31"/>
      <c r="I887" s="34"/>
      <c r="J887" s="31"/>
      <c r="K887" s="31"/>
      <c r="L887" s="35"/>
      <c r="M887" s="34"/>
      <c r="N887" s="35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8.75" customHeight="1">
      <c r="A888" s="31"/>
      <c r="B888" s="31"/>
      <c r="C888" s="36"/>
      <c r="D888" s="31"/>
      <c r="E888" s="31"/>
      <c r="F888" s="31"/>
      <c r="G888" s="31"/>
      <c r="H888" s="31"/>
      <c r="I888" s="34"/>
      <c r="J888" s="31"/>
      <c r="K888" s="31"/>
      <c r="L888" s="35"/>
      <c r="M888" s="34"/>
      <c r="N888" s="35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8.75" customHeight="1">
      <c r="A889" s="31"/>
      <c r="B889" s="31"/>
      <c r="C889" s="36"/>
      <c r="D889" s="31"/>
      <c r="E889" s="31"/>
      <c r="F889" s="31"/>
      <c r="G889" s="31"/>
      <c r="H889" s="31"/>
      <c r="I889" s="34"/>
      <c r="J889" s="31"/>
      <c r="K889" s="31"/>
      <c r="L889" s="35"/>
      <c r="M889" s="34"/>
      <c r="N889" s="35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8.75" customHeight="1">
      <c r="A890" s="31"/>
      <c r="B890" s="31"/>
      <c r="C890" s="36"/>
      <c r="D890" s="31"/>
      <c r="E890" s="31"/>
      <c r="F890" s="31"/>
      <c r="G890" s="31"/>
      <c r="H890" s="31"/>
      <c r="I890" s="34"/>
      <c r="J890" s="31"/>
      <c r="K890" s="31"/>
      <c r="L890" s="35"/>
      <c r="M890" s="34"/>
      <c r="N890" s="35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8.75" customHeight="1">
      <c r="A891" s="31"/>
      <c r="B891" s="31"/>
      <c r="C891" s="36"/>
      <c r="D891" s="31"/>
      <c r="E891" s="31"/>
      <c r="F891" s="31"/>
      <c r="G891" s="31"/>
      <c r="H891" s="31"/>
      <c r="I891" s="34"/>
      <c r="J891" s="31"/>
      <c r="K891" s="31"/>
      <c r="L891" s="35"/>
      <c r="M891" s="34"/>
      <c r="N891" s="35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8.75" customHeight="1">
      <c r="A892" s="31"/>
      <c r="B892" s="31"/>
      <c r="C892" s="36"/>
      <c r="D892" s="31"/>
      <c r="E892" s="31"/>
      <c r="F892" s="31"/>
      <c r="G892" s="31"/>
      <c r="H892" s="31"/>
      <c r="I892" s="34"/>
      <c r="J892" s="31"/>
      <c r="K892" s="31"/>
      <c r="L892" s="35"/>
      <c r="M892" s="34"/>
      <c r="N892" s="35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8.75" customHeight="1">
      <c r="A893" s="31"/>
      <c r="B893" s="31"/>
      <c r="C893" s="36"/>
      <c r="D893" s="31"/>
      <c r="E893" s="31"/>
      <c r="F893" s="31"/>
      <c r="G893" s="31"/>
      <c r="H893" s="31"/>
      <c r="I893" s="34"/>
      <c r="J893" s="31"/>
      <c r="K893" s="31"/>
      <c r="L893" s="35"/>
      <c r="M893" s="34"/>
      <c r="N893" s="35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8.75" customHeight="1">
      <c r="A894" s="31"/>
      <c r="B894" s="31"/>
      <c r="C894" s="36"/>
      <c r="D894" s="31"/>
      <c r="E894" s="31"/>
      <c r="F894" s="31"/>
      <c r="G894" s="31"/>
      <c r="H894" s="31"/>
      <c r="I894" s="34"/>
      <c r="J894" s="31"/>
      <c r="K894" s="31"/>
      <c r="L894" s="35"/>
      <c r="M894" s="34"/>
      <c r="N894" s="35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8.75" customHeight="1">
      <c r="A895" s="31"/>
      <c r="B895" s="31"/>
      <c r="C895" s="36"/>
      <c r="D895" s="31"/>
      <c r="E895" s="31"/>
      <c r="F895" s="31"/>
      <c r="G895" s="31"/>
      <c r="H895" s="31"/>
      <c r="I895" s="34"/>
      <c r="J895" s="31"/>
      <c r="K895" s="31"/>
      <c r="L895" s="35"/>
      <c r="M895" s="34"/>
      <c r="N895" s="35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8.75" customHeight="1">
      <c r="A896" s="31"/>
      <c r="B896" s="31"/>
      <c r="C896" s="36"/>
      <c r="D896" s="31"/>
      <c r="E896" s="31"/>
      <c r="F896" s="31"/>
      <c r="G896" s="31"/>
      <c r="H896" s="31"/>
      <c r="I896" s="34"/>
      <c r="J896" s="31"/>
      <c r="K896" s="31"/>
      <c r="L896" s="35"/>
      <c r="M896" s="34"/>
      <c r="N896" s="35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8.75" customHeight="1">
      <c r="A897" s="31"/>
      <c r="B897" s="31"/>
      <c r="C897" s="36"/>
      <c r="D897" s="31"/>
      <c r="E897" s="31"/>
      <c r="F897" s="31"/>
      <c r="G897" s="31"/>
      <c r="H897" s="31"/>
      <c r="I897" s="34"/>
      <c r="J897" s="31"/>
      <c r="K897" s="31"/>
      <c r="L897" s="35"/>
      <c r="M897" s="34"/>
      <c r="N897" s="35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8.75" customHeight="1">
      <c r="A898" s="31"/>
      <c r="B898" s="31"/>
      <c r="C898" s="36"/>
      <c r="D898" s="31"/>
      <c r="E898" s="31"/>
      <c r="F898" s="31"/>
      <c r="G898" s="31"/>
      <c r="H898" s="31"/>
      <c r="I898" s="34"/>
      <c r="J898" s="31"/>
      <c r="K898" s="31"/>
      <c r="L898" s="35"/>
      <c r="M898" s="34"/>
      <c r="N898" s="35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8.75" customHeight="1">
      <c r="A899" s="31"/>
      <c r="B899" s="31"/>
      <c r="C899" s="36"/>
      <c r="D899" s="31"/>
      <c r="E899" s="31"/>
      <c r="F899" s="31"/>
      <c r="G899" s="31"/>
      <c r="H899" s="31"/>
      <c r="I899" s="34"/>
      <c r="J899" s="31"/>
      <c r="K899" s="31"/>
      <c r="L899" s="35"/>
      <c r="M899" s="34"/>
      <c r="N899" s="35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8.75" customHeight="1">
      <c r="A900" s="31"/>
      <c r="B900" s="31"/>
      <c r="C900" s="36"/>
      <c r="D900" s="31"/>
      <c r="E900" s="31"/>
      <c r="F900" s="31"/>
      <c r="G900" s="31"/>
      <c r="H900" s="31"/>
      <c r="I900" s="34"/>
      <c r="J900" s="31"/>
      <c r="K900" s="31"/>
      <c r="L900" s="35"/>
      <c r="M900" s="34"/>
      <c r="N900" s="35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8.75" customHeight="1">
      <c r="A901" s="31"/>
      <c r="B901" s="31"/>
      <c r="C901" s="36"/>
      <c r="D901" s="31"/>
      <c r="E901" s="31"/>
      <c r="F901" s="31"/>
      <c r="G901" s="31"/>
      <c r="H901" s="31"/>
      <c r="I901" s="34"/>
      <c r="J901" s="31"/>
      <c r="K901" s="31"/>
      <c r="L901" s="35"/>
      <c r="M901" s="34"/>
      <c r="N901" s="35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8.75" customHeight="1">
      <c r="A902" s="31"/>
      <c r="B902" s="31"/>
      <c r="C902" s="36"/>
      <c r="D902" s="31"/>
      <c r="E902" s="31"/>
      <c r="F902" s="31"/>
      <c r="G902" s="31"/>
      <c r="H902" s="31"/>
      <c r="I902" s="34"/>
      <c r="J902" s="31"/>
      <c r="K902" s="31"/>
      <c r="L902" s="35"/>
      <c r="M902" s="34"/>
      <c r="N902" s="35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8.75" customHeight="1">
      <c r="A903" s="31"/>
      <c r="B903" s="31"/>
      <c r="C903" s="36"/>
      <c r="D903" s="31"/>
      <c r="E903" s="31"/>
      <c r="F903" s="31"/>
      <c r="G903" s="31"/>
      <c r="H903" s="31"/>
      <c r="I903" s="34"/>
      <c r="J903" s="31"/>
      <c r="K903" s="31"/>
      <c r="L903" s="35"/>
      <c r="M903" s="34"/>
      <c r="N903" s="35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8.75" customHeight="1">
      <c r="A904" s="31"/>
      <c r="B904" s="31"/>
      <c r="C904" s="36"/>
      <c r="D904" s="31"/>
      <c r="E904" s="31"/>
      <c r="F904" s="31"/>
      <c r="G904" s="31"/>
      <c r="H904" s="31"/>
      <c r="I904" s="34"/>
      <c r="J904" s="31"/>
      <c r="K904" s="31"/>
      <c r="L904" s="35"/>
      <c r="M904" s="34"/>
      <c r="N904" s="35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8.75" customHeight="1">
      <c r="A905" s="31"/>
      <c r="B905" s="31"/>
      <c r="C905" s="36"/>
      <c r="D905" s="31"/>
      <c r="E905" s="31"/>
      <c r="F905" s="31"/>
      <c r="G905" s="31"/>
      <c r="H905" s="31"/>
      <c r="I905" s="34"/>
      <c r="J905" s="31"/>
      <c r="K905" s="31"/>
      <c r="L905" s="35"/>
      <c r="M905" s="34"/>
      <c r="N905" s="35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8.75" customHeight="1">
      <c r="A906" s="31"/>
      <c r="B906" s="31"/>
      <c r="C906" s="36"/>
      <c r="D906" s="31"/>
      <c r="E906" s="31"/>
      <c r="F906" s="31"/>
      <c r="G906" s="31"/>
      <c r="H906" s="31"/>
      <c r="I906" s="34"/>
      <c r="J906" s="31"/>
      <c r="K906" s="31"/>
      <c r="L906" s="35"/>
      <c r="M906" s="34"/>
      <c r="N906" s="35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8.75" customHeight="1">
      <c r="A907" s="31"/>
      <c r="B907" s="31"/>
      <c r="C907" s="36"/>
      <c r="D907" s="31"/>
      <c r="E907" s="31"/>
      <c r="F907" s="31"/>
      <c r="G907" s="31"/>
      <c r="H907" s="31"/>
      <c r="I907" s="34"/>
      <c r="J907" s="31"/>
      <c r="K907" s="31"/>
      <c r="L907" s="35"/>
      <c r="M907" s="34"/>
      <c r="N907" s="35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8.75" customHeight="1">
      <c r="A908" s="31"/>
      <c r="B908" s="31"/>
      <c r="C908" s="36"/>
      <c r="D908" s="31"/>
      <c r="E908" s="31"/>
      <c r="F908" s="31"/>
      <c r="G908" s="31"/>
      <c r="H908" s="31"/>
      <c r="I908" s="34"/>
      <c r="J908" s="31"/>
      <c r="K908" s="31"/>
      <c r="L908" s="35"/>
      <c r="M908" s="34"/>
      <c r="N908" s="35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8.75" customHeight="1">
      <c r="A909" s="31"/>
      <c r="B909" s="31"/>
      <c r="C909" s="36"/>
      <c r="D909" s="31"/>
      <c r="E909" s="31"/>
      <c r="F909" s="31"/>
      <c r="G909" s="31"/>
      <c r="H909" s="31"/>
      <c r="I909" s="34"/>
      <c r="J909" s="31"/>
      <c r="K909" s="31"/>
      <c r="L909" s="35"/>
      <c r="M909" s="34"/>
      <c r="N909" s="35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8.75" customHeight="1">
      <c r="A910" s="31"/>
      <c r="B910" s="31"/>
      <c r="C910" s="36"/>
      <c r="D910" s="31"/>
      <c r="E910" s="31"/>
      <c r="F910" s="31"/>
      <c r="G910" s="31"/>
      <c r="H910" s="31"/>
      <c r="I910" s="34"/>
      <c r="J910" s="31"/>
      <c r="K910" s="31"/>
      <c r="L910" s="35"/>
      <c r="M910" s="34"/>
      <c r="N910" s="35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8.75" customHeight="1">
      <c r="A911" s="31"/>
      <c r="B911" s="31"/>
      <c r="C911" s="36"/>
      <c r="D911" s="31"/>
      <c r="E911" s="31"/>
      <c r="F911" s="31"/>
      <c r="G911" s="31"/>
      <c r="H911" s="31"/>
      <c r="I911" s="34"/>
      <c r="J911" s="31"/>
      <c r="K911" s="31"/>
      <c r="L911" s="35"/>
      <c r="M911" s="34"/>
      <c r="N911" s="35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8.75" customHeight="1">
      <c r="A912" s="31"/>
      <c r="B912" s="31"/>
      <c r="C912" s="36"/>
      <c r="D912" s="31"/>
      <c r="E912" s="31"/>
      <c r="F912" s="31"/>
      <c r="G912" s="31"/>
      <c r="H912" s="31"/>
      <c r="I912" s="34"/>
      <c r="J912" s="31"/>
      <c r="K912" s="31"/>
      <c r="L912" s="35"/>
      <c r="M912" s="34"/>
      <c r="N912" s="35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8.75" customHeight="1">
      <c r="A913" s="31"/>
      <c r="B913" s="31"/>
      <c r="C913" s="36"/>
      <c r="D913" s="31"/>
      <c r="E913" s="31"/>
      <c r="F913" s="31"/>
      <c r="G913" s="31"/>
      <c r="H913" s="31"/>
      <c r="I913" s="34"/>
      <c r="J913" s="31"/>
      <c r="K913" s="31"/>
      <c r="L913" s="35"/>
      <c r="M913" s="34"/>
      <c r="N913" s="35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8.75" customHeight="1">
      <c r="A914" s="31"/>
      <c r="B914" s="31"/>
      <c r="C914" s="36"/>
      <c r="D914" s="31"/>
      <c r="E914" s="31"/>
      <c r="F914" s="31"/>
      <c r="G914" s="31"/>
      <c r="H914" s="31"/>
      <c r="I914" s="34"/>
      <c r="J914" s="31"/>
      <c r="K914" s="31"/>
      <c r="L914" s="35"/>
      <c r="M914" s="34"/>
      <c r="N914" s="35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8.75" customHeight="1">
      <c r="A915" s="31"/>
      <c r="B915" s="31"/>
      <c r="C915" s="36"/>
      <c r="D915" s="31"/>
      <c r="E915" s="31"/>
      <c r="F915" s="31"/>
      <c r="G915" s="31"/>
      <c r="H915" s="31"/>
      <c r="I915" s="34"/>
      <c r="J915" s="31"/>
      <c r="K915" s="31"/>
      <c r="L915" s="35"/>
      <c r="M915" s="34"/>
      <c r="N915" s="35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8.75" customHeight="1">
      <c r="A916" s="31"/>
      <c r="B916" s="31"/>
      <c r="C916" s="36"/>
      <c r="D916" s="31"/>
      <c r="E916" s="31"/>
      <c r="F916" s="31"/>
      <c r="G916" s="31"/>
      <c r="H916" s="31"/>
      <c r="I916" s="34"/>
      <c r="J916" s="31"/>
      <c r="K916" s="31"/>
      <c r="L916" s="35"/>
      <c r="M916" s="34"/>
      <c r="N916" s="35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8.75" customHeight="1">
      <c r="A917" s="31"/>
      <c r="B917" s="31"/>
      <c r="C917" s="36"/>
      <c r="D917" s="31"/>
      <c r="E917" s="31"/>
      <c r="F917" s="31"/>
      <c r="G917" s="31"/>
      <c r="H917" s="31"/>
      <c r="I917" s="34"/>
      <c r="J917" s="31"/>
      <c r="K917" s="31"/>
      <c r="L917" s="35"/>
      <c r="M917" s="34"/>
      <c r="N917" s="35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8.75" customHeight="1">
      <c r="A918" s="31"/>
      <c r="B918" s="31"/>
      <c r="C918" s="36"/>
      <c r="D918" s="31"/>
      <c r="E918" s="31"/>
      <c r="F918" s="31"/>
      <c r="G918" s="31"/>
      <c r="H918" s="31"/>
      <c r="I918" s="34"/>
      <c r="J918" s="31"/>
      <c r="K918" s="31"/>
      <c r="L918" s="35"/>
      <c r="M918" s="34"/>
      <c r="N918" s="35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8.75" customHeight="1">
      <c r="A919" s="31"/>
      <c r="B919" s="31"/>
      <c r="C919" s="36"/>
      <c r="D919" s="31"/>
      <c r="E919" s="31"/>
      <c r="F919" s="31"/>
      <c r="G919" s="31"/>
      <c r="H919" s="31"/>
      <c r="I919" s="34"/>
      <c r="J919" s="31"/>
      <c r="K919" s="31"/>
      <c r="L919" s="35"/>
      <c r="M919" s="34"/>
      <c r="N919" s="35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8.75" customHeight="1">
      <c r="A920" s="31"/>
      <c r="B920" s="31"/>
      <c r="C920" s="36"/>
      <c r="D920" s="31"/>
      <c r="E920" s="31"/>
      <c r="F920" s="31"/>
      <c r="G920" s="31"/>
      <c r="H920" s="31"/>
      <c r="I920" s="34"/>
      <c r="J920" s="31"/>
      <c r="K920" s="31"/>
      <c r="L920" s="35"/>
      <c r="M920" s="34"/>
      <c r="N920" s="35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8.75" customHeight="1">
      <c r="A921" s="31"/>
      <c r="B921" s="31"/>
      <c r="C921" s="36"/>
      <c r="D921" s="31"/>
      <c r="E921" s="31"/>
      <c r="F921" s="31"/>
      <c r="G921" s="31"/>
      <c r="H921" s="31"/>
      <c r="I921" s="34"/>
      <c r="J921" s="31"/>
      <c r="K921" s="31"/>
      <c r="L921" s="35"/>
      <c r="M921" s="34"/>
      <c r="N921" s="35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8.75" customHeight="1">
      <c r="A922" s="31"/>
      <c r="B922" s="31"/>
      <c r="C922" s="36"/>
      <c r="D922" s="31"/>
      <c r="E922" s="31"/>
      <c r="F922" s="31"/>
      <c r="G922" s="31"/>
      <c r="H922" s="31"/>
      <c r="I922" s="34"/>
      <c r="J922" s="31"/>
      <c r="K922" s="31"/>
      <c r="L922" s="35"/>
      <c r="M922" s="34"/>
      <c r="N922" s="35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8.75" customHeight="1">
      <c r="A923" s="31"/>
      <c r="B923" s="31"/>
      <c r="C923" s="36"/>
      <c r="D923" s="31"/>
      <c r="E923" s="31"/>
      <c r="F923" s="31"/>
      <c r="G923" s="31"/>
      <c r="H923" s="31"/>
      <c r="I923" s="34"/>
      <c r="J923" s="31"/>
      <c r="K923" s="31"/>
      <c r="L923" s="35"/>
      <c r="M923" s="34"/>
      <c r="N923" s="35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8.75" customHeight="1">
      <c r="A924" s="31"/>
      <c r="B924" s="31"/>
      <c r="C924" s="36"/>
      <c r="D924" s="31"/>
      <c r="E924" s="31"/>
      <c r="F924" s="31"/>
      <c r="G924" s="31"/>
      <c r="H924" s="31"/>
      <c r="I924" s="34"/>
      <c r="J924" s="31"/>
      <c r="K924" s="31"/>
      <c r="L924" s="35"/>
      <c r="M924" s="34"/>
      <c r="N924" s="35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8.75" customHeight="1">
      <c r="A925" s="31"/>
      <c r="B925" s="31"/>
      <c r="C925" s="36"/>
      <c r="D925" s="31"/>
      <c r="E925" s="31"/>
      <c r="F925" s="31"/>
      <c r="G925" s="31"/>
      <c r="H925" s="31"/>
      <c r="I925" s="34"/>
      <c r="J925" s="31"/>
      <c r="K925" s="31"/>
      <c r="L925" s="35"/>
      <c r="M925" s="34"/>
      <c r="N925" s="35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8.75" customHeight="1">
      <c r="A926" s="31"/>
      <c r="B926" s="31"/>
      <c r="C926" s="36"/>
      <c r="D926" s="31"/>
      <c r="E926" s="31"/>
      <c r="F926" s="31"/>
      <c r="G926" s="31"/>
      <c r="H926" s="31"/>
      <c r="I926" s="34"/>
      <c r="J926" s="31"/>
      <c r="K926" s="31"/>
      <c r="L926" s="35"/>
      <c r="M926" s="34"/>
      <c r="N926" s="35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8.75" customHeight="1">
      <c r="A927" s="31"/>
      <c r="B927" s="31"/>
      <c r="C927" s="36"/>
      <c r="D927" s="31"/>
      <c r="E927" s="31"/>
      <c r="F927" s="31"/>
      <c r="G927" s="31"/>
      <c r="H927" s="31"/>
      <c r="I927" s="34"/>
      <c r="J927" s="31"/>
      <c r="K927" s="31"/>
      <c r="L927" s="35"/>
      <c r="M927" s="34"/>
      <c r="N927" s="35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8.75" customHeight="1">
      <c r="A928" s="31"/>
      <c r="B928" s="31"/>
      <c r="C928" s="36"/>
      <c r="D928" s="31"/>
      <c r="E928" s="31"/>
      <c r="F928" s="31"/>
      <c r="G928" s="31"/>
      <c r="H928" s="31"/>
      <c r="I928" s="34"/>
      <c r="J928" s="31"/>
      <c r="K928" s="31"/>
      <c r="L928" s="35"/>
      <c r="M928" s="34"/>
      <c r="N928" s="35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8.75" customHeight="1">
      <c r="A929" s="31"/>
      <c r="B929" s="31"/>
      <c r="C929" s="36"/>
      <c r="D929" s="31"/>
      <c r="E929" s="31"/>
      <c r="F929" s="31"/>
      <c r="G929" s="31"/>
      <c r="H929" s="31"/>
      <c r="I929" s="34"/>
      <c r="J929" s="31"/>
      <c r="K929" s="31"/>
      <c r="L929" s="35"/>
      <c r="M929" s="34"/>
      <c r="N929" s="35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8.75" customHeight="1">
      <c r="A930" s="31"/>
      <c r="B930" s="31"/>
      <c r="C930" s="36"/>
      <c r="D930" s="31"/>
      <c r="E930" s="31"/>
      <c r="F930" s="31"/>
      <c r="G930" s="31"/>
      <c r="H930" s="31"/>
      <c r="I930" s="34"/>
      <c r="J930" s="31"/>
      <c r="K930" s="31"/>
      <c r="L930" s="35"/>
      <c r="M930" s="34"/>
      <c r="N930" s="35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8.75" customHeight="1">
      <c r="A931" s="31"/>
      <c r="B931" s="31"/>
      <c r="C931" s="36"/>
      <c r="D931" s="31"/>
      <c r="E931" s="31"/>
      <c r="F931" s="31"/>
      <c r="G931" s="31"/>
      <c r="H931" s="31"/>
      <c r="I931" s="34"/>
      <c r="J931" s="31"/>
      <c r="K931" s="31"/>
      <c r="L931" s="35"/>
      <c r="M931" s="34"/>
      <c r="N931" s="35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8.75" customHeight="1">
      <c r="A932" s="31"/>
      <c r="B932" s="31"/>
      <c r="C932" s="36"/>
      <c r="D932" s="31"/>
      <c r="E932" s="31"/>
      <c r="F932" s="31"/>
      <c r="G932" s="31"/>
      <c r="H932" s="31"/>
      <c r="I932" s="34"/>
      <c r="J932" s="31"/>
      <c r="K932" s="31"/>
      <c r="L932" s="35"/>
      <c r="M932" s="34"/>
      <c r="N932" s="35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8.75" customHeight="1">
      <c r="A933" s="31"/>
      <c r="B933" s="31"/>
      <c r="C933" s="36"/>
      <c r="D933" s="31"/>
      <c r="E933" s="31"/>
      <c r="F933" s="31"/>
      <c r="G933" s="31"/>
      <c r="H933" s="31"/>
      <c r="I933" s="34"/>
      <c r="J933" s="31"/>
      <c r="K933" s="31"/>
      <c r="L933" s="35"/>
      <c r="M933" s="34"/>
      <c r="N933" s="35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8.75" customHeight="1">
      <c r="A934" s="31"/>
      <c r="B934" s="31"/>
      <c r="C934" s="36"/>
      <c r="D934" s="31"/>
      <c r="E934" s="31"/>
      <c r="F934" s="31"/>
      <c r="G934" s="31"/>
      <c r="H934" s="31"/>
      <c r="I934" s="34"/>
      <c r="J934" s="31"/>
      <c r="K934" s="31"/>
      <c r="L934" s="35"/>
      <c r="M934" s="34"/>
      <c r="N934" s="35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8.75" customHeight="1">
      <c r="A935" s="31"/>
      <c r="B935" s="31"/>
      <c r="C935" s="36"/>
      <c r="D935" s="31"/>
      <c r="E935" s="31"/>
      <c r="F935" s="31"/>
      <c r="G935" s="31"/>
      <c r="H935" s="31"/>
      <c r="I935" s="34"/>
      <c r="J935" s="31"/>
      <c r="K935" s="31"/>
      <c r="L935" s="35"/>
      <c r="M935" s="34"/>
      <c r="N935" s="35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8.75" customHeight="1">
      <c r="A936" s="31"/>
      <c r="B936" s="31"/>
      <c r="C936" s="36"/>
      <c r="D936" s="31"/>
      <c r="E936" s="31"/>
      <c r="F936" s="31"/>
      <c r="G936" s="31"/>
      <c r="H936" s="31"/>
      <c r="I936" s="34"/>
      <c r="J936" s="31"/>
      <c r="K936" s="31"/>
      <c r="L936" s="35"/>
      <c r="M936" s="34"/>
      <c r="N936" s="35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8.75" customHeight="1">
      <c r="A937" s="31"/>
      <c r="B937" s="31"/>
      <c r="C937" s="36"/>
      <c r="D937" s="31"/>
      <c r="E937" s="31"/>
      <c r="F937" s="31"/>
      <c r="G937" s="31"/>
      <c r="H937" s="31"/>
      <c r="I937" s="34"/>
      <c r="J937" s="31"/>
      <c r="K937" s="31"/>
      <c r="L937" s="35"/>
      <c r="M937" s="34"/>
      <c r="N937" s="35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8.75" customHeight="1">
      <c r="A938" s="31"/>
      <c r="B938" s="31"/>
      <c r="C938" s="36"/>
      <c r="D938" s="31"/>
      <c r="E938" s="31"/>
      <c r="F938" s="31"/>
      <c r="G938" s="31"/>
      <c r="H938" s="31"/>
      <c r="I938" s="34"/>
      <c r="J938" s="31"/>
      <c r="K938" s="31"/>
      <c r="L938" s="35"/>
      <c r="M938" s="34"/>
      <c r="N938" s="35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8.75" customHeight="1">
      <c r="A939" s="31"/>
      <c r="B939" s="31"/>
      <c r="C939" s="36"/>
      <c r="D939" s="31"/>
      <c r="E939" s="31"/>
      <c r="F939" s="31"/>
      <c r="G939" s="31"/>
      <c r="H939" s="31"/>
      <c r="I939" s="34"/>
      <c r="J939" s="31"/>
      <c r="K939" s="31"/>
      <c r="L939" s="35"/>
      <c r="M939" s="34"/>
      <c r="N939" s="35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8.75" customHeight="1">
      <c r="A940" s="31"/>
      <c r="B940" s="31"/>
      <c r="C940" s="36"/>
      <c r="D940" s="31"/>
      <c r="E940" s="31"/>
      <c r="F940" s="31"/>
      <c r="G940" s="31"/>
      <c r="H940" s="31"/>
      <c r="I940" s="34"/>
      <c r="J940" s="31"/>
      <c r="K940" s="31"/>
      <c r="L940" s="35"/>
      <c r="M940" s="34"/>
      <c r="N940" s="35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8.75" customHeight="1">
      <c r="A941" s="31"/>
      <c r="B941" s="31"/>
      <c r="C941" s="36"/>
      <c r="D941" s="31"/>
      <c r="E941" s="31"/>
      <c r="F941" s="31"/>
      <c r="G941" s="31"/>
      <c r="H941" s="31"/>
      <c r="I941" s="34"/>
      <c r="J941" s="31"/>
      <c r="K941" s="31"/>
      <c r="L941" s="35"/>
      <c r="M941" s="34"/>
      <c r="N941" s="35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8.75" customHeight="1">
      <c r="A942" s="31"/>
      <c r="B942" s="31"/>
      <c r="C942" s="36"/>
      <c r="D942" s="31"/>
      <c r="E942" s="31"/>
      <c r="F942" s="31"/>
      <c r="G942" s="31"/>
      <c r="H942" s="31"/>
      <c r="I942" s="34"/>
      <c r="J942" s="31"/>
      <c r="K942" s="31"/>
      <c r="L942" s="35"/>
      <c r="M942" s="34"/>
      <c r="N942" s="35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8.75" customHeight="1">
      <c r="A943" s="31"/>
      <c r="B943" s="31"/>
      <c r="C943" s="36"/>
      <c r="D943" s="31"/>
      <c r="E943" s="31"/>
      <c r="F943" s="31"/>
      <c r="G943" s="31"/>
      <c r="H943" s="31"/>
      <c r="I943" s="34"/>
      <c r="J943" s="31"/>
      <c r="K943" s="31"/>
      <c r="L943" s="35"/>
      <c r="M943" s="34"/>
      <c r="N943" s="35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8.75" customHeight="1">
      <c r="A944" s="31"/>
      <c r="B944" s="31"/>
      <c r="C944" s="36"/>
      <c r="D944" s="31"/>
      <c r="E944" s="31"/>
      <c r="F944" s="31"/>
      <c r="G944" s="31"/>
      <c r="H944" s="31"/>
      <c r="I944" s="34"/>
      <c r="J944" s="31"/>
      <c r="K944" s="31"/>
      <c r="L944" s="35"/>
      <c r="M944" s="34"/>
      <c r="N944" s="35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8.75" customHeight="1">
      <c r="A945" s="31"/>
      <c r="B945" s="31"/>
      <c r="C945" s="36"/>
      <c r="D945" s="31"/>
      <c r="E945" s="31"/>
      <c r="F945" s="31"/>
      <c r="G945" s="31"/>
      <c r="H945" s="31"/>
      <c r="I945" s="34"/>
      <c r="J945" s="31"/>
      <c r="K945" s="31"/>
      <c r="L945" s="35"/>
      <c r="M945" s="34"/>
      <c r="N945" s="35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8.75" customHeight="1">
      <c r="A946" s="31"/>
      <c r="B946" s="31"/>
      <c r="C946" s="36"/>
      <c r="D946" s="31"/>
      <c r="E946" s="31"/>
      <c r="F946" s="31"/>
      <c r="G946" s="31"/>
      <c r="H946" s="31"/>
      <c r="I946" s="34"/>
      <c r="J946" s="31"/>
      <c r="K946" s="31"/>
      <c r="L946" s="35"/>
      <c r="M946" s="34"/>
      <c r="N946" s="35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8.75" customHeight="1">
      <c r="A947" s="31"/>
      <c r="B947" s="31"/>
      <c r="C947" s="36"/>
      <c r="D947" s="31"/>
      <c r="E947" s="31"/>
      <c r="F947" s="31"/>
      <c r="G947" s="31"/>
      <c r="H947" s="31"/>
      <c r="I947" s="34"/>
      <c r="J947" s="31"/>
      <c r="K947" s="31"/>
      <c r="L947" s="35"/>
      <c r="M947" s="34"/>
      <c r="N947" s="35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8.75" customHeight="1">
      <c r="A948" s="31"/>
      <c r="B948" s="31"/>
      <c r="C948" s="36"/>
      <c r="D948" s="31"/>
      <c r="E948" s="31"/>
      <c r="F948" s="31"/>
      <c r="G948" s="31"/>
      <c r="H948" s="31"/>
      <c r="I948" s="34"/>
      <c r="J948" s="31"/>
      <c r="K948" s="31"/>
      <c r="L948" s="35"/>
      <c r="M948" s="34"/>
      <c r="N948" s="35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8.75" customHeight="1">
      <c r="A949" s="31"/>
      <c r="B949" s="31"/>
      <c r="C949" s="36"/>
      <c r="D949" s="31"/>
      <c r="E949" s="31"/>
      <c r="F949" s="31"/>
      <c r="G949" s="31"/>
      <c r="H949" s="31"/>
      <c r="I949" s="34"/>
      <c r="J949" s="31"/>
      <c r="K949" s="31"/>
      <c r="L949" s="35"/>
      <c r="M949" s="34"/>
      <c r="N949" s="35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8.75" customHeight="1">
      <c r="A950" s="31"/>
      <c r="B950" s="31"/>
      <c r="C950" s="36"/>
      <c r="D950" s="31"/>
      <c r="E950" s="31"/>
      <c r="F950" s="31"/>
      <c r="G950" s="31"/>
      <c r="H950" s="31"/>
      <c r="I950" s="34"/>
      <c r="J950" s="31"/>
      <c r="K950" s="31"/>
      <c r="L950" s="35"/>
      <c r="M950" s="34"/>
      <c r="N950" s="35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8.75" customHeight="1">
      <c r="A951" s="31"/>
      <c r="B951" s="31"/>
      <c r="C951" s="36"/>
      <c r="D951" s="31"/>
      <c r="E951" s="31"/>
      <c r="F951" s="31"/>
      <c r="G951" s="31"/>
      <c r="H951" s="31"/>
      <c r="I951" s="34"/>
      <c r="J951" s="31"/>
      <c r="K951" s="31"/>
      <c r="L951" s="35"/>
      <c r="M951" s="34"/>
      <c r="N951" s="35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8.75" customHeight="1">
      <c r="A952" s="31"/>
      <c r="B952" s="31"/>
      <c r="C952" s="36"/>
      <c r="D952" s="31"/>
      <c r="E952" s="31"/>
      <c r="F952" s="31"/>
      <c r="G952" s="31"/>
      <c r="H952" s="31"/>
      <c r="I952" s="34"/>
      <c r="J952" s="31"/>
      <c r="K952" s="31"/>
      <c r="L952" s="35"/>
      <c r="M952" s="34"/>
      <c r="N952" s="35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8.75" customHeight="1">
      <c r="A953" s="31"/>
      <c r="B953" s="31"/>
      <c r="C953" s="36"/>
      <c r="D953" s="31"/>
      <c r="E953" s="31"/>
      <c r="F953" s="31"/>
      <c r="G953" s="31"/>
      <c r="H953" s="31"/>
      <c r="I953" s="34"/>
      <c r="J953" s="31"/>
      <c r="K953" s="31"/>
      <c r="L953" s="35"/>
      <c r="M953" s="34"/>
      <c r="N953" s="35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8.75" customHeight="1">
      <c r="A954" s="31"/>
      <c r="B954" s="31"/>
      <c r="C954" s="36"/>
      <c r="D954" s="31"/>
      <c r="E954" s="31"/>
      <c r="F954" s="31"/>
      <c r="G954" s="31"/>
      <c r="H954" s="31"/>
      <c r="I954" s="34"/>
      <c r="J954" s="31"/>
      <c r="K954" s="31"/>
      <c r="L954" s="35"/>
      <c r="M954" s="34"/>
      <c r="N954" s="35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8.75" customHeight="1">
      <c r="A955" s="31"/>
      <c r="B955" s="31"/>
      <c r="C955" s="36"/>
      <c r="D955" s="31"/>
      <c r="E955" s="31"/>
      <c r="F955" s="31"/>
      <c r="G955" s="31"/>
      <c r="H955" s="31"/>
      <c r="I955" s="34"/>
      <c r="J955" s="31"/>
      <c r="K955" s="31"/>
      <c r="L955" s="35"/>
      <c r="M955" s="34"/>
      <c r="N955" s="35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8.75" customHeight="1">
      <c r="A956" s="31"/>
      <c r="B956" s="31"/>
      <c r="C956" s="36"/>
      <c r="D956" s="31"/>
      <c r="E956" s="31"/>
      <c r="F956" s="31"/>
      <c r="G956" s="31"/>
      <c r="H956" s="31"/>
      <c r="I956" s="34"/>
      <c r="J956" s="31"/>
      <c r="K956" s="31"/>
      <c r="L956" s="35"/>
      <c r="M956" s="34"/>
      <c r="N956" s="35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8.75" customHeight="1">
      <c r="A957" s="31"/>
      <c r="B957" s="31"/>
      <c r="C957" s="36"/>
      <c r="D957" s="31"/>
      <c r="E957" s="31"/>
      <c r="F957" s="31"/>
      <c r="G957" s="31"/>
      <c r="H957" s="31"/>
      <c r="I957" s="34"/>
      <c r="J957" s="31"/>
      <c r="K957" s="31"/>
      <c r="L957" s="35"/>
      <c r="M957" s="34"/>
      <c r="N957" s="35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8.75" customHeight="1">
      <c r="A958" s="31"/>
      <c r="B958" s="31"/>
      <c r="C958" s="36"/>
      <c r="D958" s="31"/>
      <c r="E958" s="31"/>
      <c r="F958" s="31"/>
      <c r="G958" s="31"/>
      <c r="H958" s="31"/>
      <c r="I958" s="34"/>
      <c r="J958" s="31"/>
      <c r="K958" s="31"/>
      <c r="L958" s="35"/>
      <c r="M958" s="34"/>
      <c r="N958" s="35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8.75" customHeight="1">
      <c r="A959" s="31"/>
      <c r="B959" s="31"/>
      <c r="C959" s="36"/>
      <c r="D959" s="31"/>
      <c r="E959" s="31"/>
      <c r="F959" s="31"/>
      <c r="G959" s="31"/>
      <c r="H959" s="31"/>
      <c r="I959" s="34"/>
      <c r="J959" s="31"/>
      <c r="K959" s="31"/>
      <c r="L959" s="35"/>
      <c r="M959" s="34"/>
      <c r="N959" s="35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8.75" customHeight="1">
      <c r="A960" s="31"/>
      <c r="B960" s="31"/>
      <c r="C960" s="36"/>
      <c r="D960" s="31"/>
      <c r="E960" s="31"/>
      <c r="F960" s="31"/>
      <c r="G960" s="31"/>
      <c r="H960" s="31"/>
      <c r="I960" s="34"/>
      <c r="J960" s="31"/>
      <c r="K960" s="31"/>
      <c r="L960" s="35"/>
      <c r="M960" s="34"/>
      <c r="N960" s="35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8.75" customHeight="1">
      <c r="A961" s="31"/>
      <c r="B961" s="31"/>
      <c r="C961" s="36"/>
      <c r="D961" s="31"/>
      <c r="E961" s="31"/>
      <c r="F961" s="31"/>
      <c r="G961" s="31"/>
      <c r="H961" s="31"/>
      <c r="I961" s="34"/>
      <c r="J961" s="31"/>
      <c r="K961" s="31"/>
      <c r="L961" s="35"/>
      <c r="M961" s="34"/>
      <c r="N961" s="35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8.75" customHeight="1">
      <c r="A962" s="31"/>
      <c r="B962" s="31"/>
      <c r="C962" s="36"/>
      <c r="D962" s="31"/>
      <c r="E962" s="31"/>
      <c r="F962" s="31"/>
      <c r="G962" s="31"/>
      <c r="H962" s="31"/>
      <c r="I962" s="34"/>
      <c r="J962" s="31"/>
      <c r="K962" s="31"/>
      <c r="L962" s="35"/>
      <c r="M962" s="34"/>
      <c r="N962" s="35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8.75" customHeight="1">
      <c r="A963" s="31"/>
      <c r="B963" s="31"/>
      <c r="C963" s="36"/>
      <c r="D963" s="31"/>
      <c r="E963" s="31"/>
      <c r="F963" s="31"/>
      <c r="G963" s="31"/>
      <c r="H963" s="31"/>
      <c r="I963" s="34"/>
      <c r="J963" s="31"/>
      <c r="K963" s="31"/>
      <c r="L963" s="35"/>
      <c r="M963" s="34"/>
      <c r="N963" s="35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8.75" customHeight="1">
      <c r="A964" s="31"/>
      <c r="B964" s="31"/>
      <c r="C964" s="36"/>
      <c r="D964" s="31"/>
      <c r="E964" s="31"/>
      <c r="F964" s="31"/>
      <c r="G964" s="31"/>
      <c r="H964" s="31"/>
      <c r="I964" s="34"/>
      <c r="J964" s="31"/>
      <c r="K964" s="31"/>
      <c r="L964" s="35"/>
      <c r="M964" s="34"/>
      <c r="N964" s="35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8.75" customHeight="1">
      <c r="A965" s="31"/>
      <c r="B965" s="31"/>
      <c r="C965" s="36"/>
      <c r="D965" s="31"/>
      <c r="E965" s="31"/>
      <c r="F965" s="31"/>
      <c r="G965" s="31"/>
      <c r="H965" s="31"/>
      <c r="I965" s="34"/>
      <c r="J965" s="31"/>
      <c r="K965" s="31"/>
      <c r="L965" s="35"/>
      <c r="M965" s="34"/>
      <c r="N965" s="35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8.75" customHeight="1">
      <c r="A966" s="31"/>
      <c r="B966" s="31"/>
      <c r="C966" s="36"/>
      <c r="D966" s="31"/>
      <c r="E966" s="31"/>
      <c r="F966" s="31"/>
      <c r="G966" s="31"/>
      <c r="H966" s="31"/>
      <c r="I966" s="34"/>
      <c r="J966" s="31"/>
      <c r="K966" s="31"/>
      <c r="L966" s="35"/>
      <c r="M966" s="34"/>
      <c r="N966" s="35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8.75" customHeight="1">
      <c r="A967" s="31"/>
      <c r="B967" s="31"/>
      <c r="C967" s="36"/>
      <c r="D967" s="31"/>
      <c r="E967" s="31"/>
      <c r="F967" s="31"/>
      <c r="G967" s="31"/>
      <c r="H967" s="31"/>
      <c r="I967" s="34"/>
      <c r="J967" s="31"/>
      <c r="K967" s="31"/>
      <c r="L967" s="35"/>
      <c r="M967" s="34"/>
      <c r="N967" s="35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8.75" customHeight="1">
      <c r="A968" s="31"/>
      <c r="B968" s="31"/>
      <c r="C968" s="36"/>
      <c r="D968" s="31"/>
      <c r="E968" s="31"/>
      <c r="F968" s="31"/>
      <c r="G968" s="31"/>
      <c r="H968" s="31"/>
      <c r="I968" s="34"/>
      <c r="J968" s="31"/>
      <c r="K968" s="31"/>
      <c r="L968" s="35"/>
      <c r="M968" s="34"/>
      <c r="N968" s="35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8.75" customHeight="1">
      <c r="A969" s="31"/>
      <c r="B969" s="31"/>
      <c r="C969" s="36"/>
      <c r="D969" s="31"/>
      <c r="E969" s="31"/>
      <c r="F969" s="31"/>
      <c r="G969" s="31"/>
      <c r="H969" s="31"/>
      <c r="I969" s="34"/>
      <c r="J969" s="31"/>
      <c r="K969" s="31"/>
      <c r="L969" s="35"/>
      <c r="M969" s="34"/>
      <c r="N969" s="35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8.75" customHeight="1">
      <c r="A970" s="31"/>
      <c r="B970" s="31"/>
      <c r="C970" s="36"/>
      <c r="D970" s="31"/>
      <c r="E970" s="31"/>
      <c r="F970" s="31"/>
      <c r="G970" s="31"/>
      <c r="H970" s="31"/>
      <c r="I970" s="34"/>
      <c r="J970" s="31"/>
      <c r="K970" s="31"/>
      <c r="L970" s="35"/>
      <c r="M970" s="34"/>
      <c r="N970" s="35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8.75" customHeight="1">
      <c r="A971" s="31"/>
      <c r="B971" s="31"/>
      <c r="C971" s="36"/>
      <c r="D971" s="31"/>
      <c r="E971" s="31"/>
      <c r="F971" s="31"/>
      <c r="G971" s="31"/>
      <c r="H971" s="31"/>
      <c r="I971" s="34"/>
      <c r="J971" s="31"/>
      <c r="K971" s="31"/>
      <c r="L971" s="35"/>
      <c r="M971" s="34"/>
      <c r="N971" s="35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8.75" customHeight="1">
      <c r="A972" s="31"/>
      <c r="B972" s="31"/>
      <c r="C972" s="36"/>
      <c r="D972" s="31"/>
      <c r="E972" s="31"/>
      <c r="F972" s="31"/>
      <c r="G972" s="31"/>
      <c r="H972" s="31"/>
      <c r="I972" s="34"/>
      <c r="J972" s="31"/>
      <c r="K972" s="31"/>
      <c r="L972" s="35"/>
      <c r="M972" s="34"/>
      <c r="N972" s="35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8.75" customHeight="1">
      <c r="A973" s="31"/>
      <c r="B973" s="31"/>
      <c r="C973" s="36"/>
      <c r="D973" s="31"/>
      <c r="E973" s="31"/>
      <c r="F973" s="31"/>
      <c r="G973" s="31"/>
      <c r="H973" s="31"/>
      <c r="I973" s="34"/>
      <c r="J973" s="31"/>
      <c r="K973" s="31"/>
      <c r="L973" s="35"/>
      <c r="M973" s="34"/>
      <c r="N973" s="35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8.75" customHeight="1">
      <c r="A974" s="31"/>
      <c r="B974" s="31"/>
      <c r="C974" s="36"/>
      <c r="D974" s="31"/>
      <c r="E974" s="31"/>
      <c r="F974" s="31"/>
      <c r="G974" s="31"/>
      <c r="H974" s="31"/>
      <c r="I974" s="34"/>
      <c r="J974" s="31"/>
      <c r="K974" s="31"/>
      <c r="L974" s="35"/>
      <c r="M974" s="34"/>
      <c r="N974" s="35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8.75" customHeight="1">
      <c r="A975" s="31"/>
      <c r="B975" s="31"/>
      <c r="C975" s="36"/>
      <c r="D975" s="31"/>
      <c r="E975" s="31"/>
      <c r="F975" s="31"/>
      <c r="G975" s="31"/>
      <c r="H975" s="31"/>
      <c r="I975" s="34"/>
      <c r="J975" s="31"/>
      <c r="K975" s="31"/>
      <c r="L975" s="35"/>
      <c r="M975" s="34"/>
      <c r="N975" s="35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8.75" customHeight="1">
      <c r="A976" s="31"/>
      <c r="B976" s="31"/>
      <c r="C976" s="36"/>
      <c r="D976" s="31"/>
      <c r="E976" s="31"/>
      <c r="F976" s="31"/>
      <c r="G976" s="31"/>
      <c r="H976" s="31"/>
      <c r="I976" s="34"/>
      <c r="J976" s="31"/>
      <c r="K976" s="31"/>
      <c r="L976" s="35"/>
      <c r="M976" s="34"/>
      <c r="N976" s="35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8.75" customHeight="1">
      <c r="A977" s="31"/>
      <c r="B977" s="31"/>
      <c r="C977" s="36"/>
      <c r="D977" s="31"/>
      <c r="E977" s="31"/>
      <c r="F977" s="31"/>
      <c r="G977" s="31"/>
      <c r="H977" s="31"/>
      <c r="I977" s="34"/>
      <c r="J977" s="31"/>
      <c r="K977" s="31"/>
      <c r="L977" s="35"/>
      <c r="M977" s="34"/>
      <c r="N977" s="35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8.75" customHeight="1">
      <c r="A978" s="31"/>
      <c r="B978" s="31"/>
      <c r="C978" s="36"/>
      <c r="D978" s="31"/>
      <c r="E978" s="31"/>
      <c r="F978" s="31"/>
      <c r="G978" s="31"/>
      <c r="H978" s="31"/>
      <c r="I978" s="34"/>
      <c r="J978" s="31"/>
      <c r="K978" s="31"/>
      <c r="L978" s="35"/>
      <c r="M978" s="34"/>
      <c r="N978" s="35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8.75" customHeight="1">
      <c r="A979" s="31"/>
      <c r="B979" s="31"/>
      <c r="C979" s="36"/>
      <c r="D979" s="31"/>
      <c r="E979" s="31"/>
      <c r="F979" s="31"/>
      <c r="G979" s="31"/>
      <c r="H979" s="31"/>
      <c r="I979" s="34"/>
      <c r="J979" s="31"/>
      <c r="K979" s="31"/>
      <c r="L979" s="35"/>
      <c r="M979" s="34"/>
      <c r="N979" s="35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8.75" customHeight="1">
      <c r="A980" s="31"/>
      <c r="B980" s="31"/>
      <c r="C980" s="36"/>
      <c r="D980" s="31"/>
      <c r="E980" s="31"/>
      <c r="F980" s="31"/>
      <c r="G980" s="31"/>
      <c r="H980" s="31"/>
      <c r="I980" s="34"/>
      <c r="J980" s="31"/>
      <c r="K980" s="31"/>
      <c r="L980" s="35"/>
      <c r="M980" s="34"/>
      <c r="N980" s="35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8.75" customHeight="1">
      <c r="A981" s="31"/>
      <c r="B981" s="31"/>
      <c r="C981" s="36"/>
      <c r="D981" s="31"/>
      <c r="E981" s="31"/>
      <c r="F981" s="31"/>
      <c r="G981" s="31"/>
      <c r="H981" s="31"/>
      <c r="I981" s="34"/>
      <c r="J981" s="31"/>
      <c r="K981" s="31"/>
      <c r="L981" s="35"/>
      <c r="M981" s="34"/>
      <c r="N981" s="35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8.75" customHeight="1">
      <c r="A982" s="31"/>
      <c r="B982" s="31"/>
      <c r="C982" s="36"/>
      <c r="D982" s="31"/>
      <c r="E982" s="31"/>
      <c r="F982" s="31"/>
      <c r="G982" s="31"/>
      <c r="H982" s="31"/>
      <c r="I982" s="34"/>
      <c r="J982" s="31"/>
      <c r="K982" s="31"/>
      <c r="L982" s="35"/>
      <c r="M982" s="34"/>
      <c r="N982" s="35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8.75" customHeight="1">
      <c r="A983" s="31"/>
      <c r="B983" s="31"/>
      <c r="C983" s="36"/>
      <c r="D983" s="31"/>
      <c r="E983" s="31"/>
      <c r="F983" s="31"/>
      <c r="G983" s="31"/>
      <c r="H983" s="31"/>
      <c r="I983" s="34"/>
      <c r="J983" s="31"/>
      <c r="K983" s="31"/>
      <c r="L983" s="35"/>
      <c r="M983" s="34"/>
      <c r="N983" s="35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8.75" customHeight="1">
      <c r="A984" s="31"/>
      <c r="B984" s="31"/>
      <c r="C984" s="36"/>
      <c r="D984" s="31"/>
      <c r="E984" s="31"/>
      <c r="F984" s="31"/>
      <c r="G984" s="31"/>
      <c r="H984" s="31"/>
      <c r="I984" s="34"/>
      <c r="J984" s="31"/>
      <c r="K984" s="31"/>
      <c r="L984" s="35"/>
      <c r="M984" s="34"/>
      <c r="N984" s="35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8.75" customHeight="1">
      <c r="A985" s="31"/>
      <c r="B985" s="31"/>
      <c r="C985" s="36"/>
      <c r="D985" s="31"/>
      <c r="E985" s="31"/>
      <c r="F985" s="31"/>
      <c r="G985" s="31"/>
      <c r="H985" s="31"/>
      <c r="I985" s="34"/>
      <c r="J985" s="31"/>
      <c r="K985" s="31"/>
      <c r="L985" s="35"/>
      <c r="M985" s="34"/>
      <c r="N985" s="35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8.75" customHeight="1">
      <c r="A986" s="31"/>
      <c r="B986" s="31"/>
      <c r="C986" s="36"/>
      <c r="D986" s="31"/>
      <c r="E986" s="31"/>
      <c r="F986" s="31"/>
      <c r="G986" s="31"/>
      <c r="H986" s="31"/>
      <c r="I986" s="34"/>
      <c r="J986" s="31"/>
      <c r="K986" s="31"/>
      <c r="L986" s="35"/>
      <c r="M986" s="34"/>
      <c r="N986" s="35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8.75" customHeight="1">
      <c r="A987" s="31"/>
      <c r="B987" s="31"/>
      <c r="C987" s="36"/>
      <c r="D987" s="31"/>
      <c r="E987" s="31"/>
      <c r="F987" s="31"/>
      <c r="G987" s="31"/>
      <c r="H987" s="31"/>
      <c r="I987" s="34"/>
      <c r="J987" s="31"/>
      <c r="K987" s="31"/>
      <c r="L987" s="35"/>
      <c r="M987" s="34"/>
      <c r="N987" s="35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8.75" customHeight="1">
      <c r="A988" s="31"/>
      <c r="B988" s="31"/>
      <c r="C988" s="36"/>
      <c r="D988" s="31"/>
      <c r="E988" s="31"/>
      <c r="F988" s="31"/>
      <c r="G988" s="31"/>
      <c r="H988" s="31"/>
      <c r="I988" s="34"/>
      <c r="J988" s="31"/>
      <c r="K988" s="31"/>
      <c r="L988" s="35"/>
      <c r="M988" s="34"/>
      <c r="N988" s="35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8.75" customHeight="1">
      <c r="A989" s="31"/>
      <c r="B989" s="31"/>
      <c r="C989" s="36"/>
      <c r="D989" s="31"/>
      <c r="E989" s="31"/>
      <c r="F989" s="31"/>
      <c r="G989" s="31"/>
      <c r="H989" s="31"/>
      <c r="I989" s="34"/>
      <c r="J989" s="31"/>
      <c r="K989" s="31"/>
      <c r="L989" s="35"/>
      <c r="M989" s="34"/>
      <c r="N989" s="35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8.75" customHeight="1">
      <c r="A990" s="31"/>
      <c r="B990" s="31"/>
      <c r="C990" s="36"/>
      <c r="D990" s="31"/>
      <c r="E990" s="31"/>
      <c r="F990" s="31"/>
      <c r="G990" s="31"/>
      <c r="H990" s="31"/>
      <c r="I990" s="34"/>
      <c r="J990" s="31"/>
      <c r="K990" s="31"/>
      <c r="L990" s="35"/>
      <c r="M990" s="34"/>
      <c r="N990" s="35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8.75" customHeight="1">
      <c r="A991" s="31"/>
      <c r="B991" s="31"/>
      <c r="C991" s="36"/>
      <c r="D991" s="31"/>
      <c r="E991" s="31"/>
      <c r="F991" s="31"/>
      <c r="G991" s="31"/>
      <c r="H991" s="31"/>
      <c r="I991" s="34"/>
      <c r="J991" s="31"/>
      <c r="K991" s="31"/>
      <c r="L991" s="35"/>
      <c r="M991" s="34"/>
      <c r="N991" s="35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8.75" customHeight="1">
      <c r="A992" s="31"/>
      <c r="B992" s="31"/>
      <c r="C992" s="36"/>
      <c r="D992" s="31"/>
      <c r="E992" s="31"/>
      <c r="F992" s="31"/>
      <c r="G992" s="31"/>
      <c r="H992" s="31"/>
      <c r="I992" s="34"/>
      <c r="J992" s="31"/>
      <c r="K992" s="31"/>
      <c r="L992" s="35"/>
      <c r="M992" s="34"/>
      <c r="N992" s="35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8.75" customHeight="1">
      <c r="A993" s="31"/>
      <c r="B993" s="31"/>
      <c r="C993" s="36"/>
      <c r="D993" s="31"/>
      <c r="E993" s="31"/>
      <c r="F993" s="31"/>
      <c r="G993" s="31"/>
      <c r="H993" s="31"/>
      <c r="I993" s="34"/>
      <c r="J993" s="31"/>
      <c r="K993" s="31"/>
      <c r="L993" s="35"/>
      <c r="M993" s="34"/>
      <c r="N993" s="35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8.75" customHeight="1">
      <c r="A994" s="31"/>
      <c r="B994" s="31"/>
      <c r="C994" s="36"/>
      <c r="D994" s="31"/>
      <c r="E994" s="31"/>
      <c r="F994" s="31"/>
      <c r="G994" s="31"/>
      <c r="H994" s="31"/>
      <c r="I994" s="34"/>
      <c r="J994" s="31"/>
      <c r="K994" s="31"/>
      <c r="L994" s="35"/>
      <c r="M994" s="34"/>
      <c r="N994" s="35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8.75" customHeight="1">
      <c r="A995" s="31"/>
      <c r="B995" s="31"/>
      <c r="C995" s="36"/>
      <c r="D995" s="31"/>
      <c r="E995" s="31"/>
      <c r="F995" s="31"/>
      <c r="G995" s="31"/>
      <c r="H995" s="31"/>
      <c r="I995" s="34"/>
      <c r="J995" s="31"/>
      <c r="K995" s="31"/>
      <c r="L995" s="35"/>
      <c r="M995" s="34"/>
      <c r="N995" s="35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8.75" customHeight="1">
      <c r="A996" s="31"/>
      <c r="B996" s="31"/>
      <c r="C996" s="36"/>
      <c r="D996" s="31"/>
      <c r="E996" s="31"/>
      <c r="F996" s="31"/>
      <c r="G996" s="31"/>
      <c r="H996" s="31"/>
      <c r="I996" s="34"/>
      <c r="J996" s="31"/>
      <c r="K996" s="31"/>
      <c r="L996" s="35"/>
      <c r="M996" s="34"/>
      <c r="N996" s="35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8.75" customHeight="1">
      <c r="A997" s="31"/>
      <c r="B997" s="31"/>
      <c r="C997" s="36"/>
      <c r="D997" s="31"/>
      <c r="E997" s="31"/>
      <c r="F997" s="31"/>
      <c r="G997" s="31"/>
      <c r="H997" s="31"/>
      <c r="I997" s="34"/>
      <c r="J997" s="31"/>
      <c r="K997" s="31"/>
      <c r="L997" s="35"/>
      <c r="M997" s="34"/>
      <c r="N997" s="35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8.75" customHeight="1">
      <c r="A998" s="31"/>
      <c r="B998" s="31"/>
      <c r="C998" s="36"/>
      <c r="D998" s="31"/>
      <c r="E998" s="31"/>
      <c r="F998" s="31"/>
      <c r="G998" s="31"/>
      <c r="H998" s="31"/>
      <c r="I998" s="34"/>
      <c r="J998" s="31"/>
      <c r="K998" s="31"/>
      <c r="L998" s="35"/>
      <c r="M998" s="34"/>
      <c r="N998" s="35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8.75" customHeight="1">
      <c r="A999" s="31"/>
      <c r="B999" s="31"/>
      <c r="C999" s="36"/>
      <c r="D999" s="31"/>
      <c r="E999" s="31"/>
      <c r="F999" s="31"/>
      <c r="G999" s="31"/>
      <c r="H999" s="31"/>
      <c r="I999" s="34"/>
      <c r="J999" s="31"/>
      <c r="K999" s="31"/>
      <c r="L999" s="35"/>
      <c r="M999" s="34"/>
      <c r="N999" s="35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8.75" customHeight="1">
      <c r="A1000" s="31"/>
      <c r="B1000" s="31"/>
      <c r="C1000" s="36"/>
      <c r="D1000" s="31"/>
      <c r="E1000" s="31"/>
      <c r="F1000" s="31"/>
      <c r="G1000" s="31"/>
      <c r="H1000" s="31"/>
      <c r="I1000" s="34"/>
      <c r="J1000" s="31"/>
      <c r="K1000" s="31"/>
      <c r="L1000" s="35"/>
      <c r="M1000" s="34"/>
      <c r="N1000" s="35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ataValidations>
    <dataValidation type="list" allowBlank="1" showErrorMessage="1" sqref="F4:F174 F176:F308">
      <formula1>CVE</formula1>
    </dataValidation>
    <dataValidation type="list" allowBlank="1" showErrorMessage="1" sqref="D4:D174 D176:D308">
      <formula1>"H,M"</formula1>
    </dataValidation>
    <dataValidation type="list" allowBlank="1" showErrorMessage="1" sqref="E4:E174 E176:E308">
      <formula1>EdoCivil</formula1>
    </dataValidation>
    <dataValidation type="date" operator="greaterThan" allowBlank="1" showErrorMessage="1" sqref="I4:I174 I176:I308">
      <formula1>1.0</formula1>
    </dataValidation>
    <dataValidation type="list" allowBlank="1" showErrorMessage="1" sqref="G4:H174 G176:H308">
      <formula1>"SÍ,NO"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10.14"/>
    <col customWidth="1" min="3" max="3" width="33.43"/>
    <col customWidth="1" min="4" max="4" width="4.14"/>
    <col customWidth="1" min="5" max="5" width="4.29"/>
    <col customWidth="1" min="6" max="6" width="3.71"/>
    <col customWidth="1" min="7" max="7" width="6.14"/>
    <col customWidth="1" min="8" max="8" width="4.57"/>
    <col customWidth="1" min="9" max="9" width="9.86"/>
    <col customWidth="1" min="10" max="10" width="4.71"/>
    <col customWidth="1" min="11" max="11" width="13.0"/>
    <col customWidth="1" min="12" max="12" width="43.86"/>
    <col customWidth="1" min="13" max="13" width="13.43"/>
    <col customWidth="1" min="14" max="14" width="53.43"/>
    <col customWidth="1" min="15" max="26" width="10.71"/>
  </cols>
  <sheetData>
    <row r="1">
      <c r="A1" s="248"/>
      <c r="B1" s="248"/>
      <c r="C1" s="33" t="str">
        <f>"Total: "&amp;SUBTOTAL(3,$C$4:$C$39)</f>
        <v>Total: 36</v>
      </c>
      <c r="D1" s="248"/>
      <c r="E1" s="248"/>
      <c r="F1" s="248"/>
      <c r="G1" s="248">
        <f>434-37+7</f>
        <v>404</v>
      </c>
      <c r="H1" s="248"/>
      <c r="I1" s="249"/>
      <c r="J1" s="248"/>
      <c r="K1" s="248"/>
      <c r="L1" s="250"/>
      <c r="M1" s="250"/>
      <c r="N1" s="250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>
      <c r="A2" s="248"/>
      <c r="B2" s="248"/>
      <c r="C2" s="250"/>
      <c r="D2" s="248"/>
      <c r="E2" s="248"/>
      <c r="F2" s="248"/>
      <c r="G2" s="248"/>
      <c r="H2" s="248"/>
      <c r="I2" s="249"/>
      <c r="J2" s="248"/>
      <c r="K2" s="248"/>
      <c r="L2" s="250"/>
      <c r="M2" s="250"/>
      <c r="N2" s="250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</row>
    <row r="3" ht="24.75" customHeight="1">
      <c r="A3" s="251" t="s">
        <v>103</v>
      </c>
      <c r="B3" s="252" t="s">
        <v>104</v>
      </c>
      <c r="C3" s="251" t="s">
        <v>105</v>
      </c>
      <c r="D3" s="251" t="s">
        <v>106</v>
      </c>
      <c r="E3" s="251" t="s">
        <v>2209</v>
      </c>
      <c r="F3" s="253" t="s">
        <v>107</v>
      </c>
      <c r="G3" s="253" t="s">
        <v>108</v>
      </c>
      <c r="H3" s="253" t="s">
        <v>109</v>
      </c>
      <c r="I3" s="254" t="s">
        <v>110</v>
      </c>
      <c r="J3" s="255" t="s">
        <v>111</v>
      </c>
      <c r="K3" s="255" t="s">
        <v>112</v>
      </c>
      <c r="L3" s="255" t="s">
        <v>113</v>
      </c>
      <c r="M3" s="255" t="s">
        <v>2271</v>
      </c>
      <c r="N3" s="253" t="s">
        <v>115</v>
      </c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>
      <c r="A4" s="256">
        <f t="shared" ref="A4:A48" si="1">IF(D4="","",COUNTA($D$4:D4))</f>
        <v>1</v>
      </c>
      <c r="B4" s="56" t="str">
        <f t="shared" ref="B4:B19" si="2">IF(C4="","",D4&amp;F4&amp;COUNTIFS($D$4:D4,D4,$F$4:F4,F4))</f>
        <v>MB1</v>
      </c>
      <c r="C4" s="57" t="s">
        <v>1122</v>
      </c>
      <c r="D4" s="56" t="s">
        <v>128</v>
      </c>
      <c r="E4" s="56" t="s">
        <v>22</v>
      </c>
      <c r="F4" s="56" t="s">
        <v>7</v>
      </c>
      <c r="G4" s="56" t="s">
        <v>118</v>
      </c>
      <c r="H4" s="56" t="s">
        <v>118</v>
      </c>
      <c r="I4" s="59">
        <v>26724.0</v>
      </c>
      <c r="J4" s="56">
        <f t="shared" ref="J4:J196" si="3">IF(C4="","",DATEDIF(I4,TODAY(),"Y"))</f>
        <v>53</v>
      </c>
      <c r="K4" s="56">
        <v>3.321305852E9</v>
      </c>
      <c r="L4" s="60" t="s">
        <v>1123</v>
      </c>
      <c r="M4" s="59" t="s">
        <v>2272</v>
      </c>
      <c r="N4" s="60" t="s">
        <v>2273</v>
      </c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</row>
    <row r="5">
      <c r="A5" s="256">
        <f t="shared" si="1"/>
        <v>2</v>
      </c>
      <c r="B5" s="56" t="str">
        <f t="shared" si="2"/>
        <v>MB2</v>
      </c>
      <c r="C5" s="57" t="s">
        <v>1463</v>
      </c>
      <c r="D5" s="56" t="s">
        <v>128</v>
      </c>
      <c r="E5" s="56" t="s">
        <v>40</v>
      </c>
      <c r="F5" s="56" t="s">
        <v>7</v>
      </c>
      <c r="G5" s="56" t="s">
        <v>118</v>
      </c>
      <c r="H5" s="56"/>
      <c r="I5" s="59"/>
      <c r="J5" s="56">
        <f t="shared" si="3"/>
        <v>126</v>
      </c>
      <c r="K5" s="56"/>
      <c r="L5" s="60" t="s">
        <v>602</v>
      </c>
      <c r="M5" s="59" t="s">
        <v>2272</v>
      </c>
      <c r="N5" s="60" t="s">
        <v>2274</v>
      </c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</row>
    <row r="6">
      <c r="A6" s="256">
        <f t="shared" si="1"/>
        <v>3</v>
      </c>
      <c r="B6" s="56" t="str">
        <f t="shared" si="2"/>
        <v>HB1</v>
      </c>
      <c r="C6" s="57" t="s">
        <v>1389</v>
      </c>
      <c r="D6" s="56" t="s">
        <v>117</v>
      </c>
      <c r="E6" s="56" t="s">
        <v>22</v>
      </c>
      <c r="F6" s="56" t="s">
        <v>7</v>
      </c>
      <c r="G6" s="56" t="s">
        <v>118</v>
      </c>
      <c r="H6" s="56" t="s">
        <v>118</v>
      </c>
      <c r="I6" s="59">
        <v>26666.0</v>
      </c>
      <c r="J6" s="56">
        <f t="shared" si="3"/>
        <v>53</v>
      </c>
      <c r="K6" s="56">
        <v>3.334090315E9</v>
      </c>
      <c r="L6" s="60" t="s">
        <v>1390</v>
      </c>
      <c r="M6" s="256" t="s">
        <v>2272</v>
      </c>
      <c r="N6" s="60" t="s">
        <v>2275</v>
      </c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</row>
    <row r="7">
      <c r="A7" s="256">
        <f t="shared" si="1"/>
        <v>4</v>
      </c>
      <c r="B7" s="56" t="str">
        <f t="shared" si="2"/>
        <v>HB2</v>
      </c>
      <c r="C7" s="57" t="s">
        <v>387</v>
      </c>
      <c r="D7" s="56" t="s">
        <v>117</v>
      </c>
      <c r="E7" s="56" t="s">
        <v>140</v>
      </c>
      <c r="F7" s="56" t="s">
        <v>7</v>
      </c>
      <c r="G7" s="56" t="s">
        <v>118</v>
      </c>
      <c r="H7" s="56" t="s">
        <v>118</v>
      </c>
      <c r="I7" s="59">
        <v>24143.0</v>
      </c>
      <c r="J7" s="56">
        <f t="shared" si="3"/>
        <v>60</v>
      </c>
      <c r="K7" s="56">
        <v>3.310730329E9</v>
      </c>
      <c r="L7" s="60" t="s">
        <v>388</v>
      </c>
      <c r="M7" s="256" t="s">
        <v>2272</v>
      </c>
      <c r="N7" s="60" t="s">
        <v>2276</v>
      </c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</row>
    <row r="8">
      <c r="A8" s="256">
        <f t="shared" si="1"/>
        <v>5</v>
      </c>
      <c r="B8" s="56" t="str">
        <f t="shared" si="2"/>
        <v>HB3</v>
      </c>
      <c r="C8" s="57" t="s">
        <v>293</v>
      </c>
      <c r="D8" s="56" t="s">
        <v>117</v>
      </c>
      <c r="E8" s="56" t="s">
        <v>34</v>
      </c>
      <c r="F8" s="56" t="s">
        <v>7</v>
      </c>
      <c r="G8" s="56" t="s">
        <v>118</v>
      </c>
      <c r="H8" s="56" t="s">
        <v>118</v>
      </c>
      <c r="I8" s="59">
        <v>27422.0</v>
      </c>
      <c r="J8" s="56">
        <f t="shared" si="3"/>
        <v>51</v>
      </c>
      <c r="K8" s="56">
        <v>3.315513498E9</v>
      </c>
      <c r="L8" s="60" t="s">
        <v>294</v>
      </c>
      <c r="M8" s="256" t="s">
        <v>2272</v>
      </c>
      <c r="N8" s="60" t="s">
        <v>2277</v>
      </c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>
      <c r="A9" s="256">
        <f t="shared" si="1"/>
        <v>6</v>
      </c>
      <c r="B9" s="56" t="str">
        <f t="shared" si="2"/>
        <v>HB4</v>
      </c>
      <c r="C9" s="57" t="s">
        <v>777</v>
      </c>
      <c r="D9" s="56" t="s">
        <v>117</v>
      </c>
      <c r="E9" s="56" t="s">
        <v>40</v>
      </c>
      <c r="F9" s="56" t="s">
        <v>7</v>
      </c>
      <c r="G9" s="56" t="s">
        <v>118</v>
      </c>
      <c r="H9" s="56" t="s">
        <v>118</v>
      </c>
      <c r="I9" s="59">
        <v>36900.0</v>
      </c>
      <c r="J9" s="56">
        <f t="shared" si="3"/>
        <v>25</v>
      </c>
      <c r="K9" s="56">
        <v>3.314177458E9</v>
      </c>
      <c r="L9" s="60" t="s">
        <v>778</v>
      </c>
      <c r="M9" s="256" t="s">
        <v>2272</v>
      </c>
      <c r="N9" s="60" t="s">
        <v>2278</v>
      </c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</row>
    <row r="10">
      <c r="A10" s="256">
        <f t="shared" si="1"/>
        <v>7</v>
      </c>
      <c r="B10" s="56" t="str">
        <f t="shared" si="2"/>
        <v>HB5</v>
      </c>
      <c r="C10" s="57" t="s">
        <v>1638</v>
      </c>
      <c r="D10" s="56" t="s">
        <v>117</v>
      </c>
      <c r="E10" s="56" t="s">
        <v>34</v>
      </c>
      <c r="F10" s="56" t="s">
        <v>7</v>
      </c>
      <c r="G10" s="56" t="s">
        <v>118</v>
      </c>
      <c r="H10" s="56" t="s">
        <v>118</v>
      </c>
      <c r="I10" s="59">
        <v>30430.0</v>
      </c>
      <c r="J10" s="56">
        <f t="shared" si="3"/>
        <v>43</v>
      </c>
      <c r="K10" s="56">
        <v>3.311257608E9</v>
      </c>
      <c r="L10" s="60" t="s">
        <v>1639</v>
      </c>
      <c r="M10" s="256" t="s">
        <v>2279</v>
      </c>
      <c r="N10" s="60" t="s">
        <v>2280</v>
      </c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</row>
    <row r="11">
      <c r="A11" s="256">
        <f t="shared" si="1"/>
        <v>8</v>
      </c>
      <c r="B11" s="56" t="str">
        <f t="shared" si="2"/>
        <v>HB6</v>
      </c>
      <c r="C11" s="57" t="s">
        <v>1490</v>
      </c>
      <c r="D11" s="56" t="s">
        <v>117</v>
      </c>
      <c r="E11" s="56" t="s">
        <v>140</v>
      </c>
      <c r="F11" s="56" t="s">
        <v>7</v>
      </c>
      <c r="G11" s="56" t="s">
        <v>118</v>
      </c>
      <c r="H11" s="56" t="s">
        <v>118</v>
      </c>
      <c r="I11" s="59">
        <v>12256.0</v>
      </c>
      <c r="J11" s="56">
        <f t="shared" si="3"/>
        <v>92</v>
      </c>
      <c r="K11" s="56">
        <v>3.333074E7</v>
      </c>
      <c r="L11" s="60" t="s">
        <v>1491</v>
      </c>
      <c r="M11" s="256" t="s">
        <v>2279</v>
      </c>
      <c r="N11" s="60" t="s">
        <v>2281</v>
      </c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</row>
    <row r="12">
      <c r="A12" s="256">
        <f t="shared" si="1"/>
        <v>9</v>
      </c>
      <c r="B12" s="56" t="str">
        <f t="shared" si="2"/>
        <v>MB3</v>
      </c>
      <c r="C12" s="57" t="s">
        <v>396</v>
      </c>
      <c r="D12" s="56" t="s">
        <v>128</v>
      </c>
      <c r="E12" s="56" t="s">
        <v>34</v>
      </c>
      <c r="F12" s="56" t="s">
        <v>7</v>
      </c>
      <c r="G12" s="56" t="s">
        <v>118</v>
      </c>
      <c r="H12" s="56" t="s">
        <v>118</v>
      </c>
      <c r="I12" s="59">
        <v>20335.0</v>
      </c>
      <c r="J12" s="56">
        <f t="shared" si="3"/>
        <v>70</v>
      </c>
      <c r="K12" s="56">
        <v>3.511431661E9</v>
      </c>
      <c r="L12" s="60" t="s">
        <v>397</v>
      </c>
      <c r="M12" s="256" t="s">
        <v>2279</v>
      </c>
      <c r="N12" s="60" t="s">
        <v>2282</v>
      </c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</row>
    <row r="13">
      <c r="A13" s="256">
        <f t="shared" si="1"/>
        <v>10</v>
      </c>
      <c r="B13" s="56" t="str">
        <f t="shared" si="2"/>
        <v>MB4</v>
      </c>
      <c r="C13" s="57" t="s">
        <v>1361</v>
      </c>
      <c r="D13" s="56" t="s">
        <v>128</v>
      </c>
      <c r="E13" s="56" t="s">
        <v>22</v>
      </c>
      <c r="F13" s="56" t="s">
        <v>7</v>
      </c>
      <c r="G13" s="56" t="s">
        <v>118</v>
      </c>
      <c r="H13" s="56" t="s">
        <v>118</v>
      </c>
      <c r="I13" s="59">
        <v>28303.0</v>
      </c>
      <c r="J13" s="56">
        <f t="shared" si="3"/>
        <v>48</v>
      </c>
      <c r="K13" s="56">
        <v>3.312470335E9</v>
      </c>
      <c r="L13" s="60" t="s">
        <v>1362</v>
      </c>
      <c r="M13" s="256" t="s">
        <v>2279</v>
      </c>
      <c r="N13" s="60" t="s">
        <v>2283</v>
      </c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</row>
    <row r="14">
      <c r="A14" s="256">
        <f t="shared" si="1"/>
        <v>11</v>
      </c>
      <c r="B14" s="56" t="str">
        <f t="shared" si="2"/>
        <v>MB5</v>
      </c>
      <c r="C14" s="57" t="s">
        <v>1955</v>
      </c>
      <c r="D14" s="56" t="s">
        <v>128</v>
      </c>
      <c r="E14" s="56" t="s">
        <v>22</v>
      </c>
      <c r="F14" s="56" t="s">
        <v>7</v>
      </c>
      <c r="G14" s="56" t="s">
        <v>118</v>
      </c>
      <c r="H14" s="56" t="s">
        <v>118</v>
      </c>
      <c r="I14" s="59">
        <v>28008.0</v>
      </c>
      <c r="J14" s="56">
        <f t="shared" si="3"/>
        <v>49</v>
      </c>
      <c r="K14" s="56">
        <v>3.311766639E9</v>
      </c>
      <c r="L14" s="60" t="s">
        <v>1956</v>
      </c>
      <c r="M14" s="256" t="s">
        <v>2279</v>
      </c>
      <c r="N14" s="60" t="s">
        <v>2284</v>
      </c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</row>
    <row r="15">
      <c r="A15" s="256">
        <f t="shared" si="1"/>
        <v>12</v>
      </c>
      <c r="B15" s="56" t="str">
        <f t="shared" si="2"/>
        <v>HB7</v>
      </c>
      <c r="C15" s="57" t="s">
        <v>813</v>
      </c>
      <c r="D15" s="56" t="s">
        <v>117</v>
      </c>
      <c r="E15" s="56" t="s">
        <v>22</v>
      </c>
      <c r="F15" s="56" t="s">
        <v>7</v>
      </c>
      <c r="G15" s="56" t="s">
        <v>118</v>
      </c>
      <c r="H15" s="56" t="s">
        <v>118</v>
      </c>
      <c r="I15" s="59">
        <v>29242.0</v>
      </c>
      <c r="J15" s="56">
        <f t="shared" si="3"/>
        <v>46</v>
      </c>
      <c r="K15" s="56">
        <v>3.317048266E9</v>
      </c>
      <c r="L15" s="60" t="s">
        <v>814</v>
      </c>
      <c r="M15" s="256" t="s">
        <v>2279</v>
      </c>
      <c r="N15" s="60" t="s">
        <v>2284</v>
      </c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>
      <c r="A16" s="256">
        <f t="shared" si="1"/>
        <v>13</v>
      </c>
      <c r="B16" s="56" t="str">
        <f t="shared" si="2"/>
        <v>HB8</v>
      </c>
      <c r="C16" s="57" t="s">
        <v>1102</v>
      </c>
      <c r="D16" s="56" t="s">
        <v>117</v>
      </c>
      <c r="E16" s="56" t="s">
        <v>22</v>
      </c>
      <c r="F16" s="56" t="s">
        <v>7</v>
      </c>
      <c r="G16" s="56" t="s">
        <v>118</v>
      </c>
      <c r="H16" s="56" t="s">
        <v>118</v>
      </c>
      <c r="I16" s="59">
        <v>30805.0</v>
      </c>
      <c r="J16" s="56">
        <f t="shared" si="3"/>
        <v>41</v>
      </c>
      <c r="K16" s="56">
        <v>3.320581284E9</v>
      </c>
      <c r="L16" s="60" t="s">
        <v>2285</v>
      </c>
      <c r="M16" s="257">
        <v>43101.0</v>
      </c>
      <c r="N16" s="60" t="s">
        <v>2286</v>
      </c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</row>
    <row r="17">
      <c r="A17" s="256">
        <f t="shared" si="1"/>
        <v>14</v>
      </c>
      <c r="B17" s="56" t="str">
        <f t="shared" si="2"/>
        <v>MB6</v>
      </c>
      <c r="C17" s="57" t="s">
        <v>562</v>
      </c>
      <c r="D17" s="56" t="s">
        <v>128</v>
      </c>
      <c r="E17" s="56" t="s">
        <v>28</v>
      </c>
      <c r="F17" s="56" t="s">
        <v>7</v>
      </c>
      <c r="G17" s="56" t="s">
        <v>118</v>
      </c>
      <c r="H17" s="56" t="s">
        <v>118</v>
      </c>
      <c r="I17" s="59">
        <v>31952.0</v>
      </c>
      <c r="J17" s="56">
        <f t="shared" si="3"/>
        <v>38</v>
      </c>
      <c r="K17" s="56">
        <v>3.314895765E9</v>
      </c>
      <c r="L17" s="60" t="s">
        <v>563</v>
      </c>
      <c r="M17" s="59">
        <v>43101.0</v>
      </c>
      <c r="N17" s="60" t="s">
        <v>2286</v>
      </c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</row>
    <row r="18">
      <c r="A18" s="256">
        <f t="shared" si="1"/>
        <v>15</v>
      </c>
      <c r="B18" s="56" t="str">
        <f t="shared" si="2"/>
        <v>MB7</v>
      </c>
      <c r="C18" s="57" t="s">
        <v>1557</v>
      </c>
      <c r="D18" s="56" t="s">
        <v>128</v>
      </c>
      <c r="E18" s="56" t="s">
        <v>34</v>
      </c>
      <c r="F18" s="56" t="s">
        <v>7</v>
      </c>
      <c r="G18" s="56" t="s">
        <v>118</v>
      </c>
      <c r="H18" s="56" t="s">
        <v>118</v>
      </c>
      <c r="I18" s="59">
        <v>25420.0</v>
      </c>
      <c r="J18" s="56">
        <f t="shared" si="3"/>
        <v>56</v>
      </c>
      <c r="K18" s="56"/>
      <c r="L18" s="60" t="s">
        <v>1558</v>
      </c>
      <c r="M18" s="257">
        <v>43101.0</v>
      </c>
      <c r="N18" s="60" t="s">
        <v>2287</v>
      </c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</row>
    <row r="19">
      <c r="A19" s="256">
        <f t="shared" si="1"/>
        <v>16</v>
      </c>
      <c r="B19" s="56" t="str">
        <f t="shared" si="2"/>
        <v>HB9</v>
      </c>
      <c r="C19" s="57" t="s">
        <v>686</v>
      </c>
      <c r="D19" s="56" t="s">
        <v>117</v>
      </c>
      <c r="E19" s="56" t="s">
        <v>16</v>
      </c>
      <c r="F19" s="56" t="s">
        <v>7</v>
      </c>
      <c r="G19" s="56" t="s">
        <v>118</v>
      </c>
      <c r="H19" s="56" t="s">
        <v>165</v>
      </c>
      <c r="I19" s="59">
        <v>20552.0</v>
      </c>
      <c r="J19" s="56">
        <f t="shared" si="3"/>
        <v>70</v>
      </c>
      <c r="K19" s="56"/>
      <c r="L19" s="60" t="s">
        <v>687</v>
      </c>
      <c r="M19" s="257">
        <v>42979.0</v>
      </c>
      <c r="N19" s="60" t="s">
        <v>2288</v>
      </c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</row>
    <row r="20">
      <c r="A20" s="256">
        <f t="shared" si="1"/>
        <v>17</v>
      </c>
      <c r="B20" s="56"/>
      <c r="C20" s="57" t="s">
        <v>164</v>
      </c>
      <c r="D20" s="56" t="s">
        <v>117</v>
      </c>
      <c r="E20" s="56" t="s">
        <v>40</v>
      </c>
      <c r="F20" s="56" t="s">
        <v>7</v>
      </c>
      <c r="G20" s="56" t="s">
        <v>165</v>
      </c>
      <c r="H20" s="56" t="s">
        <v>118</v>
      </c>
      <c r="I20" s="59">
        <v>37258.0</v>
      </c>
      <c r="J20" s="56">
        <f t="shared" si="3"/>
        <v>24</v>
      </c>
      <c r="K20" s="56">
        <v>3.331385646E9</v>
      </c>
      <c r="L20" s="60" t="s">
        <v>166</v>
      </c>
      <c r="M20" s="59">
        <v>43132.0</v>
      </c>
      <c r="N20" s="60" t="s">
        <v>2289</v>
      </c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</row>
    <row r="21" ht="15.75" customHeight="1">
      <c r="A21" s="256">
        <f t="shared" si="1"/>
        <v>18</v>
      </c>
      <c r="B21" s="56"/>
      <c r="C21" s="57" t="s">
        <v>935</v>
      </c>
      <c r="D21" s="56" t="s">
        <v>117</v>
      </c>
      <c r="E21" s="56" t="s">
        <v>40</v>
      </c>
      <c r="F21" s="56" t="s">
        <v>7</v>
      </c>
      <c r="G21" s="56" t="s">
        <v>118</v>
      </c>
      <c r="H21" s="56" t="s">
        <v>118</v>
      </c>
      <c r="I21" s="59">
        <v>36865.0</v>
      </c>
      <c r="J21" s="56">
        <f t="shared" si="3"/>
        <v>25</v>
      </c>
      <c r="K21" s="56">
        <v>3.339057472E9</v>
      </c>
      <c r="L21" s="60" t="s">
        <v>936</v>
      </c>
      <c r="M21" s="59">
        <v>43132.0</v>
      </c>
      <c r="N21" s="60" t="s">
        <v>2290</v>
      </c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</row>
    <row r="22" ht="15.75" customHeight="1">
      <c r="A22" s="256">
        <f t="shared" si="1"/>
        <v>19</v>
      </c>
      <c r="B22" s="56"/>
      <c r="C22" s="57" t="s">
        <v>735</v>
      </c>
      <c r="D22" s="56" t="s">
        <v>128</v>
      </c>
      <c r="E22" s="56" t="s">
        <v>34</v>
      </c>
      <c r="F22" s="56" t="s">
        <v>7</v>
      </c>
      <c r="G22" s="56" t="s">
        <v>118</v>
      </c>
      <c r="H22" s="56" t="s">
        <v>118</v>
      </c>
      <c r="I22" s="59">
        <v>31226.0</v>
      </c>
      <c r="J22" s="56">
        <f t="shared" si="3"/>
        <v>40</v>
      </c>
      <c r="K22" s="56">
        <v>3.31781076E9</v>
      </c>
      <c r="L22" s="60" t="s">
        <v>736</v>
      </c>
      <c r="M22" s="59">
        <v>43132.0</v>
      </c>
      <c r="N22" s="60" t="s">
        <v>2291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256">
        <f t="shared" si="1"/>
        <v>20</v>
      </c>
      <c r="B23" s="56"/>
      <c r="C23" s="57" t="s">
        <v>2076</v>
      </c>
      <c r="D23" s="56" t="s">
        <v>117</v>
      </c>
      <c r="E23" s="56" t="s">
        <v>40</v>
      </c>
      <c r="F23" s="56" t="s">
        <v>7</v>
      </c>
      <c r="G23" s="56" t="s">
        <v>118</v>
      </c>
      <c r="H23" s="56" t="s">
        <v>118</v>
      </c>
      <c r="I23" s="59">
        <v>37138.0</v>
      </c>
      <c r="J23" s="56">
        <f t="shared" si="3"/>
        <v>24</v>
      </c>
      <c r="K23" s="56" t="s">
        <v>2077</v>
      </c>
      <c r="L23" s="60" t="s">
        <v>2078</v>
      </c>
      <c r="M23" s="257">
        <v>43132.0</v>
      </c>
      <c r="N23" s="60" t="s">
        <v>2292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256">
        <f t="shared" si="1"/>
        <v>21</v>
      </c>
      <c r="B24" s="56"/>
      <c r="C24" s="57" t="s">
        <v>1206</v>
      </c>
      <c r="D24" s="56" t="s">
        <v>117</v>
      </c>
      <c r="E24" s="56" t="s">
        <v>446</v>
      </c>
      <c r="F24" s="56" t="s">
        <v>7</v>
      </c>
      <c r="G24" s="56" t="s">
        <v>118</v>
      </c>
      <c r="H24" s="56" t="s">
        <v>118</v>
      </c>
      <c r="I24" s="59">
        <v>34162.0</v>
      </c>
      <c r="J24" s="56">
        <f t="shared" si="3"/>
        <v>32</v>
      </c>
      <c r="K24" s="56">
        <v>3.320681505E9</v>
      </c>
      <c r="L24" s="60" t="s">
        <v>1207</v>
      </c>
      <c r="M24" s="257">
        <v>43132.0</v>
      </c>
      <c r="N24" s="60" t="s">
        <v>2293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256">
        <f t="shared" si="1"/>
        <v>22</v>
      </c>
      <c r="B25" s="56"/>
      <c r="C25" s="57" t="s">
        <v>261</v>
      </c>
      <c r="D25" s="56" t="s">
        <v>117</v>
      </c>
      <c r="E25" s="56" t="s">
        <v>40</v>
      </c>
      <c r="F25" s="56" t="s">
        <v>7</v>
      </c>
      <c r="G25" s="56" t="s">
        <v>118</v>
      </c>
      <c r="H25" s="56" t="s">
        <v>118</v>
      </c>
      <c r="I25" s="59">
        <v>36515.0</v>
      </c>
      <c r="J25" s="56">
        <f t="shared" si="3"/>
        <v>26</v>
      </c>
      <c r="K25" s="56">
        <v>3.6041152E7</v>
      </c>
      <c r="L25" s="60" t="s">
        <v>262</v>
      </c>
      <c r="M25" s="257">
        <v>43132.0</v>
      </c>
      <c r="N25" s="60" t="s">
        <v>2292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256">
        <f t="shared" si="1"/>
        <v>23</v>
      </c>
      <c r="B26" s="56"/>
      <c r="C26" s="57" t="s">
        <v>1036</v>
      </c>
      <c r="D26" s="56" t="s">
        <v>128</v>
      </c>
      <c r="E26" s="56" t="s">
        <v>22</v>
      </c>
      <c r="F26" s="56" t="s">
        <v>7</v>
      </c>
      <c r="G26" s="56" t="s">
        <v>118</v>
      </c>
      <c r="H26" s="56" t="s">
        <v>118</v>
      </c>
      <c r="I26" s="59">
        <v>30977.0</v>
      </c>
      <c r="J26" s="56">
        <f t="shared" si="3"/>
        <v>41</v>
      </c>
      <c r="K26" s="56">
        <v>3.33181795E9</v>
      </c>
      <c r="L26" s="60" t="s">
        <v>1037</v>
      </c>
      <c r="M26" s="257">
        <v>43132.0</v>
      </c>
      <c r="N26" s="60" t="s">
        <v>2294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256">
        <f t="shared" si="1"/>
        <v>24</v>
      </c>
      <c r="B27" s="56"/>
      <c r="C27" s="57" t="s">
        <v>772</v>
      </c>
      <c r="D27" s="56" t="s">
        <v>128</v>
      </c>
      <c r="E27" s="56" t="s">
        <v>34</v>
      </c>
      <c r="F27" s="56" t="s">
        <v>7</v>
      </c>
      <c r="G27" s="56" t="s">
        <v>118</v>
      </c>
      <c r="H27" s="56" t="s">
        <v>118</v>
      </c>
      <c r="I27" s="59">
        <v>17956.0</v>
      </c>
      <c r="J27" s="56">
        <f t="shared" si="3"/>
        <v>77</v>
      </c>
      <c r="K27" s="56">
        <v>3.310051031E9</v>
      </c>
      <c r="L27" s="60" t="s">
        <v>773</v>
      </c>
      <c r="M27" s="257">
        <v>43132.0</v>
      </c>
      <c r="N27" s="60" t="s">
        <v>2295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256">
        <f t="shared" si="1"/>
        <v>25</v>
      </c>
      <c r="B28" s="56"/>
      <c r="C28" s="81" t="s">
        <v>27</v>
      </c>
      <c r="D28" s="56" t="s">
        <v>128</v>
      </c>
      <c r="E28" s="56" t="s">
        <v>34</v>
      </c>
      <c r="F28" s="56" t="s">
        <v>24</v>
      </c>
      <c r="G28" s="56" t="s">
        <v>118</v>
      </c>
      <c r="H28" s="56" t="s">
        <v>118</v>
      </c>
      <c r="I28" s="59">
        <v>17644.0</v>
      </c>
      <c r="J28" s="56">
        <f t="shared" si="3"/>
        <v>78</v>
      </c>
      <c r="K28" s="56">
        <v>3.6980023E7</v>
      </c>
      <c r="L28" s="60" t="s">
        <v>1953</v>
      </c>
      <c r="M28" s="257">
        <v>43132.0</v>
      </c>
      <c r="N28" s="60" t="s">
        <v>2296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256">
        <f t="shared" si="1"/>
        <v>26</v>
      </c>
      <c r="B29" s="56"/>
      <c r="C29" s="57" t="s">
        <v>663</v>
      </c>
      <c r="D29" s="56" t="s">
        <v>128</v>
      </c>
      <c r="E29" s="56" t="s">
        <v>140</v>
      </c>
      <c r="F29" s="56" t="s">
        <v>7</v>
      </c>
      <c r="G29" s="56" t="s">
        <v>118</v>
      </c>
      <c r="H29" s="56" t="s">
        <v>118</v>
      </c>
      <c r="I29" s="59">
        <v>20606.0</v>
      </c>
      <c r="J29" s="56">
        <f t="shared" si="3"/>
        <v>69</v>
      </c>
      <c r="K29" s="56">
        <v>3.317917891E9</v>
      </c>
      <c r="L29" s="60" t="s">
        <v>664</v>
      </c>
      <c r="M29" s="257">
        <v>43132.0</v>
      </c>
      <c r="N29" s="60" t="s">
        <v>2292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256">
        <f t="shared" si="1"/>
        <v>27</v>
      </c>
      <c r="B30" s="56"/>
      <c r="C30" s="57" t="s">
        <v>1709</v>
      </c>
      <c r="D30" s="56" t="s">
        <v>128</v>
      </c>
      <c r="E30" s="56" t="s">
        <v>16</v>
      </c>
      <c r="F30" s="56" t="s">
        <v>7</v>
      </c>
      <c r="G30" s="56" t="s">
        <v>118</v>
      </c>
      <c r="H30" s="56" t="s">
        <v>165</v>
      </c>
      <c r="I30" s="59">
        <v>19874.0</v>
      </c>
      <c r="J30" s="56">
        <f t="shared" si="3"/>
        <v>71</v>
      </c>
      <c r="K30" s="56"/>
      <c r="L30" s="60" t="s">
        <v>687</v>
      </c>
      <c r="M30" s="257">
        <v>43132.0</v>
      </c>
      <c r="N30" s="60" t="s">
        <v>2292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256">
        <f t="shared" si="1"/>
        <v>28</v>
      </c>
      <c r="B31" s="56"/>
      <c r="C31" s="57" t="s">
        <v>153</v>
      </c>
      <c r="D31" s="56" t="s">
        <v>128</v>
      </c>
      <c r="E31" s="56" t="s">
        <v>28</v>
      </c>
      <c r="F31" s="56" t="s">
        <v>7</v>
      </c>
      <c r="G31" s="56" t="s">
        <v>118</v>
      </c>
      <c r="H31" s="56" t="s">
        <v>118</v>
      </c>
      <c r="I31" s="59">
        <v>33129.0</v>
      </c>
      <c r="J31" s="56">
        <f t="shared" si="3"/>
        <v>35</v>
      </c>
      <c r="K31" s="56">
        <v>3.313833507E9</v>
      </c>
      <c r="L31" s="60" t="s">
        <v>154</v>
      </c>
      <c r="M31" s="257">
        <v>43132.0</v>
      </c>
      <c r="N31" s="60" t="s">
        <v>2292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256">
        <f t="shared" si="1"/>
        <v>29</v>
      </c>
      <c r="B32" s="56"/>
      <c r="C32" s="57" t="s">
        <v>1328</v>
      </c>
      <c r="D32" s="56" t="s">
        <v>128</v>
      </c>
      <c r="E32" s="56" t="s">
        <v>40</v>
      </c>
      <c r="F32" s="56" t="s">
        <v>7</v>
      </c>
      <c r="G32" s="56" t="s">
        <v>118</v>
      </c>
      <c r="H32" s="56" t="s">
        <v>118</v>
      </c>
      <c r="I32" s="59">
        <v>35893.0</v>
      </c>
      <c r="J32" s="56">
        <f t="shared" si="3"/>
        <v>28</v>
      </c>
      <c r="K32" s="56">
        <v>3.321782248E9</v>
      </c>
      <c r="L32" s="60" t="s">
        <v>1329</v>
      </c>
      <c r="M32" s="257">
        <v>43132.0</v>
      </c>
      <c r="N32" s="60" t="s">
        <v>2297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256">
        <f t="shared" si="1"/>
        <v>30</v>
      </c>
      <c r="B33" s="56"/>
      <c r="C33" s="57" t="s">
        <v>280</v>
      </c>
      <c r="D33" s="56" t="s">
        <v>128</v>
      </c>
      <c r="E33" s="56" t="s">
        <v>40</v>
      </c>
      <c r="F33" s="56" t="s">
        <v>7</v>
      </c>
      <c r="G33" s="56" t="s">
        <v>118</v>
      </c>
      <c r="H33" s="56" t="s">
        <v>118</v>
      </c>
      <c r="I33" s="59">
        <v>36740.0</v>
      </c>
      <c r="J33" s="56">
        <f t="shared" si="3"/>
        <v>25</v>
      </c>
      <c r="K33" s="56">
        <v>3.315701826E9</v>
      </c>
      <c r="L33" s="60" t="s">
        <v>281</v>
      </c>
      <c r="M33" s="257">
        <v>43132.0</v>
      </c>
      <c r="N33" s="60" t="s">
        <v>2298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256">
        <f t="shared" si="1"/>
        <v>31</v>
      </c>
      <c r="B34" s="56"/>
      <c r="C34" s="57" t="s">
        <v>1497</v>
      </c>
      <c r="D34" s="56" t="s">
        <v>128</v>
      </c>
      <c r="E34" s="56" t="s">
        <v>40</v>
      </c>
      <c r="F34" s="56" t="s">
        <v>7</v>
      </c>
      <c r="G34" s="56" t="s">
        <v>118</v>
      </c>
      <c r="H34" s="56" t="s">
        <v>118</v>
      </c>
      <c r="I34" s="59">
        <v>34370.0</v>
      </c>
      <c r="J34" s="56">
        <f t="shared" si="3"/>
        <v>32</v>
      </c>
      <c r="K34" s="56">
        <v>3.311491425E9</v>
      </c>
      <c r="L34" s="60" t="s">
        <v>1499</v>
      </c>
      <c r="M34" s="257">
        <v>43132.0</v>
      </c>
      <c r="N34" s="60" t="s">
        <v>2297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256">
        <f t="shared" si="1"/>
        <v>32</v>
      </c>
      <c r="B35" s="56"/>
      <c r="C35" s="57" t="s">
        <v>1559</v>
      </c>
      <c r="D35" s="56" t="s">
        <v>128</v>
      </c>
      <c r="E35" s="56" t="s">
        <v>40</v>
      </c>
      <c r="F35" s="56" t="s">
        <v>7</v>
      </c>
      <c r="G35" s="56" t="s">
        <v>118</v>
      </c>
      <c r="H35" s="56" t="s">
        <v>118</v>
      </c>
      <c r="I35" s="59">
        <v>35073.0</v>
      </c>
      <c r="J35" s="56">
        <f t="shared" si="3"/>
        <v>30</v>
      </c>
      <c r="K35" s="56">
        <v>3.313078144E9</v>
      </c>
      <c r="L35" s="60" t="s">
        <v>1560</v>
      </c>
      <c r="M35" s="257">
        <v>43132.0</v>
      </c>
      <c r="N35" s="60" t="s">
        <v>2297</v>
      </c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256">
        <f t="shared" si="1"/>
        <v>33</v>
      </c>
      <c r="B36" s="56"/>
      <c r="C36" s="57" t="s">
        <v>2005</v>
      </c>
      <c r="D36" s="56" t="s">
        <v>128</v>
      </c>
      <c r="E36" s="56" t="s">
        <v>40</v>
      </c>
      <c r="F36" s="56" t="s">
        <v>7</v>
      </c>
      <c r="G36" s="56" t="s">
        <v>118</v>
      </c>
      <c r="H36" s="56" t="s">
        <v>118</v>
      </c>
      <c r="I36" s="59">
        <v>36127.0</v>
      </c>
      <c r="J36" s="56">
        <f t="shared" si="3"/>
        <v>27</v>
      </c>
      <c r="K36" s="56">
        <v>3.320919161E9</v>
      </c>
      <c r="L36" s="60" t="s">
        <v>2006</v>
      </c>
      <c r="M36" s="257">
        <v>43132.0</v>
      </c>
      <c r="N36" s="60" t="s">
        <v>2292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256">
        <f t="shared" si="1"/>
        <v>34</v>
      </c>
      <c r="B37" s="56"/>
      <c r="C37" s="57" t="s">
        <v>2007</v>
      </c>
      <c r="D37" s="56" t="s">
        <v>128</v>
      </c>
      <c r="E37" s="56" t="s">
        <v>446</v>
      </c>
      <c r="F37" s="56" t="s">
        <v>7</v>
      </c>
      <c r="G37" s="56" t="s">
        <v>118</v>
      </c>
      <c r="H37" s="56"/>
      <c r="I37" s="59">
        <v>32896.0</v>
      </c>
      <c r="J37" s="56">
        <f t="shared" si="3"/>
        <v>36</v>
      </c>
      <c r="K37" s="56">
        <v>3.319422219E9</v>
      </c>
      <c r="L37" s="60" t="s">
        <v>2008</v>
      </c>
      <c r="M37" s="257">
        <v>43132.0</v>
      </c>
      <c r="N37" s="60" t="s">
        <v>2292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256">
        <f t="shared" si="1"/>
        <v>35</v>
      </c>
      <c r="B38" s="56" t="str">
        <f t="shared" ref="B38:B47" si="4">IF(C38="","",D38&amp;F38&amp;COUNTIFS($D$4:D38,D38,$F$4:F38,F38))</f>
        <v>HMi1</v>
      </c>
      <c r="C38" s="57" t="s">
        <v>1523</v>
      </c>
      <c r="D38" s="56" t="s">
        <v>117</v>
      </c>
      <c r="E38" s="56" t="s">
        <v>40</v>
      </c>
      <c r="F38" s="56" t="s">
        <v>24</v>
      </c>
      <c r="G38" s="56" t="s">
        <v>118</v>
      </c>
      <c r="H38" s="56" t="s">
        <v>118</v>
      </c>
      <c r="I38" s="59">
        <v>35535.0</v>
      </c>
      <c r="J38" s="56">
        <f t="shared" si="3"/>
        <v>29</v>
      </c>
      <c r="K38" s="56">
        <v>3.317927906E9</v>
      </c>
      <c r="L38" s="60" t="s">
        <v>1524</v>
      </c>
      <c r="M38" s="257">
        <v>43160.0</v>
      </c>
      <c r="N38" s="60" t="s">
        <v>2299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256">
        <f t="shared" si="1"/>
        <v>36</v>
      </c>
      <c r="B39" s="56" t="str">
        <f t="shared" si="4"/>
        <v>HS1</v>
      </c>
      <c r="C39" s="57" t="s">
        <v>2095</v>
      </c>
      <c r="D39" s="56" t="s">
        <v>117</v>
      </c>
      <c r="E39" s="56" t="s">
        <v>40</v>
      </c>
      <c r="F39" s="56" t="s">
        <v>43</v>
      </c>
      <c r="G39" s="56" t="s">
        <v>118</v>
      </c>
      <c r="H39" s="56" t="s">
        <v>118</v>
      </c>
      <c r="I39" s="59">
        <v>36666.0</v>
      </c>
      <c r="J39" s="56">
        <f t="shared" si="3"/>
        <v>25</v>
      </c>
      <c r="K39" s="56">
        <v>3.335592703E9</v>
      </c>
      <c r="L39" s="60" t="s">
        <v>2096</v>
      </c>
      <c r="M39" s="257">
        <v>43160.0</v>
      </c>
      <c r="N39" s="6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256">
        <f t="shared" si="1"/>
        <v>37</v>
      </c>
      <c r="B40" s="56" t="str">
        <f t="shared" si="4"/>
        <v>MMi2</v>
      </c>
      <c r="C40" s="57" t="s">
        <v>1525</v>
      </c>
      <c r="D40" s="56" t="s">
        <v>128</v>
      </c>
      <c r="E40" s="56" t="s">
        <v>40</v>
      </c>
      <c r="F40" s="56" t="s">
        <v>24</v>
      </c>
      <c r="G40" s="56" t="s">
        <v>118</v>
      </c>
      <c r="H40" s="56" t="s">
        <v>118</v>
      </c>
      <c r="I40" s="59">
        <v>35030.0</v>
      </c>
      <c r="J40" s="56">
        <f t="shared" si="3"/>
        <v>30</v>
      </c>
      <c r="K40" s="56">
        <v>3.312614134E9</v>
      </c>
      <c r="L40" s="60" t="s">
        <v>1526</v>
      </c>
      <c r="M40" s="59" t="s">
        <v>2300</v>
      </c>
      <c r="N40" s="60" t="s">
        <v>2301</v>
      </c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</row>
    <row r="41" ht="15.75" customHeight="1">
      <c r="A41" s="256">
        <f t="shared" si="1"/>
        <v>38</v>
      </c>
      <c r="B41" s="56" t="str">
        <f t="shared" si="4"/>
        <v>HS2</v>
      </c>
      <c r="C41" s="57" t="s">
        <v>447</v>
      </c>
      <c r="D41" s="56" t="s">
        <v>117</v>
      </c>
      <c r="E41" s="56" t="s">
        <v>40</v>
      </c>
      <c r="F41" s="56" t="s">
        <v>43</v>
      </c>
      <c r="G41" s="56" t="s">
        <v>118</v>
      </c>
      <c r="H41" s="56" t="s">
        <v>118</v>
      </c>
      <c r="I41" s="59">
        <v>36673.0</v>
      </c>
      <c r="J41" s="56">
        <f t="shared" si="3"/>
        <v>25</v>
      </c>
      <c r="K41" s="56">
        <v>3.311746121E9</v>
      </c>
      <c r="L41" s="60" t="s">
        <v>448</v>
      </c>
      <c r="M41" s="59">
        <v>43160.0</v>
      </c>
      <c r="N41" s="60" t="s">
        <v>2302</v>
      </c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</row>
    <row r="42" ht="15.75" customHeight="1">
      <c r="A42" s="256">
        <f t="shared" si="1"/>
        <v>39</v>
      </c>
      <c r="B42" s="56" t="str">
        <f t="shared" si="4"/>
        <v>MMa1</v>
      </c>
      <c r="C42" s="57" t="s">
        <v>1655</v>
      </c>
      <c r="D42" s="56" t="s">
        <v>128</v>
      </c>
      <c r="E42" s="56" t="s">
        <v>140</v>
      </c>
      <c r="F42" s="56" t="s">
        <v>18</v>
      </c>
      <c r="G42" s="56" t="s">
        <v>118</v>
      </c>
      <c r="H42" s="56" t="s">
        <v>118</v>
      </c>
      <c r="I42" s="59">
        <v>25395.0</v>
      </c>
      <c r="J42" s="56">
        <f t="shared" si="3"/>
        <v>56</v>
      </c>
      <c r="K42" s="56">
        <v>3.315547657E9</v>
      </c>
      <c r="L42" s="60" t="s">
        <v>1656</v>
      </c>
      <c r="M42" s="59">
        <v>43191.0</v>
      </c>
      <c r="N42" s="60" t="s">
        <v>2303</v>
      </c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</row>
    <row r="43" ht="15.75" customHeight="1">
      <c r="A43" s="256">
        <f t="shared" si="1"/>
        <v>40</v>
      </c>
      <c r="B43" s="56" t="str">
        <f t="shared" si="4"/>
        <v>HS3</v>
      </c>
      <c r="C43" s="57" t="s">
        <v>344</v>
      </c>
      <c r="D43" s="56" t="s">
        <v>117</v>
      </c>
      <c r="E43" s="56" t="s">
        <v>40</v>
      </c>
      <c r="F43" s="56" t="s">
        <v>43</v>
      </c>
      <c r="G43" s="56" t="s">
        <v>118</v>
      </c>
      <c r="H43" s="56" t="s">
        <v>165</v>
      </c>
      <c r="I43" s="59">
        <v>36724.0</v>
      </c>
      <c r="J43" s="56">
        <f t="shared" si="3"/>
        <v>25</v>
      </c>
      <c r="K43" s="56">
        <v>3.319471406E9</v>
      </c>
      <c r="L43" s="60" t="s">
        <v>345</v>
      </c>
      <c r="M43" s="59">
        <v>43191.0</v>
      </c>
      <c r="N43" s="60" t="s">
        <v>2304</v>
      </c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</row>
    <row r="44" ht="15.75" customHeight="1">
      <c r="A44" s="256">
        <f t="shared" si="1"/>
        <v>41</v>
      </c>
      <c r="B44" s="56" t="str">
        <f t="shared" si="4"/>
        <v>MB20</v>
      </c>
      <c r="C44" s="57" t="s">
        <v>1426</v>
      </c>
      <c r="D44" s="56" t="s">
        <v>128</v>
      </c>
      <c r="E44" s="56" t="s">
        <v>40</v>
      </c>
      <c r="F44" s="56" t="s">
        <v>7</v>
      </c>
      <c r="G44" s="56" t="s">
        <v>165</v>
      </c>
      <c r="H44" s="56" t="s">
        <v>118</v>
      </c>
      <c r="I44" s="59">
        <v>35534.0</v>
      </c>
      <c r="J44" s="56">
        <f t="shared" si="3"/>
        <v>29</v>
      </c>
      <c r="K44" s="56">
        <v>3.31300103E9</v>
      </c>
      <c r="L44" s="60" t="s">
        <v>1427</v>
      </c>
      <c r="M44" s="59">
        <v>43132.0</v>
      </c>
      <c r="N44" s="60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</row>
    <row r="45" ht="15.75" customHeight="1">
      <c r="A45" s="256">
        <f t="shared" si="1"/>
        <v>42</v>
      </c>
      <c r="B45" s="56" t="str">
        <f t="shared" si="4"/>
        <v>MB21</v>
      </c>
      <c r="C45" s="57" t="s">
        <v>1838</v>
      </c>
      <c r="D45" s="56" t="s">
        <v>128</v>
      </c>
      <c r="E45" s="56" t="s">
        <v>16</v>
      </c>
      <c r="F45" s="56" t="s">
        <v>7</v>
      </c>
      <c r="G45" s="56" t="s">
        <v>118</v>
      </c>
      <c r="H45" s="56" t="s">
        <v>118</v>
      </c>
      <c r="I45" s="59">
        <v>24268.0</v>
      </c>
      <c r="J45" s="56">
        <f t="shared" si="3"/>
        <v>59</v>
      </c>
      <c r="K45" s="56">
        <v>3.32460688E9</v>
      </c>
      <c r="L45" s="60" t="s">
        <v>1839</v>
      </c>
      <c r="M45" s="59">
        <v>43235.0</v>
      </c>
      <c r="N45" s="60" t="s">
        <v>2305</v>
      </c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</row>
    <row r="46" ht="15.75" customHeight="1">
      <c r="A46" s="256">
        <f t="shared" si="1"/>
        <v>43</v>
      </c>
      <c r="B46" s="56" t="str">
        <f t="shared" si="4"/>
        <v>MB22</v>
      </c>
      <c r="C46" s="57" t="s">
        <v>1461</v>
      </c>
      <c r="D46" s="56" t="s">
        <v>128</v>
      </c>
      <c r="E46" s="56" t="s">
        <v>40</v>
      </c>
      <c r="F46" s="56" t="s">
        <v>7</v>
      </c>
      <c r="G46" s="56" t="s">
        <v>118</v>
      </c>
      <c r="H46" s="56" t="s">
        <v>118</v>
      </c>
      <c r="I46" s="59">
        <v>36387.0</v>
      </c>
      <c r="J46" s="56">
        <f t="shared" si="3"/>
        <v>26</v>
      </c>
      <c r="K46" s="56">
        <v>5.551026227E9</v>
      </c>
      <c r="L46" s="60" t="s">
        <v>1462</v>
      </c>
      <c r="M46" s="59">
        <v>43235.0</v>
      </c>
      <c r="N46" s="60" t="s">
        <v>2305</v>
      </c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</row>
    <row r="47" ht="15.75" customHeight="1">
      <c r="A47" s="256">
        <f t="shared" si="1"/>
        <v>44</v>
      </c>
      <c r="B47" s="56" t="str">
        <f t="shared" si="4"/>
        <v>HB15</v>
      </c>
      <c r="C47" s="57" t="s">
        <v>1210</v>
      </c>
      <c r="D47" s="56" t="s">
        <v>117</v>
      </c>
      <c r="E47" s="56" t="s">
        <v>446</v>
      </c>
      <c r="F47" s="56" t="s">
        <v>7</v>
      </c>
      <c r="G47" s="56" t="s">
        <v>118</v>
      </c>
      <c r="H47" s="56" t="s">
        <v>118</v>
      </c>
      <c r="I47" s="59">
        <v>34503.0</v>
      </c>
      <c r="J47" s="56">
        <f t="shared" si="3"/>
        <v>31</v>
      </c>
      <c r="K47" s="56">
        <v>3.321228447E9</v>
      </c>
      <c r="L47" s="60" t="s">
        <v>179</v>
      </c>
      <c r="M47" s="59">
        <v>43235.0</v>
      </c>
      <c r="N47" s="60" t="s">
        <v>2306</v>
      </c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</row>
    <row r="48" ht="15.75" customHeight="1">
      <c r="A48" s="256">
        <f t="shared" si="1"/>
        <v>45</v>
      </c>
      <c r="B48" s="56"/>
      <c r="C48" s="57" t="s">
        <v>319</v>
      </c>
      <c r="D48" s="56" t="s">
        <v>128</v>
      </c>
      <c r="E48" s="56" t="s">
        <v>28</v>
      </c>
      <c r="F48" s="56" t="s">
        <v>7</v>
      </c>
      <c r="G48" s="56" t="s">
        <v>118</v>
      </c>
      <c r="H48" s="56" t="s">
        <v>118</v>
      </c>
      <c r="I48" s="59">
        <v>32768.0</v>
      </c>
      <c r="J48" s="56">
        <f t="shared" si="3"/>
        <v>36</v>
      </c>
      <c r="K48" s="56">
        <v>3.339046591E9</v>
      </c>
      <c r="L48" s="60" t="s">
        <v>320</v>
      </c>
      <c r="M48" s="257">
        <v>43235.0</v>
      </c>
      <c r="N48" s="60" t="s">
        <v>2307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248"/>
      <c r="B49" s="56" t="str">
        <f t="shared" ref="B49:B51" si="5">IF(C49="","",D49&amp;F49&amp;COUNTIFS($D$4:D49,D49,$F$4:F49,F49))</f>
        <v>HB16</v>
      </c>
      <c r="C49" s="57" t="s">
        <v>2128</v>
      </c>
      <c r="D49" s="56" t="s">
        <v>117</v>
      </c>
      <c r="E49" s="56" t="s">
        <v>140</v>
      </c>
      <c r="F49" s="56" t="s">
        <v>7</v>
      </c>
      <c r="G49" s="56" t="s">
        <v>165</v>
      </c>
      <c r="H49" s="56" t="s">
        <v>118</v>
      </c>
      <c r="I49" s="59">
        <v>19315.0</v>
      </c>
      <c r="J49" s="56">
        <f t="shared" si="3"/>
        <v>73</v>
      </c>
      <c r="K49" s="56">
        <v>3.310550947E9</v>
      </c>
      <c r="L49" s="60" t="s">
        <v>2129</v>
      </c>
      <c r="M49" s="59">
        <v>43250.0</v>
      </c>
      <c r="N49" s="60" t="s">
        <v>2308</v>
      </c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</row>
    <row r="50" ht="15.75" customHeight="1">
      <c r="A50" s="248"/>
      <c r="B50" s="56" t="str">
        <f t="shared" si="5"/>
        <v>MS1</v>
      </c>
      <c r="C50" s="57" t="s">
        <v>1893</v>
      </c>
      <c r="D50" s="56" t="s">
        <v>128</v>
      </c>
      <c r="E50" s="56" t="s">
        <v>40</v>
      </c>
      <c r="F50" s="56" t="s">
        <v>43</v>
      </c>
      <c r="G50" s="56" t="s">
        <v>118</v>
      </c>
      <c r="H50" s="56" t="s">
        <v>118</v>
      </c>
      <c r="I50" s="59">
        <v>37023.0</v>
      </c>
      <c r="J50" s="56">
        <f t="shared" si="3"/>
        <v>24</v>
      </c>
      <c r="K50" s="56">
        <v>3.320594992E9</v>
      </c>
      <c r="L50" s="60" t="s">
        <v>1894</v>
      </c>
      <c r="M50" s="59">
        <v>43160.0</v>
      </c>
      <c r="N50" s="60" t="s">
        <v>2309</v>
      </c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</row>
    <row r="51" ht="15.75" customHeight="1">
      <c r="A51" s="248"/>
      <c r="B51" s="56" t="str">
        <f t="shared" si="5"/>
        <v>HB17</v>
      </c>
      <c r="C51" s="57" t="s">
        <v>601</v>
      </c>
      <c r="D51" s="56" t="s">
        <v>117</v>
      </c>
      <c r="E51" s="56" t="s">
        <v>40</v>
      </c>
      <c r="F51" s="56" t="s">
        <v>7</v>
      </c>
      <c r="G51" s="56" t="s">
        <v>118</v>
      </c>
      <c r="H51" s="56" t="s">
        <v>165</v>
      </c>
      <c r="I51" s="59"/>
      <c r="J51" s="56">
        <f t="shared" si="3"/>
        <v>126</v>
      </c>
      <c r="K51" s="56"/>
      <c r="L51" s="60" t="s">
        <v>602</v>
      </c>
      <c r="M51" s="59">
        <v>43281.0</v>
      </c>
      <c r="N51" s="60" t="s">
        <v>603</v>
      </c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</row>
    <row r="52" ht="15.75" customHeight="1">
      <c r="A52" s="248"/>
      <c r="B52" s="56"/>
      <c r="C52" s="57" t="s">
        <v>993</v>
      </c>
      <c r="D52" s="56" t="s">
        <v>117</v>
      </c>
      <c r="E52" s="56" t="s">
        <v>22</v>
      </c>
      <c r="F52" s="56" t="s">
        <v>7</v>
      </c>
      <c r="G52" s="56" t="s">
        <v>118</v>
      </c>
      <c r="H52" s="56" t="s">
        <v>118</v>
      </c>
      <c r="I52" s="59">
        <v>28237.0</v>
      </c>
      <c r="J52" s="56">
        <f t="shared" si="3"/>
        <v>49</v>
      </c>
      <c r="K52" s="56">
        <v>3.313580047E9</v>
      </c>
      <c r="L52" s="60" t="s">
        <v>994</v>
      </c>
      <c r="M52" s="59">
        <v>43281.0</v>
      </c>
      <c r="N52" s="60" t="s">
        <v>2310</v>
      </c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</row>
    <row r="53" ht="15.75" customHeight="1">
      <c r="A53" s="248"/>
      <c r="B53" s="56" t="str">
        <f t="shared" ref="B53:B161" si="6">IF(C53="","",D53&amp;F53&amp;COUNTIFS($D$4:D53,D53,$F$4:F53,F53))</f>
        <v>MB24</v>
      </c>
      <c r="C53" s="57" t="s">
        <v>1319</v>
      </c>
      <c r="D53" s="56" t="s">
        <v>128</v>
      </c>
      <c r="E53" s="56" t="s">
        <v>34</v>
      </c>
      <c r="F53" s="56" t="s">
        <v>7</v>
      </c>
      <c r="G53" s="56" t="s">
        <v>118</v>
      </c>
      <c r="H53" s="56" t="s">
        <v>118</v>
      </c>
      <c r="I53" s="59"/>
      <c r="J53" s="56">
        <f t="shared" si="3"/>
        <v>126</v>
      </c>
      <c r="K53" s="56">
        <v>3.541080321E9</v>
      </c>
      <c r="L53" s="60" t="s">
        <v>1320</v>
      </c>
      <c r="M53" s="59">
        <v>43281.0</v>
      </c>
      <c r="N53" s="60" t="s">
        <v>2311</v>
      </c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</row>
    <row r="54" ht="15.75" customHeight="1">
      <c r="A54" s="248"/>
      <c r="B54" s="56" t="str">
        <f t="shared" si="6"/>
        <v>MB25</v>
      </c>
      <c r="C54" s="57" t="s">
        <v>1881</v>
      </c>
      <c r="D54" s="56" t="s">
        <v>128</v>
      </c>
      <c r="E54" s="56" t="s">
        <v>34</v>
      </c>
      <c r="F54" s="56" t="s">
        <v>7</v>
      </c>
      <c r="G54" s="56" t="s">
        <v>118</v>
      </c>
      <c r="H54" s="56" t="s">
        <v>118</v>
      </c>
      <c r="I54" s="59">
        <v>19239.0</v>
      </c>
      <c r="J54" s="56">
        <f t="shared" si="3"/>
        <v>73</v>
      </c>
      <c r="K54" s="56" t="s">
        <v>223</v>
      </c>
      <c r="L54" s="60" t="s">
        <v>1882</v>
      </c>
      <c r="M54" s="59">
        <v>43252.0</v>
      </c>
      <c r="N54" s="60" t="s">
        <v>2281</v>
      </c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</row>
    <row r="55" ht="15.75" customHeight="1">
      <c r="A55" s="248"/>
      <c r="B55" s="56" t="str">
        <f t="shared" si="6"/>
        <v>MB26</v>
      </c>
      <c r="C55" s="57" t="s">
        <v>2104</v>
      </c>
      <c r="D55" s="56" t="s">
        <v>128</v>
      </c>
      <c r="E55" s="56" t="s">
        <v>40</v>
      </c>
      <c r="F55" s="56" t="s">
        <v>7</v>
      </c>
      <c r="G55" s="56" t="s">
        <v>118</v>
      </c>
      <c r="H55" s="56"/>
      <c r="I55" s="59">
        <v>36063.0</v>
      </c>
      <c r="J55" s="56">
        <f t="shared" si="3"/>
        <v>27</v>
      </c>
      <c r="K55" s="56">
        <v>3.321675785E9</v>
      </c>
      <c r="L55" s="60" t="s">
        <v>2105</v>
      </c>
      <c r="M55" s="59">
        <v>43281.0</v>
      </c>
      <c r="N55" s="60" t="s">
        <v>2312</v>
      </c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</row>
    <row r="56" ht="15.75" customHeight="1">
      <c r="A56" s="248"/>
      <c r="B56" s="56" t="str">
        <f t="shared" si="6"/>
        <v>MB27</v>
      </c>
      <c r="C56" s="57" t="s">
        <v>480</v>
      </c>
      <c r="D56" s="56" t="s">
        <v>128</v>
      </c>
      <c r="E56" s="56" t="s">
        <v>40</v>
      </c>
      <c r="F56" s="56" t="s">
        <v>7</v>
      </c>
      <c r="G56" s="56" t="s">
        <v>118</v>
      </c>
      <c r="H56" s="56" t="s">
        <v>118</v>
      </c>
      <c r="I56" s="59">
        <v>36085.0</v>
      </c>
      <c r="J56" s="56">
        <f t="shared" si="3"/>
        <v>27</v>
      </c>
      <c r="K56" s="56">
        <v>3.33458751E9</v>
      </c>
      <c r="L56" s="60" t="s">
        <v>481</v>
      </c>
      <c r="M56" s="59">
        <v>43281.0</v>
      </c>
      <c r="N56" s="60" t="s">
        <v>2312</v>
      </c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</row>
    <row r="57" ht="15.75" customHeight="1">
      <c r="A57" s="248"/>
      <c r="B57" s="56" t="str">
        <f t="shared" si="6"/>
        <v>MB28</v>
      </c>
      <c r="C57" s="81" t="s">
        <v>27</v>
      </c>
      <c r="D57" s="56" t="s">
        <v>128</v>
      </c>
      <c r="E57" s="56" t="s">
        <v>34</v>
      </c>
      <c r="F57" s="56" t="s">
        <v>7</v>
      </c>
      <c r="G57" s="56" t="s">
        <v>118</v>
      </c>
      <c r="H57" s="56" t="s">
        <v>118</v>
      </c>
      <c r="I57" s="59">
        <v>17644.0</v>
      </c>
      <c r="J57" s="56">
        <f t="shared" si="3"/>
        <v>78</v>
      </c>
      <c r="K57" s="56">
        <v>3.6980023E7</v>
      </c>
      <c r="L57" s="60" t="s">
        <v>1953</v>
      </c>
      <c r="M57" s="59">
        <v>43331.0</v>
      </c>
      <c r="N57" s="60" t="s">
        <v>2313</v>
      </c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</row>
    <row r="58" ht="15.75" customHeight="1">
      <c r="A58" s="248"/>
      <c r="B58" s="56" t="str">
        <f t="shared" si="6"/>
        <v>HB19</v>
      </c>
      <c r="C58" s="57" t="s">
        <v>1264</v>
      </c>
      <c r="D58" s="56" t="s">
        <v>117</v>
      </c>
      <c r="E58" s="56" t="s">
        <v>16</v>
      </c>
      <c r="F58" s="56" t="s">
        <v>7</v>
      </c>
      <c r="G58" s="56" t="s">
        <v>118</v>
      </c>
      <c r="H58" s="56" t="s">
        <v>118</v>
      </c>
      <c r="I58" s="59">
        <v>26167.0</v>
      </c>
      <c r="J58" s="56">
        <f t="shared" si="3"/>
        <v>54</v>
      </c>
      <c r="K58" s="56">
        <v>3.321892337E9</v>
      </c>
      <c r="L58" s="60" t="s">
        <v>1265</v>
      </c>
      <c r="M58" s="59">
        <v>43313.0</v>
      </c>
      <c r="N58" s="60" t="s">
        <v>2314</v>
      </c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</row>
    <row r="59" ht="15.75" customHeight="1">
      <c r="A59" s="248"/>
      <c r="B59" s="56" t="str">
        <f t="shared" si="6"/>
        <v>HB20</v>
      </c>
      <c r="C59" s="57" t="s">
        <v>1535</v>
      </c>
      <c r="D59" s="56" t="s">
        <v>117</v>
      </c>
      <c r="E59" s="56" t="s">
        <v>40</v>
      </c>
      <c r="F59" s="56" t="s">
        <v>7</v>
      </c>
      <c r="G59" s="56" t="s">
        <v>118</v>
      </c>
      <c r="H59" s="56" t="s">
        <v>118</v>
      </c>
      <c r="I59" s="59">
        <v>34213.0</v>
      </c>
      <c r="J59" s="56">
        <f t="shared" si="3"/>
        <v>32</v>
      </c>
      <c r="K59" s="56">
        <v>3.311316545E9</v>
      </c>
      <c r="L59" s="60"/>
      <c r="M59" s="59">
        <v>43343.0</v>
      </c>
      <c r="N59" s="60" t="s">
        <v>2315</v>
      </c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</row>
    <row r="60" ht="15.75" customHeight="1">
      <c r="A60" s="248"/>
      <c r="B60" s="56" t="str">
        <f t="shared" si="6"/>
        <v>MB29</v>
      </c>
      <c r="C60" s="57" t="s">
        <v>1623</v>
      </c>
      <c r="D60" s="56" t="s">
        <v>128</v>
      </c>
      <c r="E60" s="56" t="s">
        <v>40</v>
      </c>
      <c r="F60" s="56" t="s">
        <v>7</v>
      </c>
      <c r="G60" s="56" t="s">
        <v>118</v>
      </c>
      <c r="H60" s="56" t="s">
        <v>118</v>
      </c>
      <c r="I60" s="59">
        <v>37037.0</v>
      </c>
      <c r="J60" s="56">
        <f t="shared" si="3"/>
        <v>24</v>
      </c>
      <c r="K60" s="56">
        <v>7.771115331E9</v>
      </c>
      <c r="L60" s="60" t="s">
        <v>1624</v>
      </c>
      <c r="M60" s="59">
        <v>43343.0</v>
      </c>
      <c r="N60" s="60" t="s">
        <v>2316</v>
      </c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</row>
    <row r="61" ht="15.75" customHeight="1">
      <c r="A61" s="248"/>
      <c r="B61" s="56" t="str">
        <f t="shared" si="6"/>
        <v>MB30</v>
      </c>
      <c r="C61" s="57" t="s">
        <v>196</v>
      </c>
      <c r="D61" s="56" t="s">
        <v>128</v>
      </c>
      <c r="E61" s="56" t="s">
        <v>40</v>
      </c>
      <c r="F61" s="56" t="s">
        <v>7</v>
      </c>
      <c r="G61" s="56" t="s">
        <v>118</v>
      </c>
      <c r="H61" s="56" t="s">
        <v>118</v>
      </c>
      <c r="I61" s="59">
        <v>34240.0</v>
      </c>
      <c r="J61" s="56">
        <f t="shared" si="3"/>
        <v>32</v>
      </c>
      <c r="K61" s="56">
        <v>3.338285694E9</v>
      </c>
      <c r="L61" s="60" t="s">
        <v>197</v>
      </c>
      <c r="M61" s="59">
        <v>43348.0</v>
      </c>
      <c r="N61" s="60" t="s">
        <v>2317</v>
      </c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</row>
    <row r="62" ht="15.75" customHeight="1">
      <c r="A62" s="248"/>
      <c r="B62" s="56" t="str">
        <f t="shared" si="6"/>
        <v>MB31</v>
      </c>
      <c r="C62" s="57" t="s">
        <v>1642</v>
      </c>
      <c r="D62" s="56" t="s">
        <v>128</v>
      </c>
      <c r="E62" s="56" t="s">
        <v>40</v>
      </c>
      <c r="F62" s="56" t="s">
        <v>7</v>
      </c>
      <c r="G62" s="56" t="s">
        <v>118</v>
      </c>
      <c r="H62" s="56" t="s">
        <v>118</v>
      </c>
      <c r="I62" s="59">
        <v>36527.0</v>
      </c>
      <c r="J62" s="56">
        <f t="shared" si="3"/>
        <v>26</v>
      </c>
      <c r="K62" s="56">
        <v>3.319996068E9</v>
      </c>
      <c r="L62" s="60" t="s">
        <v>1305</v>
      </c>
      <c r="M62" s="59">
        <v>43348.0</v>
      </c>
      <c r="N62" s="60" t="s">
        <v>2312</v>
      </c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</row>
    <row r="63" ht="15.75" customHeight="1">
      <c r="A63" s="248"/>
      <c r="B63" s="56" t="str">
        <f t="shared" si="6"/>
        <v>MB32</v>
      </c>
      <c r="C63" s="57" t="s">
        <v>569</v>
      </c>
      <c r="D63" s="56" t="s">
        <v>128</v>
      </c>
      <c r="E63" s="56" t="s">
        <v>40</v>
      </c>
      <c r="F63" s="56" t="s">
        <v>7</v>
      </c>
      <c r="G63" s="56" t="s">
        <v>118</v>
      </c>
      <c r="H63" s="56" t="s">
        <v>118</v>
      </c>
      <c r="I63" s="59">
        <v>37395.0</v>
      </c>
      <c r="J63" s="56">
        <f t="shared" si="3"/>
        <v>23</v>
      </c>
      <c r="K63" s="56" t="s">
        <v>570</v>
      </c>
      <c r="L63" s="60" t="s">
        <v>568</v>
      </c>
      <c r="M63" s="59">
        <v>43365.0</v>
      </c>
      <c r="N63" s="60" t="s">
        <v>2318</v>
      </c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</row>
    <row r="64" ht="15.75" customHeight="1">
      <c r="A64" s="248"/>
      <c r="B64" s="56" t="str">
        <f t="shared" si="6"/>
        <v>HB21</v>
      </c>
      <c r="C64" s="57" t="s">
        <v>2319</v>
      </c>
      <c r="D64" s="56" t="s">
        <v>117</v>
      </c>
      <c r="E64" s="56" t="s">
        <v>40</v>
      </c>
      <c r="F64" s="56" t="s">
        <v>7</v>
      </c>
      <c r="G64" s="56" t="s">
        <v>118</v>
      </c>
      <c r="H64" s="56" t="s">
        <v>165</v>
      </c>
      <c r="I64" s="59"/>
      <c r="J64" s="56">
        <f t="shared" si="3"/>
        <v>126</v>
      </c>
      <c r="K64" s="56">
        <v>3.312554422E9</v>
      </c>
      <c r="L64" s="60"/>
      <c r="M64" s="59">
        <v>43374.0</v>
      </c>
      <c r="N64" s="60" t="s">
        <v>2320</v>
      </c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</row>
    <row r="65" ht="15.75" customHeight="1">
      <c r="A65" s="248"/>
      <c r="B65" s="56" t="str">
        <f t="shared" si="6"/>
        <v>HB22</v>
      </c>
      <c r="C65" s="57" t="s">
        <v>1074</v>
      </c>
      <c r="D65" s="56" t="s">
        <v>117</v>
      </c>
      <c r="E65" s="56" t="s">
        <v>22</v>
      </c>
      <c r="F65" s="56" t="s">
        <v>7</v>
      </c>
      <c r="G65" s="56" t="s">
        <v>118</v>
      </c>
      <c r="H65" s="56" t="s">
        <v>118</v>
      </c>
      <c r="I65" s="59">
        <v>31190.0</v>
      </c>
      <c r="J65" s="56">
        <f t="shared" si="3"/>
        <v>40</v>
      </c>
      <c r="K65" s="56">
        <v>3.314569087E9</v>
      </c>
      <c r="L65" s="60" t="s">
        <v>1075</v>
      </c>
      <c r="M65" s="59">
        <v>43382.0</v>
      </c>
      <c r="N65" s="60" t="s">
        <v>2321</v>
      </c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</row>
    <row r="66" ht="15.75" customHeight="1">
      <c r="A66" s="248"/>
      <c r="B66" s="56" t="str">
        <f t="shared" si="6"/>
        <v>HB23</v>
      </c>
      <c r="C66" s="57" t="s">
        <v>1414</v>
      </c>
      <c r="D66" s="56" t="s">
        <v>117</v>
      </c>
      <c r="E66" s="56" t="s">
        <v>40</v>
      </c>
      <c r="F66" s="56" t="s">
        <v>7</v>
      </c>
      <c r="G66" s="56" t="s">
        <v>118</v>
      </c>
      <c r="H66" s="56" t="s">
        <v>118</v>
      </c>
      <c r="I66" s="59">
        <v>35752.0</v>
      </c>
      <c r="J66" s="56">
        <f t="shared" si="3"/>
        <v>28</v>
      </c>
      <c r="K66" s="56">
        <v>3.323703718E9</v>
      </c>
      <c r="L66" s="60"/>
      <c r="M66" s="59">
        <v>43386.0</v>
      </c>
      <c r="N66" s="60" t="s">
        <v>2304</v>
      </c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</row>
    <row r="67" ht="15.75" customHeight="1">
      <c r="A67" s="248"/>
      <c r="B67" s="56" t="str">
        <f t="shared" si="6"/>
        <v>HB24</v>
      </c>
      <c r="C67" s="57" t="s">
        <v>1919</v>
      </c>
      <c r="D67" s="56" t="s">
        <v>117</v>
      </c>
      <c r="E67" s="56" t="s">
        <v>34</v>
      </c>
      <c r="F67" s="56" t="s">
        <v>7</v>
      </c>
      <c r="G67" s="56" t="s">
        <v>118</v>
      </c>
      <c r="H67" s="56" t="s">
        <v>118</v>
      </c>
      <c r="I67" s="59">
        <v>28237.0</v>
      </c>
      <c r="J67" s="56">
        <f t="shared" si="3"/>
        <v>49</v>
      </c>
      <c r="K67" s="56" t="s">
        <v>570</v>
      </c>
      <c r="L67" s="60"/>
      <c r="M67" s="59">
        <v>43390.0</v>
      </c>
      <c r="N67" s="60" t="s">
        <v>2276</v>
      </c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</row>
    <row r="68" ht="15.75" customHeight="1">
      <c r="A68" s="248"/>
      <c r="B68" s="56" t="str">
        <f t="shared" si="6"/>
        <v>MB33</v>
      </c>
      <c r="C68" s="57" t="s">
        <v>1613</v>
      </c>
      <c r="D68" s="56" t="s">
        <v>128</v>
      </c>
      <c r="E68" s="56" t="s">
        <v>34</v>
      </c>
      <c r="F68" s="56" t="s">
        <v>7</v>
      </c>
      <c r="G68" s="56" t="s">
        <v>118</v>
      </c>
      <c r="H68" s="56" t="s">
        <v>118</v>
      </c>
      <c r="I68" s="59">
        <v>27490.0</v>
      </c>
      <c r="J68" s="56">
        <f t="shared" si="3"/>
        <v>51</v>
      </c>
      <c r="K68" s="56">
        <v>3.317411092E9</v>
      </c>
      <c r="L68" s="60" t="s">
        <v>1614</v>
      </c>
      <c r="M68" s="59">
        <v>43403.0</v>
      </c>
      <c r="N68" s="60" t="s">
        <v>2322</v>
      </c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</row>
    <row r="69" ht="15.75" customHeight="1">
      <c r="A69" s="248"/>
      <c r="B69" s="56" t="str">
        <f t="shared" si="6"/>
        <v>HB25</v>
      </c>
      <c r="C69" s="57" t="s">
        <v>1510</v>
      </c>
      <c r="D69" s="56" t="s">
        <v>117</v>
      </c>
      <c r="E69" s="56" t="s">
        <v>40</v>
      </c>
      <c r="F69" s="56" t="s">
        <v>7</v>
      </c>
      <c r="G69" s="56" t="s">
        <v>118</v>
      </c>
      <c r="H69" s="56" t="s">
        <v>118</v>
      </c>
      <c r="I69" s="59">
        <v>36789.0</v>
      </c>
      <c r="J69" s="56">
        <f t="shared" si="3"/>
        <v>25</v>
      </c>
      <c r="K69" s="56">
        <v>3.338204301E9</v>
      </c>
      <c r="L69" s="60" t="s">
        <v>1507</v>
      </c>
      <c r="M69" s="59">
        <v>43387.0</v>
      </c>
      <c r="N69" s="60" t="s">
        <v>2323</v>
      </c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</row>
    <row r="70" ht="15.75" customHeight="1">
      <c r="A70" s="248"/>
      <c r="B70" s="56" t="str">
        <f t="shared" si="6"/>
        <v>MB34</v>
      </c>
      <c r="C70" s="57" t="s">
        <v>145</v>
      </c>
      <c r="D70" s="56" t="s">
        <v>128</v>
      </c>
      <c r="E70" s="56" t="s">
        <v>40</v>
      </c>
      <c r="F70" s="56" t="s">
        <v>7</v>
      </c>
      <c r="G70" s="56" t="s">
        <v>118</v>
      </c>
      <c r="H70" s="56" t="s">
        <v>118</v>
      </c>
      <c r="I70" s="59">
        <v>35717.0</v>
      </c>
      <c r="J70" s="56">
        <f t="shared" si="3"/>
        <v>28</v>
      </c>
      <c r="K70" s="56">
        <v>3.335902493E9</v>
      </c>
      <c r="L70" s="60" t="s">
        <v>146</v>
      </c>
      <c r="M70" s="59">
        <v>43387.0</v>
      </c>
      <c r="N70" s="60" t="s">
        <v>2324</v>
      </c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</row>
    <row r="71" ht="15.75" customHeight="1">
      <c r="A71" s="248"/>
      <c r="B71" s="56" t="str">
        <f t="shared" si="6"/>
        <v>HB26</v>
      </c>
      <c r="C71" s="57" t="s">
        <v>1138</v>
      </c>
      <c r="D71" s="56" t="s">
        <v>117</v>
      </c>
      <c r="E71" s="56" t="s">
        <v>40</v>
      </c>
      <c r="F71" s="56" t="s">
        <v>7</v>
      </c>
      <c r="G71" s="56" t="s">
        <v>118</v>
      </c>
      <c r="H71" s="56" t="s">
        <v>118</v>
      </c>
      <c r="I71" s="59">
        <v>36572.0</v>
      </c>
      <c r="J71" s="56">
        <f t="shared" si="3"/>
        <v>26</v>
      </c>
      <c r="K71" s="56">
        <v>3.312555404E9</v>
      </c>
      <c r="L71" s="60" t="s">
        <v>1139</v>
      </c>
      <c r="M71" s="59">
        <v>43387.0</v>
      </c>
      <c r="N71" s="60" t="s">
        <v>2325</v>
      </c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</row>
    <row r="72" ht="15.75" customHeight="1">
      <c r="A72" s="248"/>
      <c r="B72" s="56" t="str">
        <f t="shared" si="6"/>
        <v>MB35</v>
      </c>
      <c r="C72" s="57" t="s">
        <v>876</v>
      </c>
      <c r="D72" s="56" t="s">
        <v>128</v>
      </c>
      <c r="E72" s="56" t="s">
        <v>40</v>
      </c>
      <c r="F72" s="56" t="s">
        <v>7</v>
      </c>
      <c r="G72" s="56" t="s">
        <v>118</v>
      </c>
      <c r="H72" s="56" t="s">
        <v>118</v>
      </c>
      <c r="I72" s="59">
        <v>34321.0</v>
      </c>
      <c r="J72" s="56">
        <f t="shared" si="3"/>
        <v>32</v>
      </c>
      <c r="K72" s="56">
        <v>3.317582386E9</v>
      </c>
      <c r="L72" s="60" t="s">
        <v>877</v>
      </c>
      <c r="M72" s="59">
        <v>43387.0</v>
      </c>
      <c r="N72" s="60" t="s">
        <v>2326</v>
      </c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</row>
    <row r="73" ht="15.75" customHeight="1">
      <c r="A73" s="248"/>
      <c r="B73" s="56" t="str">
        <f t="shared" si="6"/>
        <v>MB36</v>
      </c>
      <c r="C73" s="57" t="s">
        <v>265</v>
      </c>
      <c r="D73" s="56" t="s">
        <v>128</v>
      </c>
      <c r="E73" s="56" t="s">
        <v>40</v>
      </c>
      <c r="F73" s="56" t="s">
        <v>7</v>
      </c>
      <c r="G73" s="56" t="s">
        <v>118</v>
      </c>
      <c r="H73" s="56" t="s">
        <v>118</v>
      </c>
      <c r="I73" s="59">
        <v>35341.0</v>
      </c>
      <c r="J73" s="56">
        <f t="shared" si="3"/>
        <v>29</v>
      </c>
      <c r="K73" s="56">
        <v>3.319991628E9</v>
      </c>
      <c r="L73" s="60" t="s">
        <v>266</v>
      </c>
      <c r="M73" s="59">
        <v>43387.0</v>
      </c>
      <c r="N73" s="60" t="s">
        <v>2327</v>
      </c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</row>
    <row r="74" ht="15.75" customHeight="1">
      <c r="A74" s="248"/>
      <c r="B74" s="56" t="str">
        <f t="shared" si="6"/>
        <v>MB37</v>
      </c>
      <c r="C74" s="57" t="s">
        <v>270</v>
      </c>
      <c r="D74" s="56" t="s">
        <v>128</v>
      </c>
      <c r="E74" s="56" t="s">
        <v>40</v>
      </c>
      <c r="F74" s="56" t="s">
        <v>7</v>
      </c>
      <c r="G74" s="56" t="s">
        <v>118</v>
      </c>
      <c r="H74" s="56" t="s">
        <v>118</v>
      </c>
      <c r="I74" s="59">
        <v>36918.0</v>
      </c>
      <c r="J74" s="56">
        <f t="shared" si="3"/>
        <v>25</v>
      </c>
      <c r="K74" s="56">
        <v>2.0167835E7</v>
      </c>
      <c r="L74" s="60" t="s">
        <v>268</v>
      </c>
      <c r="M74" s="59">
        <v>43387.0</v>
      </c>
      <c r="N74" s="60" t="s">
        <v>2328</v>
      </c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</row>
    <row r="75" ht="15.75" customHeight="1">
      <c r="A75" s="248"/>
      <c r="B75" s="56" t="str">
        <f t="shared" si="6"/>
        <v>HB27</v>
      </c>
      <c r="C75" s="57" t="s">
        <v>1840</v>
      </c>
      <c r="D75" s="56" t="s">
        <v>117</v>
      </c>
      <c r="E75" s="56" t="s">
        <v>40</v>
      </c>
      <c r="F75" s="56" t="s">
        <v>7</v>
      </c>
      <c r="G75" s="56" t="s">
        <v>118</v>
      </c>
      <c r="H75" s="56" t="s">
        <v>118</v>
      </c>
      <c r="I75" s="59">
        <v>34223.0</v>
      </c>
      <c r="J75" s="56">
        <f t="shared" si="3"/>
        <v>32</v>
      </c>
      <c r="K75" s="56">
        <v>3.317366742E9</v>
      </c>
      <c r="L75" s="60" t="s">
        <v>1841</v>
      </c>
      <c r="M75" s="59">
        <v>43387.0</v>
      </c>
      <c r="N75" s="60" t="s">
        <v>2328</v>
      </c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</row>
    <row r="76" ht="15.75" customHeight="1">
      <c r="A76" s="248"/>
      <c r="B76" s="56" t="str">
        <f t="shared" si="6"/>
        <v>HB28</v>
      </c>
      <c r="C76" s="57" t="s">
        <v>825</v>
      </c>
      <c r="D76" s="56" t="s">
        <v>117</v>
      </c>
      <c r="E76" s="56" t="s">
        <v>40</v>
      </c>
      <c r="F76" s="56" t="s">
        <v>7</v>
      </c>
      <c r="G76" s="56" t="s">
        <v>118</v>
      </c>
      <c r="H76" s="56" t="s">
        <v>118</v>
      </c>
      <c r="I76" s="59">
        <v>31407.0</v>
      </c>
      <c r="J76" s="56">
        <f t="shared" si="3"/>
        <v>40</v>
      </c>
      <c r="K76" s="56">
        <v>3.332019874E9</v>
      </c>
      <c r="L76" s="60" t="s">
        <v>2245</v>
      </c>
      <c r="M76" s="59">
        <v>43387.0</v>
      </c>
      <c r="N76" s="60" t="s">
        <v>2329</v>
      </c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</row>
    <row r="77" ht="15.75" customHeight="1">
      <c r="A77" s="248"/>
      <c r="B77" s="56" t="str">
        <f t="shared" si="6"/>
        <v>MB38</v>
      </c>
      <c r="C77" s="57" t="s">
        <v>263</v>
      </c>
      <c r="D77" s="56" t="s">
        <v>128</v>
      </c>
      <c r="E77" s="56" t="s">
        <v>40</v>
      </c>
      <c r="F77" s="56" t="s">
        <v>7</v>
      </c>
      <c r="G77" s="56" t="s">
        <v>118</v>
      </c>
      <c r="H77" s="56" t="s">
        <v>118</v>
      </c>
      <c r="I77" s="59">
        <v>36460.0</v>
      </c>
      <c r="J77" s="56">
        <f t="shared" si="3"/>
        <v>26</v>
      </c>
      <c r="K77" s="56">
        <v>3.311197259E9</v>
      </c>
      <c r="L77" s="60" t="s">
        <v>264</v>
      </c>
      <c r="M77" s="59">
        <v>43387.0</v>
      </c>
      <c r="N77" s="60" t="s">
        <v>2330</v>
      </c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</row>
    <row r="78" ht="15.75" customHeight="1">
      <c r="A78" s="248"/>
      <c r="B78" s="56" t="str">
        <f t="shared" si="6"/>
        <v>HB29</v>
      </c>
      <c r="C78" s="57" t="s">
        <v>850</v>
      </c>
      <c r="D78" s="56" t="s">
        <v>117</v>
      </c>
      <c r="E78" s="56" t="s">
        <v>40</v>
      </c>
      <c r="F78" s="56" t="s">
        <v>7</v>
      </c>
      <c r="G78" s="56" t="s">
        <v>118</v>
      </c>
      <c r="H78" s="56" t="s">
        <v>118</v>
      </c>
      <c r="I78" s="59">
        <v>36856.0</v>
      </c>
      <c r="J78" s="56">
        <f t="shared" si="3"/>
        <v>25</v>
      </c>
      <c r="K78" s="56">
        <v>3.319262031E9</v>
      </c>
      <c r="L78" s="60" t="s">
        <v>851</v>
      </c>
      <c r="M78" s="59">
        <v>43387.0</v>
      </c>
      <c r="N78" s="60" t="s">
        <v>2331</v>
      </c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</row>
    <row r="79" ht="15.75" customHeight="1">
      <c r="A79" s="248"/>
      <c r="B79" s="56" t="str">
        <f t="shared" si="6"/>
        <v>MB39</v>
      </c>
      <c r="C79" s="57" t="s">
        <v>1321</v>
      </c>
      <c r="D79" s="56" t="s">
        <v>128</v>
      </c>
      <c r="E79" s="56" t="s">
        <v>140</v>
      </c>
      <c r="F79" s="56" t="s">
        <v>7</v>
      </c>
      <c r="G79" s="56" t="s">
        <v>118</v>
      </c>
      <c r="H79" s="56" t="s">
        <v>118</v>
      </c>
      <c r="I79" s="59">
        <v>24283.0</v>
      </c>
      <c r="J79" s="56">
        <f t="shared" si="3"/>
        <v>59</v>
      </c>
      <c r="K79" s="56">
        <v>3.337236242E9</v>
      </c>
      <c r="L79" s="60" t="s">
        <v>1322</v>
      </c>
      <c r="M79" s="59" t="s">
        <v>2332</v>
      </c>
      <c r="N79" s="60" t="s">
        <v>2333</v>
      </c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</row>
    <row r="80" ht="15.75" customHeight="1">
      <c r="A80" s="248"/>
      <c r="B80" s="56" t="str">
        <f t="shared" si="6"/>
        <v>HB30</v>
      </c>
      <c r="C80" s="57" t="s">
        <v>1152</v>
      </c>
      <c r="D80" s="56" t="s">
        <v>117</v>
      </c>
      <c r="E80" s="56" t="s">
        <v>40</v>
      </c>
      <c r="F80" s="56" t="s">
        <v>7</v>
      </c>
      <c r="G80" s="56" t="s">
        <v>118</v>
      </c>
      <c r="H80" s="56" t="s">
        <v>118</v>
      </c>
      <c r="I80" s="59">
        <v>34395.0</v>
      </c>
      <c r="J80" s="56">
        <f t="shared" si="3"/>
        <v>32</v>
      </c>
      <c r="K80" s="56">
        <v>3.316717383E9</v>
      </c>
      <c r="L80" s="60" t="s">
        <v>1153</v>
      </c>
      <c r="M80" s="59">
        <v>43422.0</v>
      </c>
      <c r="N80" s="60" t="s">
        <v>2334</v>
      </c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</row>
    <row r="81" ht="15.75" customHeight="1">
      <c r="A81" s="248"/>
      <c r="B81" s="56" t="str">
        <f t="shared" si="6"/>
        <v>HB31</v>
      </c>
      <c r="C81" s="57" t="s">
        <v>524</v>
      </c>
      <c r="D81" s="56" t="s">
        <v>117</v>
      </c>
      <c r="E81" s="56" t="s">
        <v>40</v>
      </c>
      <c r="F81" s="56" t="s">
        <v>7</v>
      </c>
      <c r="G81" s="56" t="s">
        <v>118</v>
      </c>
      <c r="H81" s="56" t="s">
        <v>118</v>
      </c>
      <c r="I81" s="59">
        <v>33422.0</v>
      </c>
      <c r="J81" s="56">
        <f t="shared" si="3"/>
        <v>34</v>
      </c>
      <c r="K81" s="56">
        <v>3.317209345E9</v>
      </c>
      <c r="L81" s="60" t="s">
        <v>525</v>
      </c>
      <c r="M81" s="59">
        <v>43420.0</v>
      </c>
      <c r="N81" s="60" t="s">
        <v>2335</v>
      </c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</row>
    <row r="82" ht="15.75" customHeight="1">
      <c r="A82" s="248"/>
      <c r="B82" s="56" t="str">
        <f t="shared" si="6"/>
        <v>HB32</v>
      </c>
      <c r="C82" s="57" t="s">
        <v>1255</v>
      </c>
      <c r="D82" s="56" t="s">
        <v>117</v>
      </c>
      <c r="E82" s="56" t="s">
        <v>40</v>
      </c>
      <c r="F82" s="56" t="s">
        <v>7</v>
      </c>
      <c r="G82" s="56" t="s">
        <v>118</v>
      </c>
      <c r="H82" s="56" t="s">
        <v>118</v>
      </c>
      <c r="I82" s="59">
        <v>36904.0</v>
      </c>
      <c r="J82" s="56">
        <f t="shared" si="3"/>
        <v>25</v>
      </c>
      <c r="K82" s="56">
        <v>3.320712775E9</v>
      </c>
      <c r="L82" s="60" t="s">
        <v>1249</v>
      </c>
      <c r="M82" s="258">
        <v>43434.0</v>
      </c>
      <c r="N82" s="250" t="s">
        <v>318</v>
      </c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</row>
    <row r="83" ht="15.75" customHeight="1">
      <c r="A83" s="248"/>
      <c r="B83" s="56" t="str">
        <f t="shared" si="6"/>
        <v>MMa2</v>
      </c>
      <c r="C83" s="57" t="s">
        <v>2069</v>
      </c>
      <c r="D83" s="56" t="s">
        <v>128</v>
      </c>
      <c r="E83" s="56" t="s">
        <v>40</v>
      </c>
      <c r="F83" s="56" t="s">
        <v>18</v>
      </c>
      <c r="G83" s="56" t="s">
        <v>118</v>
      </c>
      <c r="H83" s="56" t="s">
        <v>118</v>
      </c>
      <c r="I83" s="59">
        <v>36378.0</v>
      </c>
      <c r="J83" s="56">
        <f t="shared" si="3"/>
        <v>26</v>
      </c>
      <c r="K83" s="56">
        <v>3.318298858E9</v>
      </c>
      <c r="L83" s="60" t="s">
        <v>2070</v>
      </c>
      <c r="M83" s="258">
        <v>43472.0</v>
      </c>
      <c r="N83" s="250" t="s">
        <v>2312</v>
      </c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</row>
    <row r="84" ht="15.75" customHeight="1">
      <c r="A84" s="248"/>
      <c r="B84" s="56" t="str">
        <f t="shared" si="6"/>
        <v>MMa3</v>
      </c>
      <c r="C84" s="57" t="s">
        <v>1453</v>
      </c>
      <c r="D84" s="56" t="s">
        <v>128</v>
      </c>
      <c r="E84" s="56" t="s">
        <v>34</v>
      </c>
      <c r="F84" s="56" t="s">
        <v>18</v>
      </c>
      <c r="G84" s="56" t="s">
        <v>118</v>
      </c>
      <c r="H84" s="56" t="s">
        <v>118</v>
      </c>
      <c r="I84" s="59">
        <v>24706.0</v>
      </c>
      <c r="J84" s="56">
        <f t="shared" si="3"/>
        <v>58</v>
      </c>
      <c r="K84" s="56">
        <v>3.313443677E9</v>
      </c>
      <c r="L84" s="60" t="s">
        <v>1454</v>
      </c>
      <c r="M84" s="59">
        <v>43486.0</v>
      </c>
      <c r="N84" s="60" t="s">
        <v>2336</v>
      </c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</row>
    <row r="85" ht="15.75" customHeight="1">
      <c r="A85" s="248"/>
      <c r="B85" s="56" t="str">
        <f t="shared" si="6"/>
        <v>HB33</v>
      </c>
      <c r="C85" s="57" t="s">
        <v>1663</v>
      </c>
      <c r="D85" s="56" t="s">
        <v>117</v>
      </c>
      <c r="E85" s="56" t="s">
        <v>40</v>
      </c>
      <c r="F85" s="56" t="s">
        <v>7</v>
      </c>
      <c r="G85" s="56" t="s">
        <v>118</v>
      </c>
      <c r="H85" s="56" t="s">
        <v>118</v>
      </c>
      <c r="I85" s="59">
        <v>37766.0</v>
      </c>
      <c r="J85" s="56">
        <f t="shared" si="3"/>
        <v>22</v>
      </c>
      <c r="K85" s="56">
        <v>3.322706376E9</v>
      </c>
      <c r="L85" s="60" t="s">
        <v>1664</v>
      </c>
      <c r="M85" s="59">
        <v>43490.0</v>
      </c>
      <c r="N85" s="60" t="s">
        <v>2337</v>
      </c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</row>
    <row r="86" ht="15.75" customHeight="1">
      <c r="A86" s="248"/>
      <c r="B86" s="56" t="str">
        <f t="shared" si="6"/>
        <v>MB40</v>
      </c>
      <c r="C86" s="57" t="s">
        <v>1254</v>
      </c>
      <c r="D86" s="56" t="s">
        <v>128</v>
      </c>
      <c r="E86" s="56" t="s">
        <v>40</v>
      </c>
      <c r="F86" s="56" t="s">
        <v>7</v>
      </c>
      <c r="G86" s="56" t="s">
        <v>118</v>
      </c>
      <c r="H86" s="56" t="s">
        <v>118</v>
      </c>
      <c r="I86" s="59">
        <v>37987.0</v>
      </c>
      <c r="J86" s="56">
        <f t="shared" si="3"/>
        <v>22</v>
      </c>
      <c r="K86" s="56"/>
      <c r="L86" s="60"/>
      <c r="M86" s="59">
        <v>43514.0</v>
      </c>
      <c r="N86" s="60" t="s">
        <v>230</v>
      </c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</row>
    <row r="87" ht="15.75" customHeight="1">
      <c r="A87" s="248"/>
      <c r="B87" s="56" t="str">
        <f t="shared" si="6"/>
        <v>HB34</v>
      </c>
      <c r="C87" s="57" t="s">
        <v>1377</v>
      </c>
      <c r="D87" s="56" t="s">
        <v>117</v>
      </c>
      <c r="E87" s="56" t="s">
        <v>40</v>
      </c>
      <c r="F87" s="56" t="s">
        <v>7</v>
      </c>
      <c r="G87" s="56" t="s">
        <v>118</v>
      </c>
      <c r="H87" s="56" t="s">
        <v>118</v>
      </c>
      <c r="I87" s="59">
        <v>37779.0</v>
      </c>
      <c r="J87" s="56">
        <f t="shared" si="3"/>
        <v>22</v>
      </c>
      <c r="K87" s="56">
        <v>3.336523E7</v>
      </c>
      <c r="L87" s="60" t="s">
        <v>1378</v>
      </c>
      <c r="M87" s="59">
        <v>43501.0</v>
      </c>
      <c r="N87" s="60" t="s">
        <v>2337</v>
      </c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</row>
    <row r="88" ht="15.75" customHeight="1">
      <c r="A88" s="248"/>
      <c r="B88" s="56" t="str">
        <f t="shared" si="6"/>
        <v>HB35</v>
      </c>
      <c r="C88" s="57" t="s">
        <v>673</v>
      </c>
      <c r="D88" s="56" t="s">
        <v>117</v>
      </c>
      <c r="E88" s="56" t="s">
        <v>40</v>
      </c>
      <c r="F88" s="56" t="s">
        <v>7</v>
      </c>
      <c r="G88" s="56" t="s">
        <v>118</v>
      </c>
      <c r="H88" s="56" t="s">
        <v>118</v>
      </c>
      <c r="I88" s="59">
        <v>30840.0</v>
      </c>
      <c r="J88" s="56">
        <f t="shared" si="3"/>
        <v>41</v>
      </c>
      <c r="K88" s="56"/>
      <c r="L88" s="60" t="s">
        <v>674</v>
      </c>
      <c r="M88" s="59">
        <v>43513.0</v>
      </c>
      <c r="N88" s="60" t="s">
        <v>2338</v>
      </c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</row>
    <row r="89" ht="15.75" customHeight="1">
      <c r="A89" s="248"/>
      <c r="B89" s="56" t="str">
        <f t="shared" si="6"/>
        <v>MB41</v>
      </c>
      <c r="C89" s="57" t="s">
        <v>1720</v>
      </c>
      <c r="D89" s="56" t="s">
        <v>128</v>
      </c>
      <c r="E89" s="56" t="s">
        <v>40</v>
      </c>
      <c r="F89" s="56" t="s">
        <v>7</v>
      </c>
      <c r="G89" s="56" t="s">
        <v>118</v>
      </c>
      <c r="H89" s="56" t="s">
        <v>118</v>
      </c>
      <c r="I89" s="59">
        <v>36175.0</v>
      </c>
      <c r="J89" s="56">
        <f t="shared" si="3"/>
        <v>27</v>
      </c>
      <c r="K89" s="56">
        <v>3.334484036E9</v>
      </c>
      <c r="L89" s="60" t="s">
        <v>1719</v>
      </c>
      <c r="M89" s="59"/>
      <c r="N89" s="60" t="s">
        <v>2339</v>
      </c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</row>
    <row r="90" ht="15.75" customHeight="1">
      <c r="A90" s="248"/>
      <c r="B90" s="56" t="str">
        <f t="shared" si="6"/>
        <v>MB42</v>
      </c>
      <c r="C90" s="57" t="s">
        <v>508</v>
      </c>
      <c r="D90" s="56" t="s">
        <v>128</v>
      </c>
      <c r="E90" s="56" t="s">
        <v>22</v>
      </c>
      <c r="F90" s="56" t="s">
        <v>7</v>
      </c>
      <c r="G90" s="56" t="s">
        <v>118</v>
      </c>
      <c r="H90" s="56" t="s">
        <v>118</v>
      </c>
      <c r="I90" s="59">
        <v>26357.0</v>
      </c>
      <c r="J90" s="56">
        <f t="shared" si="3"/>
        <v>54</v>
      </c>
      <c r="K90" s="56">
        <v>3.313639212E9</v>
      </c>
      <c r="L90" s="60" t="s">
        <v>509</v>
      </c>
      <c r="M90" s="59">
        <v>43451.0</v>
      </c>
      <c r="N90" s="60" t="s">
        <v>2340</v>
      </c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</row>
    <row r="91" ht="15.75" customHeight="1">
      <c r="A91" s="248"/>
      <c r="B91" s="56" t="str">
        <f t="shared" si="6"/>
        <v>MB43</v>
      </c>
      <c r="C91" s="57" t="s">
        <v>835</v>
      </c>
      <c r="D91" s="56" t="s">
        <v>128</v>
      </c>
      <c r="E91" s="56" t="s">
        <v>28</v>
      </c>
      <c r="F91" s="56" t="s">
        <v>7</v>
      </c>
      <c r="G91" s="56" t="s">
        <v>118</v>
      </c>
      <c r="H91" s="56" t="s">
        <v>118</v>
      </c>
      <c r="I91" s="59">
        <v>34231.0</v>
      </c>
      <c r="J91" s="56">
        <f t="shared" si="3"/>
        <v>32</v>
      </c>
      <c r="K91" s="56">
        <v>3.333631107E9</v>
      </c>
      <c r="L91" s="60" t="s">
        <v>836</v>
      </c>
      <c r="M91" s="59">
        <v>43489.0</v>
      </c>
      <c r="N91" s="60" t="s">
        <v>2339</v>
      </c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</row>
    <row r="92" ht="15.75" customHeight="1">
      <c r="A92" s="248"/>
      <c r="B92" s="56" t="str">
        <f t="shared" si="6"/>
        <v>MB44</v>
      </c>
      <c r="C92" s="57" t="s">
        <v>160</v>
      </c>
      <c r="D92" s="56" t="s">
        <v>128</v>
      </c>
      <c r="E92" s="56" t="s">
        <v>28</v>
      </c>
      <c r="F92" s="56" t="s">
        <v>7</v>
      </c>
      <c r="G92" s="56" t="s">
        <v>118</v>
      </c>
      <c r="H92" s="56" t="s">
        <v>118</v>
      </c>
      <c r="I92" s="59">
        <v>35434.0</v>
      </c>
      <c r="J92" s="56">
        <f t="shared" si="3"/>
        <v>29</v>
      </c>
      <c r="K92" s="56">
        <v>3.318436092E9</v>
      </c>
      <c r="L92" s="60" t="s">
        <v>2341</v>
      </c>
      <c r="M92" s="59">
        <v>43452.0</v>
      </c>
      <c r="N92" s="60" t="s">
        <v>2342</v>
      </c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</row>
    <row r="93" ht="15.75" customHeight="1">
      <c r="A93" s="248"/>
      <c r="B93" s="56" t="str">
        <f t="shared" si="6"/>
        <v>HB36</v>
      </c>
      <c r="C93" s="57" t="s">
        <v>372</v>
      </c>
      <c r="D93" s="56" t="s">
        <v>117</v>
      </c>
      <c r="E93" s="56" t="s">
        <v>40</v>
      </c>
      <c r="F93" s="56" t="s">
        <v>7</v>
      </c>
      <c r="G93" s="56" t="s">
        <v>118</v>
      </c>
      <c r="H93" s="56" t="s">
        <v>118</v>
      </c>
      <c r="I93" s="59">
        <v>35210.0</v>
      </c>
      <c r="J93" s="56">
        <f t="shared" si="3"/>
        <v>29</v>
      </c>
      <c r="K93" s="56">
        <v>3.334973578E9</v>
      </c>
      <c r="L93" s="60" t="s">
        <v>373</v>
      </c>
      <c r="M93" s="59">
        <v>43003.0</v>
      </c>
      <c r="N93" s="60" t="s">
        <v>2343</v>
      </c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</row>
    <row r="94" ht="15.75" customHeight="1">
      <c r="A94" s="248"/>
      <c r="B94" s="56" t="str">
        <f t="shared" si="6"/>
        <v>MB45</v>
      </c>
      <c r="C94" s="57" t="s">
        <v>1200</v>
      </c>
      <c r="D94" s="56" t="s">
        <v>128</v>
      </c>
      <c r="E94" s="56" t="s">
        <v>40</v>
      </c>
      <c r="F94" s="56" t="s">
        <v>7</v>
      </c>
      <c r="G94" s="56" t="s">
        <v>118</v>
      </c>
      <c r="H94" s="56" t="s">
        <v>118</v>
      </c>
      <c r="I94" s="59">
        <v>34034.0</v>
      </c>
      <c r="J94" s="56">
        <f t="shared" si="3"/>
        <v>33</v>
      </c>
      <c r="K94" s="56"/>
      <c r="L94" s="60" t="s">
        <v>1199</v>
      </c>
      <c r="M94" s="59">
        <v>43539.0</v>
      </c>
      <c r="N94" s="60" t="s">
        <v>2344</v>
      </c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</row>
    <row r="95" ht="15.75" customHeight="1">
      <c r="A95" s="248"/>
      <c r="B95" s="56" t="str">
        <f t="shared" si="6"/>
        <v>HB37</v>
      </c>
      <c r="C95" s="57" t="s">
        <v>578</v>
      </c>
      <c r="D95" s="56" t="s">
        <v>117</v>
      </c>
      <c r="E95" s="56" t="s">
        <v>22</v>
      </c>
      <c r="F95" s="56" t="s">
        <v>7</v>
      </c>
      <c r="G95" s="56" t="s">
        <v>118</v>
      </c>
      <c r="H95" s="56" t="s">
        <v>118</v>
      </c>
      <c r="I95" s="59">
        <v>27110.0</v>
      </c>
      <c r="J95" s="56">
        <f t="shared" si="3"/>
        <v>52</v>
      </c>
      <c r="K95" s="56" t="s">
        <v>579</v>
      </c>
      <c r="L95" s="60" t="s">
        <v>580</v>
      </c>
      <c r="M95" s="59">
        <v>43564.0</v>
      </c>
      <c r="N95" s="60" t="s">
        <v>2345</v>
      </c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</row>
    <row r="96" ht="15.75" customHeight="1">
      <c r="A96" s="248"/>
      <c r="B96" s="56" t="str">
        <f t="shared" si="6"/>
        <v>HB38</v>
      </c>
      <c r="C96" s="57" t="s">
        <v>2020</v>
      </c>
      <c r="D96" s="56" t="s">
        <v>117</v>
      </c>
      <c r="E96" s="56" t="s">
        <v>40</v>
      </c>
      <c r="F96" s="56" t="s">
        <v>7</v>
      </c>
      <c r="G96" s="56" t="s">
        <v>118</v>
      </c>
      <c r="H96" s="56" t="s">
        <v>118</v>
      </c>
      <c r="I96" s="59">
        <v>37388.0</v>
      </c>
      <c r="J96" s="56">
        <f t="shared" si="3"/>
        <v>23</v>
      </c>
      <c r="K96" s="56">
        <v>3.310942269E9</v>
      </c>
      <c r="L96" s="60" t="s">
        <v>1987</v>
      </c>
      <c r="M96" s="59">
        <v>43566.0</v>
      </c>
      <c r="N96" s="60" t="s">
        <v>1915</v>
      </c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</row>
    <row r="97" ht="15.75" customHeight="1">
      <c r="A97" s="248"/>
      <c r="B97" s="56" t="str">
        <f t="shared" si="6"/>
        <v>HB39</v>
      </c>
      <c r="C97" s="57" t="s">
        <v>1511</v>
      </c>
      <c r="D97" s="56" t="s">
        <v>117</v>
      </c>
      <c r="E97" s="56" t="s">
        <v>40</v>
      </c>
      <c r="F97" s="56" t="s">
        <v>7</v>
      </c>
      <c r="G97" s="56" t="s">
        <v>118</v>
      </c>
      <c r="H97" s="56" t="s">
        <v>118</v>
      </c>
      <c r="I97" s="59">
        <v>38066.0</v>
      </c>
      <c r="J97" s="56">
        <f t="shared" si="3"/>
        <v>22</v>
      </c>
      <c r="K97" s="56">
        <v>3.318729482E9</v>
      </c>
      <c r="L97" s="60" t="s">
        <v>1507</v>
      </c>
      <c r="M97" s="59">
        <v>43572.0</v>
      </c>
      <c r="N97" s="60" t="s">
        <v>2337</v>
      </c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</row>
    <row r="98" ht="15.75" customHeight="1">
      <c r="A98" s="248"/>
      <c r="B98" s="56" t="str">
        <f t="shared" si="6"/>
        <v>HB40</v>
      </c>
      <c r="C98" s="57" t="s">
        <v>1505</v>
      </c>
      <c r="D98" s="56" t="s">
        <v>117</v>
      </c>
      <c r="E98" s="56" t="s">
        <v>40</v>
      </c>
      <c r="F98" s="56" t="s">
        <v>7</v>
      </c>
      <c r="G98" s="56" t="s">
        <v>118</v>
      </c>
      <c r="H98" s="56" t="s">
        <v>118</v>
      </c>
      <c r="I98" s="59">
        <v>37731.0</v>
      </c>
      <c r="J98" s="56">
        <f t="shared" si="3"/>
        <v>23</v>
      </c>
      <c r="K98" s="56">
        <v>3.323355704E9</v>
      </c>
      <c r="L98" s="60" t="s">
        <v>1506</v>
      </c>
      <c r="M98" s="59">
        <v>43572.0</v>
      </c>
      <c r="N98" s="60" t="s">
        <v>2346</v>
      </c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</row>
    <row r="99" ht="15.75" customHeight="1">
      <c r="A99" s="248"/>
      <c r="B99" s="56" t="str">
        <f t="shared" si="6"/>
        <v>HB41</v>
      </c>
      <c r="C99" s="57" t="s">
        <v>1307</v>
      </c>
      <c r="D99" s="56" t="s">
        <v>117</v>
      </c>
      <c r="E99" s="56" t="s">
        <v>40</v>
      </c>
      <c r="F99" s="56" t="s">
        <v>7</v>
      </c>
      <c r="G99" s="56" t="s">
        <v>118</v>
      </c>
      <c r="H99" s="56" t="s">
        <v>118</v>
      </c>
      <c r="I99" s="59">
        <v>37140.0</v>
      </c>
      <c r="J99" s="56">
        <f t="shared" si="3"/>
        <v>24</v>
      </c>
      <c r="K99" s="56">
        <v>3.311678748E9</v>
      </c>
      <c r="L99" s="60" t="s">
        <v>1308</v>
      </c>
      <c r="M99" s="59">
        <v>43573.0</v>
      </c>
      <c r="N99" s="60" t="s">
        <v>2346</v>
      </c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</row>
    <row r="100" ht="15.75" customHeight="1">
      <c r="A100" s="248"/>
      <c r="B100" s="56" t="str">
        <f t="shared" si="6"/>
        <v>HB42</v>
      </c>
      <c r="C100" s="57" t="s">
        <v>879</v>
      </c>
      <c r="D100" s="56" t="s">
        <v>117</v>
      </c>
      <c r="E100" s="56" t="s">
        <v>40</v>
      </c>
      <c r="F100" s="56" t="s">
        <v>7</v>
      </c>
      <c r="G100" s="56" t="s">
        <v>118</v>
      </c>
      <c r="H100" s="56" t="s">
        <v>118</v>
      </c>
      <c r="I100" s="59">
        <v>37975.0</v>
      </c>
      <c r="J100" s="56">
        <f t="shared" si="3"/>
        <v>22</v>
      </c>
      <c r="K100" s="56"/>
      <c r="L100" s="60" t="s">
        <v>880</v>
      </c>
      <c r="M100" s="59">
        <v>43576.0</v>
      </c>
      <c r="N100" s="60" t="s">
        <v>2337</v>
      </c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</row>
    <row r="101" ht="15.75" customHeight="1">
      <c r="A101" s="248"/>
      <c r="B101" s="56" t="str">
        <f t="shared" si="6"/>
        <v>HB43</v>
      </c>
      <c r="C101" s="57" t="s">
        <v>408</v>
      </c>
      <c r="D101" s="56" t="s">
        <v>117</v>
      </c>
      <c r="E101" s="56" t="s">
        <v>22</v>
      </c>
      <c r="F101" s="56" t="s">
        <v>7</v>
      </c>
      <c r="G101" s="56" t="s">
        <v>118</v>
      </c>
      <c r="H101" s="56" t="s">
        <v>118</v>
      </c>
      <c r="I101" s="59">
        <v>26887.0</v>
      </c>
      <c r="J101" s="56">
        <f t="shared" si="3"/>
        <v>52</v>
      </c>
      <c r="K101" s="56">
        <v>3.333903647E9</v>
      </c>
      <c r="L101" s="60" t="s">
        <v>409</v>
      </c>
      <c r="M101" s="59" t="s">
        <v>2347</v>
      </c>
      <c r="N101" s="60" t="s">
        <v>2298</v>
      </c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</row>
    <row r="102" ht="15.75" customHeight="1">
      <c r="A102" s="248"/>
      <c r="B102" s="56" t="str">
        <f t="shared" si="6"/>
        <v>HB44</v>
      </c>
      <c r="C102" s="57" t="s">
        <v>1714</v>
      </c>
      <c r="D102" s="56" t="s">
        <v>117</v>
      </c>
      <c r="E102" s="56" t="s">
        <v>40</v>
      </c>
      <c r="F102" s="56" t="s">
        <v>7</v>
      </c>
      <c r="G102" s="56" t="s">
        <v>118</v>
      </c>
      <c r="H102" s="56" t="s">
        <v>118</v>
      </c>
      <c r="I102" s="59">
        <v>36992.0</v>
      </c>
      <c r="J102" s="56">
        <f t="shared" si="3"/>
        <v>25</v>
      </c>
      <c r="K102" s="56">
        <v>3.6082362E7</v>
      </c>
      <c r="L102" s="60" t="s">
        <v>1715</v>
      </c>
      <c r="M102" s="59"/>
      <c r="N102" s="60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</row>
    <row r="103" ht="15.75" customHeight="1">
      <c r="A103" s="248"/>
      <c r="B103" s="56" t="str">
        <f t="shared" si="6"/>
        <v>MB46</v>
      </c>
      <c r="C103" s="57" t="s">
        <v>484</v>
      </c>
      <c r="D103" s="56" t="s">
        <v>128</v>
      </c>
      <c r="E103" s="56" t="s">
        <v>28</v>
      </c>
      <c r="F103" s="56" t="s">
        <v>7</v>
      </c>
      <c r="G103" s="56" t="s">
        <v>118</v>
      </c>
      <c r="H103" s="56" t="s">
        <v>118</v>
      </c>
      <c r="I103" s="59">
        <v>34060.0</v>
      </c>
      <c r="J103" s="56">
        <f t="shared" si="3"/>
        <v>33</v>
      </c>
      <c r="K103" s="56">
        <v>3.320588638E9</v>
      </c>
      <c r="L103" s="60" t="s">
        <v>485</v>
      </c>
      <c r="M103" s="59">
        <v>43603.0</v>
      </c>
      <c r="N103" s="60" t="s">
        <v>2342</v>
      </c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</row>
    <row r="104" ht="15.75" customHeight="1">
      <c r="A104" s="248"/>
      <c r="B104" s="56" t="str">
        <f t="shared" si="6"/>
        <v>HB45</v>
      </c>
      <c r="C104" s="57" t="s">
        <v>844</v>
      </c>
      <c r="D104" s="56" t="s">
        <v>117</v>
      </c>
      <c r="E104" s="56" t="s">
        <v>28</v>
      </c>
      <c r="F104" s="56" t="s">
        <v>7</v>
      </c>
      <c r="G104" s="56" t="s">
        <v>118</v>
      </c>
      <c r="H104" s="56" t="s">
        <v>118</v>
      </c>
      <c r="I104" s="59">
        <v>33152.0</v>
      </c>
      <c r="J104" s="56">
        <f t="shared" si="3"/>
        <v>35</v>
      </c>
      <c r="K104" s="56">
        <v>3.312345223E9</v>
      </c>
      <c r="L104" s="60" t="s">
        <v>845</v>
      </c>
      <c r="M104" s="59" t="s">
        <v>2348</v>
      </c>
      <c r="N104" s="60" t="s">
        <v>2342</v>
      </c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</row>
    <row r="105" ht="15.75" customHeight="1">
      <c r="A105" s="248"/>
      <c r="B105" s="56" t="str">
        <f t="shared" si="6"/>
        <v>MB47</v>
      </c>
      <c r="C105" s="57" t="s">
        <v>1752</v>
      </c>
      <c r="D105" s="56" t="s">
        <v>128</v>
      </c>
      <c r="E105" s="56" t="s">
        <v>140</v>
      </c>
      <c r="F105" s="56" t="s">
        <v>7</v>
      </c>
      <c r="G105" s="56" t="s">
        <v>118</v>
      </c>
      <c r="H105" s="56" t="s">
        <v>118</v>
      </c>
      <c r="I105" s="59">
        <v>24900.0</v>
      </c>
      <c r="J105" s="56">
        <f t="shared" si="3"/>
        <v>58</v>
      </c>
      <c r="K105" s="56">
        <v>3.314706531E9</v>
      </c>
      <c r="L105" s="60" t="s">
        <v>1753</v>
      </c>
      <c r="M105" s="59">
        <v>43631.0</v>
      </c>
      <c r="N105" s="60" t="s">
        <v>2349</v>
      </c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</row>
    <row r="106" ht="15.75" customHeight="1">
      <c r="A106" s="248"/>
      <c r="B106" s="56" t="str">
        <f t="shared" si="6"/>
        <v>MB48</v>
      </c>
      <c r="C106" s="57" t="s">
        <v>398</v>
      </c>
      <c r="D106" s="56" t="s">
        <v>128</v>
      </c>
      <c r="E106" s="56" t="s">
        <v>40</v>
      </c>
      <c r="F106" s="56" t="s">
        <v>7</v>
      </c>
      <c r="G106" s="56" t="s">
        <v>118</v>
      </c>
      <c r="H106" s="56" t="s">
        <v>118</v>
      </c>
      <c r="I106" s="59">
        <v>34034.0</v>
      </c>
      <c r="J106" s="56">
        <f t="shared" si="3"/>
        <v>33</v>
      </c>
      <c r="K106" s="56">
        <v>3.511491639E9</v>
      </c>
      <c r="L106" s="60" t="s">
        <v>399</v>
      </c>
      <c r="M106" s="59">
        <v>43644.0</v>
      </c>
      <c r="N106" s="60" t="s">
        <v>2350</v>
      </c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</row>
    <row r="107" ht="15.75" customHeight="1">
      <c r="A107" s="248"/>
      <c r="B107" s="56" t="str">
        <f t="shared" si="6"/>
        <v>HB46</v>
      </c>
      <c r="C107" s="57" t="s">
        <v>188</v>
      </c>
      <c r="D107" s="56" t="s">
        <v>117</v>
      </c>
      <c r="E107" s="56" t="s">
        <v>140</v>
      </c>
      <c r="F107" s="56" t="s">
        <v>7</v>
      </c>
      <c r="G107" s="56" t="s">
        <v>118</v>
      </c>
      <c r="H107" s="56" t="s">
        <v>118</v>
      </c>
      <c r="I107" s="59">
        <v>23639.0</v>
      </c>
      <c r="J107" s="56">
        <f t="shared" si="3"/>
        <v>61</v>
      </c>
      <c r="K107" s="56">
        <v>3.317061837E9</v>
      </c>
      <c r="L107" s="60" t="s">
        <v>189</v>
      </c>
      <c r="M107" s="59">
        <v>43646.0</v>
      </c>
      <c r="N107" s="60" t="s">
        <v>2342</v>
      </c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</row>
    <row r="108" ht="15.75" customHeight="1">
      <c r="A108" s="248"/>
      <c r="B108" s="56" t="str">
        <f t="shared" si="6"/>
        <v>HB47</v>
      </c>
      <c r="C108" s="57" t="s">
        <v>2137</v>
      </c>
      <c r="D108" s="56" t="s">
        <v>117</v>
      </c>
      <c r="E108" s="56" t="s">
        <v>16</v>
      </c>
      <c r="F108" s="56" t="s">
        <v>7</v>
      </c>
      <c r="G108" s="56" t="s">
        <v>118</v>
      </c>
      <c r="H108" s="56" t="s">
        <v>118</v>
      </c>
      <c r="I108" s="59">
        <v>16742.0</v>
      </c>
      <c r="J108" s="56">
        <f t="shared" si="3"/>
        <v>80</v>
      </c>
      <c r="K108" s="56">
        <v>3.314989868E9</v>
      </c>
      <c r="L108" s="60" t="s">
        <v>2138</v>
      </c>
      <c r="M108" s="59">
        <v>43697.0</v>
      </c>
      <c r="N108" s="60" t="s">
        <v>2342</v>
      </c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</row>
    <row r="109" ht="15.75" customHeight="1">
      <c r="A109" s="248"/>
      <c r="B109" s="56" t="str">
        <f t="shared" si="6"/>
        <v>HB48</v>
      </c>
      <c r="C109" s="57" t="s">
        <v>2139</v>
      </c>
      <c r="D109" s="56" t="s">
        <v>117</v>
      </c>
      <c r="E109" s="56" t="s">
        <v>22</v>
      </c>
      <c r="F109" s="56" t="s">
        <v>7</v>
      </c>
      <c r="G109" s="56" t="s">
        <v>118</v>
      </c>
      <c r="H109" s="56" t="s">
        <v>118</v>
      </c>
      <c r="I109" s="59">
        <v>29963.0</v>
      </c>
      <c r="J109" s="56">
        <f t="shared" si="3"/>
        <v>44</v>
      </c>
      <c r="K109" s="56">
        <v>3.33157202E9</v>
      </c>
      <c r="L109" s="60" t="s">
        <v>2140</v>
      </c>
      <c r="M109" s="59">
        <v>43705.0</v>
      </c>
      <c r="N109" s="60" t="s">
        <v>2351</v>
      </c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</row>
    <row r="110" ht="15.75" customHeight="1">
      <c r="A110" s="248"/>
      <c r="B110" s="56" t="str">
        <f t="shared" si="6"/>
        <v>MB49</v>
      </c>
      <c r="C110" s="57" t="s">
        <v>1671</v>
      </c>
      <c r="D110" s="56" t="s">
        <v>128</v>
      </c>
      <c r="E110" s="56" t="s">
        <v>22</v>
      </c>
      <c r="F110" s="56" t="s">
        <v>7</v>
      </c>
      <c r="G110" s="56" t="s">
        <v>118</v>
      </c>
      <c r="H110" s="56" t="s">
        <v>118</v>
      </c>
      <c r="I110" s="59">
        <v>31239.0</v>
      </c>
      <c r="J110" s="56">
        <f t="shared" si="3"/>
        <v>40</v>
      </c>
      <c r="K110" s="56">
        <v>3.312326171E9</v>
      </c>
      <c r="L110" s="60" t="s">
        <v>1672</v>
      </c>
      <c r="M110" s="59">
        <v>43705.0</v>
      </c>
      <c r="N110" s="60" t="s">
        <v>2351</v>
      </c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</row>
    <row r="111" ht="15.75" customHeight="1">
      <c r="A111" s="248"/>
      <c r="B111" s="56" t="str">
        <f t="shared" si="6"/>
        <v>HB49</v>
      </c>
      <c r="C111" s="57" t="s">
        <v>203</v>
      </c>
      <c r="D111" s="56" t="s">
        <v>117</v>
      </c>
      <c r="E111" s="56" t="s">
        <v>40</v>
      </c>
      <c r="F111" s="56" t="s">
        <v>7</v>
      </c>
      <c r="G111" s="56" t="s">
        <v>118</v>
      </c>
      <c r="H111" s="56" t="s">
        <v>118</v>
      </c>
      <c r="I111" s="59">
        <v>37852.0</v>
      </c>
      <c r="J111" s="56">
        <f t="shared" si="3"/>
        <v>22</v>
      </c>
      <c r="K111" s="56">
        <v>3.314707502E9</v>
      </c>
      <c r="L111" s="60" t="s">
        <v>201</v>
      </c>
      <c r="M111" s="59">
        <v>43726.0</v>
      </c>
      <c r="N111" s="60" t="s">
        <v>1915</v>
      </c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</row>
    <row r="112" ht="15.75" customHeight="1">
      <c r="A112" s="248"/>
      <c r="B112" s="56" t="str">
        <f t="shared" si="6"/>
        <v>HB50</v>
      </c>
      <c r="C112" s="57" t="s">
        <v>198</v>
      </c>
      <c r="D112" s="56" t="s">
        <v>117</v>
      </c>
      <c r="E112" s="56" t="s">
        <v>40</v>
      </c>
      <c r="F112" s="56" t="s">
        <v>7</v>
      </c>
      <c r="G112" s="56" t="s">
        <v>118</v>
      </c>
      <c r="H112" s="56" t="s">
        <v>118</v>
      </c>
      <c r="I112" s="59">
        <v>37176.0</v>
      </c>
      <c r="J112" s="56">
        <f t="shared" si="3"/>
        <v>24</v>
      </c>
      <c r="K112" s="56">
        <v>3.317216647E9</v>
      </c>
      <c r="L112" s="60" t="s">
        <v>199</v>
      </c>
      <c r="M112" s="59">
        <v>43726.0</v>
      </c>
      <c r="N112" s="60" t="s">
        <v>1915</v>
      </c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</row>
    <row r="113" ht="15.75" customHeight="1">
      <c r="A113" s="248"/>
      <c r="B113" s="56" t="str">
        <f t="shared" si="6"/>
        <v>MB50</v>
      </c>
      <c r="C113" s="57" t="s">
        <v>445</v>
      </c>
      <c r="D113" s="56" t="s">
        <v>128</v>
      </c>
      <c r="E113" s="56" t="s">
        <v>446</v>
      </c>
      <c r="F113" s="56" t="s">
        <v>7</v>
      </c>
      <c r="G113" s="56" t="s">
        <v>118</v>
      </c>
      <c r="H113" s="56" t="s">
        <v>118</v>
      </c>
      <c r="I113" s="59">
        <v>35923.0</v>
      </c>
      <c r="J113" s="56">
        <f t="shared" si="3"/>
        <v>27</v>
      </c>
      <c r="K113" s="56">
        <v>3.313498042E9</v>
      </c>
      <c r="L113" s="60" t="s">
        <v>332</v>
      </c>
      <c r="M113" s="59">
        <v>43728.0</v>
      </c>
      <c r="N113" s="60" t="s">
        <v>2352</v>
      </c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</row>
    <row r="114" ht="15.75" customHeight="1">
      <c r="A114" s="248"/>
      <c r="B114" s="56" t="str">
        <f t="shared" si="6"/>
        <v>MB51</v>
      </c>
      <c r="C114" s="57" t="s">
        <v>1440</v>
      </c>
      <c r="D114" s="56" t="s">
        <v>128</v>
      </c>
      <c r="E114" s="56" t="s">
        <v>40</v>
      </c>
      <c r="F114" s="56" t="s">
        <v>7</v>
      </c>
      <c r="G114" s="56" t="s">
        <v>118</v>
      </c>
      <c r="H114" s="56" t="s">
        <v>118</v>
      </c>
      <c r="I114" s="59">
        <v>35631.0</v>
      </c>
      <c r="J114" s="56">
        <f t="shared" si="3"/>
        <v>28</v>
      </c>
      <c r="K114" s="56">
        <v>3.324612095E9</v>
      </c>
      <c r="L114" s="60" t="s">
        <v>1441</v>
      </c>
      <c r="M114" s="59"/>
      <c r="N114" s="60" t="s">
        <v>2353</v>
      </c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</row>
    <row r="115" ht="15.75" customHeight="1">
      <c r="A115" s="248"/>
      <c r="B115" s="56" t="str">
        <f t="shared" si="6"/>
        <v>MB52</v>
      </c>
      <c r="C115" s="57" t="s">
        <v>1016</v>
      </c>
      <c r="D115" s="56" t="s">
        <v>128</v>
      </c>
      <c r="E115" s="56" t="s">
        <v>40</v>
      </c>
      <c r="F115" s="56" t="s">
        <v>7</v>
      </c>
      <c r="G115" s="56" t="s">
        <v>118</v>
      </c>
      <c r="H115" s="56" t="s">
        <v>118</v>
      </c>
      <c r="I115" s="59">
        <v>36725.0</v>
      </c>
      <c r="J115" s="56">
        <f t="shared" si="3"/>
        <v>25</v>
      </c>
      <c r="K115" s="56" t="s">
        <v>223</v>
      </c>
      <c r="L115" s="60" t="s">
        <v>1017</v>
      </c>
      <c r="M115" s="59"/>
      <c r="N115" s="60" t="s">
        <v>2353</v>
      </c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</row>
    <row r="116" ht="15.75" customHeight="1">
      <c r="A116" s="248"/>
      <c r="B116" s="56" t="str">
        <f t="shared" si="6"/>
        <v>MMa4</v>
      </c>
      <c r="C116" s="57" t="s">
        <v>183</v>
      </c>
      <c r="D116" s="56" t="s">
        <v>128</v>
      </c>
      <c r="E116" s="56" t="s">
        <v>40</v>
      </c>
      <c r="F116" s="56" t="s">
        <v>18</v>
      </c>
      <c r="G116" s="56" t="s">
        <v>118</v>
      </c>
      <c r="H116" s="56" t="s">
        <v>118</v>
      </c>
      <c r="I116" s="59">
        <v>36577.0</v>
      </c>
      <c r="J116" s="56">
        <f t="shared" si="3"/>
        <v>26</v>
      </c>
      <c r="K116" s="56">
        <v>3.6063314E7</v>
      </c>
      <c r="L116" s="60" t="s">
        <v>184</v>
      </c>
      <c r="M116" s="59">
        <v>43678.0</v>
      </c>
      <c r="N116" s="60" t="s">
        <v>2354</v>
      </c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</row>
    <row r="117" ht="15.75" customHeight="1">
      <c r="A117" s="248"/>
      <c r="B117" s="56" t="str">
        <f t="shared" si="6"/>
        <v>MB53</v>
      </c>
      <c r="C117" s="57" t="s">
        <v>499</v>
      </c>
      <c r="D117" s="56" t="s">
        <v>128</v>
      </c>
      <c r="E117" s="56" t="s">
        <v>28</v>
      </c>
      <c r="F117" s="56" t="s">
        <v>7</v>
      </c>
      <c r="G117" s="56" t="s">
        <v>118</v>
      </c>
      <c r="H117" s="56" t="s">
        <v>118</v>
      </c>
      <c r="I117" s="59">
        <v>33676.0</v>
      </c>
      <c r="J117" s="56">
        <f t="shared" si="3"/>
        <v>34</v>
      </c>
      <c r="K117" s="56">
        <v>3.316304331E9</v>
      </c>
      <c r="L117" s="60" t="s">
        <v>500</v>
      </c>
      <c r="M117" s="59">
        <v>43749.0</v>
      </c>
      <c r="N117" s="60" t="s">
        <v>2355</v>
      </c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</row>
    <row r="118" ht="15.75" customHeight="1">
      <c r="A118" s="248"/>
      <c r="B118" s="56" t="str">
        <f t="shared" si="6"/>
        <v>MB54</v>
      </c>
      <c r="C118" s="57" t="s">
        <v>1851</v>
      </c>
      <c r="D118" s="56" t="s">
        <v>128</v>
      </c>
      <c r="E118" s="56" t="s">
        <v>40</v>
      </c>
      <c r="F118" s="56" t="s">
        <v>7</v>
      </c>
      <c r="G118" s="56" t="s">
        <v>118</v>
      </c>
      <c r="H118" s="56" t="s">
        <v>118</v>
      </c>
      <c r="I118" s="59">
        <v>33559.0</v>
      </c>
      <c r="J118" s="56">
        <f t="shared" si="3"/>
        <v>34</v>
      </c>
      <c r="K118" s="56">
        <v>3.321163E9</v>
      </c>
      <c r="L118" s="60" t="s">
        <v>1852</v>
      </c>
      <c r="M118" s="59">
        <v>43756.0</v>
      </c>
      <c r="N118" s="60" t="s">
        <v>2356</v>
      </c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</row>
    <row r="119" ht="15.75" customHeight="1">
      <c r="A119" s="248"/>
      <c r="B119" s="56" t="str">
        <f t="shared" si="6"/>
        <v>MB55</v>
      </c>
      <c r="C119" s="57" t="s">
        <v>1986</v>
      </c>
      <c r="D119" s="56" t="s">
        <v>128</v>
      </c>
      <c r="E119" s="56" t="s">
        <v>22</v>
      </c>
      <c r="F119" s="56" t="s">
        <v>7</v>
      </c>
      <c r="G119" s="56" t="s">
        <v>118</v>
      </c>
      <c r="H119" s="56" t="s">
        <v>118</v>
      </c>
      <c r="I119" s="59">
        <v>28377.0</v>
      </c>
      <c r="J119" s="56">
        <f t="shared" si="3"/>
        <v>48</v>
      </c>
      <c r="K119" s="56">
        <v>3.8013335E7</v>
      </c>
      <c r="L119" s="60" t="s">
        <v>1987</v>
      </c>
      <c r="M119" s="59">
        <v>43758.0</v>
      </c>
      <c r="N119" s="60" t="s">
        <v>2357</v>
      </c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</row>
    <row r="120" ht="15.75" customHeight="1">
      <c r="A120" s="248"/>
      <c r="B120" s="56" t="str">
        <f t="shared" si="6"/>
        <v>HB51</v>
      </c>
      <c r="C120" s="57" t="s">
        <v>1876</v>
      </c>
      <c r="D120" s="56" t="s">
        <v>117</v>
      </c>
      <c r="E120" s="56" t="s">
        <v>40</v>
      </c>
      <c r="F120" s="56" t="s">
        <v>7</v>
      </c>
      <c r="G120" s="56" t="s">
        <v>118</v>
      </c>
      <c r="H120" s="56" t="s">
        <v>118</v>
      </c>
      <c r="I120" s="59">
        <v>32674.0</v>
      </c>
      <c r="J120" s="56">
        <f t="shared" si="3"/>
        <v>36</v>
      </c>
      <c r="K120" s="56">
        <v>3.317888059E9</v>
      </c>
      <c r="L120" s="60" t="s">
        <v>1877</v>
      </c>
      <c r="M120" s="59">
        <v>43784.0</v>
      </c>
      <c r="N120" s="60" t="s">
        <v>2358</v>
      </c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</row>
    <row r="121" ht="15.75" customHeight="1">
      <c r="A121" s="248"/>
      <c r="B121" s="56" t="str">
        <f t="shared" si="6"/>
        <v>MB56</v>
      </c>
      <c r="C121" s="57" t="s">
        <v>1326</v>
      </c>
      <c r="D121" s="56" t="s">
        <v>128</v>
      </c>
      <c r="E121" s="56" t="s">
        <v>140</v>
      </c>
      <c r="F121" s="56" t="s">
        <v>7</v>
      </c>
      <c r="G121" s="56" t="s">
        <v>118</v>
      </c>
      <c r="H121" s="56" t="s">
        <v>118</v>
      </c>
      <c r="I121" s="59"/>
      <c r="J121" s="56">
        <f t="shared" si="3"/>
        <v>126</v>
      </c>
      <c r="K121" s="56"/>
      <c r="L121" s="60" t="s">
        <v>1327</v>
      </c>
      <c r="M121" s="59">
        <v>43787.0</v>
      </c>
      <c r="N121" s="60" t="s">
        <v>2359</v>
      </c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</row>
    <row r="122" ht="15.75" customHeight="1">
      <c r="A122" s="248"/>
      <c r="B122" s="56" t="str">
        <f t="shared" si="6"/>
        <v>HB52</v>
      </c>
      <c r="C122" s="57" t="s">
        <v>1733</v>
      </c>
      <c r="D122" s="56" t="s">
        <v>117</v>
      </c>
      <c r="E122" s="56" t="s">
        <v>40</v>
      </c>
      <c r="F122" s="56" t="s">
        <v>7</v>
      </c>
      <c r="G122" s="56" t="s">
        <v>118</v>
      </c>
      <c r="H122" s="56" t="s">
        <v>118</v>
      </c>
      <c r="I122" s="59">
        <v>37704.0</v>
      </c>
      <c r="J122" s="56">
        <f t="shared" si="3"/>
        <v>23</v>
      </c>
      <c r="K122" s="56">
        <v>3.317142185E9</v>
      </c>
      <c r="L122" s="60"/>
      <c r="M122" s="59">
        <v>43792.0</v>
      </c>
      <c r="N122" s="60" t="s">
        <v>2360</v>
      </c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</row>
    <row r="123" ht="15.75" customHeight="1">
      <c r="A123" s="248"/>
      <c r="B123" s="56" t="str">
        <f t="shared" si="6"/>
        <v>HB53</v>
      </c>
      <c r="C123" s="57" t="s">
        <v>1133</v>
      </c>
      <c r="D123" s="56" t="s">
        <v>117</v>
      </c>
      <c r="E123" s="56" t="s">
        <v>40</v>
      </c>
      <c r="F123" s="56" t="s">
        <v>7</v>
      </c>
      <c r="G123" s="56" t="s">
        <v>118</v>
      </c>
      <c r="H123" s="56" t="s">
        <v>118</v>
      </c>
      <c r="I123" s="59">
        <v>35354.0</v>
      </c>
      <c r="J123" s="56">
        <f t="shared" si="3"/>
        <v>29</v>
      </c>
      <c r="K123" s="56">
        <v>3.317574932E9</v>
      </c>
      <c r="L123" s="60" t="s">
        <v>1134</v>
      </c>
      <c r="M123" s="59">
        <v>43784.0</v>
      </c>
      <c r="N123" s="60" t="s">
        <v>2361</v>
      </c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</row>
    <row r="124" ht="15.75" customHeight="1">
      <c r="A124" s="248"/>
      <c r="B124" s="56" t="str">
        <f t="shared" si="6"/>
        <v>HB54</v>
      </c>
      <c r="C124" s="57" t="s">
        <v>1480</v>
      </c>
      <c r="D124" s="56" t="s">
        <v>117</v>
      </c>
      <c r="E124" s="56" t="s">
        <v>16</v>
      </c>
      <c r="F124" s="56" t="s">
        <v>7</v>
      </c>
      <c r="G124" s="56" t="s">
        <v>118</v>
      </c>
      <c r="H124" s="56" t="s">
        <v>118</v>
      </c>
      <c r="I124" s="59">
        <v>23885.0</v>
      </c>
      <c r="J124" s="56">
        <f t="shared" si="3"/>
        <v>60</v>
      </c>
      <c r="K124" s="56">
        <v>3.321903648E9</v>
      </c>
      <c r="L124" s="60" t="s">
        <v>1481</v>
      </c>
      <c r="M124" s="59">
        <v>43814.0</v>
      </c>
      <c r="N124" s="60" t="s">
        <v>2362</v>
      </c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</row>
    <row r="125" ht="15.75" customHeight="1">
      <c r="A125" s="248"/>
      <c r="B125" s="56" t="str">
        <f t="shared" si="6"/>
        <v>HB55</v>
      </c>
      <c r="C125" s="57" t="s">
        <v>2158</v>
      </c>
      <c r="D125" s="56" t="s">
        <v>117</v>
      </c>
      <c r="E125" s="56" t="s">
        <v>16</v>
      </c>
      <c r="F125" s="56" t="s">
        <v>7</v>
      </c>
      <c r="G125" s="56" t="s">
        <v>118</v>
      </c>
      <c r="H125" s="56" t="s">
        <v>118</v>
      </c>
      <c r="I125" s="59">
        <v>26626.0</v>
      </c>
      <c r="J125" s="56">
        <f t="shared" si="3"/>
        <v>53</v>
      </c>
      <c r="K125" s="56">
        <v>3.319937268E9</v>
      </c>
      <c r="L125" s="60" t="s">
        <v>2159</v>
      </c>
      <c r="M125" s="59">
        <v>43829.0</v>
      </c>
      <c r="N125" s="60" t="s">
        <v>2363</v>
      </c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</row>
    <row r="126" ht="15.75" customHeight="1">
      <c r="A126" s="248"/>
      <c r="B126" s="56" t="str">
        <f t="shared" si="6"/>
        <v>HB56</v>
      </c>
      <c r="C126" s="57" t="s">
        <v>717</v>
      </c>
      <c r="D126" s="56" t="s">
        <v>117</v>
      </c>
      <c r="E126" s="56" t="s">
        <v>40</v>
      </c>
      <c r="F126" s="56" t="s">
        <v>7</v>
      </c>
      <c r="G126" s="56" t="s">
        <v>118</v>
      </c>
      <c r="H126" s="56" t="s">
        <v>118</v>
      </c>
      <c r="I126" s="59">
        <v>37904.0</v>
      </c>
      <c r="J126" s="56">
        <f t="shared" si="3"/>
        <v>22</v>
      </c>
      <c r="K126" s="56">
        <v>2.781130373E9</v>
      </c>
      <c r="L126" s="60" t="s">
        <v>476</v>
      </c>
      <c r="M126" s="59">
        <v>43814.0</v>
      </c>
      <c r="N126" s="60" t="s">
        <v>2364</v>
      </c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</row>
    <row r="127" ht="15.75" customHeight="1">
      <c r="A127" s="248"/>
      <c r="B127" s="56" t="str">
        <f t="shared" si="6"/>
        <v>MB57</v>
      </c>
      <c r="C127" s="57" t="s">
        <v>406</v>
      </c>
      <c r="D127" s="56" t="s">
        <v>128</v>
      </c>
      <c r="E127" s="56" t="s">
        <v>22</v>
      </c>
      <c r="F127" s="56" t="s">
        <v>7</v>
      </c>
      <c r="G127" s="56" t="s">
        <v>118</v>
      </c>
      <c r="H127" s="56" t="s">
        <v>118</v>
      </c>
      <c r="I127" s="59">
        <v>28129.0</v>
      </c>
      <c r="J127" s="56">
        <f t="shared" si="3"/>
        <v>49</v>
      </c>
      <c r="K127" s="56">
        <v>3.312495332E9</v>
      </c>
      <c r="L127" s="60" t="s">
        <v>407</v>
      </c>
      <c r="M127" s="59" t="s">
        <v>515</v>
      </c>
      <c r="N127" s="60" t="s">
        <v>2305</v>
      </c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</row>
    <row r="128" ht="15.75" customHeight="1">
      <c r="A128" s="248"/>
      <c r="B128" s="56" t="str">
        <f t="shared" si="6"/>
        <v>MB58</v>
      </c>
      <c r="C128" s="57" t="s">
        <v>1190</v>
      </c>
      <c r="D128" s="56" t="s">
        <v>128</v>
      </c>
      <c r="E128" s="56" t="s">
        <v>40</v>
      </c>
      <c r="F128" s="56" t="s">
        <v>7</v>
      </c>
      <c r="G128" s="56" t="s">
        <v>118</v>
      </c>
      <c r="H128" s="56" t="s">
        <v>118</v>
      </c>
      <c r="I128" s="59">
        <v>34497.0</v>
      </c>
      <c r="J128" s="56">
        <f t="shared" si="3"/>
        <v>31</v>
      </c>
      <c r="K128" s="56">
        <v>3.311404956E9</v>
      </c>
      <c r="L128" s="60" t="s">
        <v>1191</v>
      </c>
      <c r="M128" s="59">
        <v>43830.0</v>
      </c>
      <c r="N128" s="60" t="s">
        <v>2365</v>
      </c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</row>
    <row r="129" ht="15.75" customHeight="1">
      <c r="A129" s="248"/>
      <c r="B129" s="56" t="str">
        <f t="shared" si="6"/>
        <v>HB57</v>
      </c>
      <c r="C129" s="57" t="s">
        <v>1124</v>
      </c>
      <c r="D129" s="56" t="s">
        <v>117</v>
      </c>
      <c r="E129" s="56" t="s">
        <v>22</v>
      </c>
      <c r="F129" s="56" t="s">
        <v>7</v>
      </c>
      <c r="G129" s="56" t="s">
        <v>118</v>
      </c>
      <c r="H129" s="56" t="s">
        <v>118</v>
      </c>
      <c r="I129" s="59">
        <v>31164.0</v>
      </c>
      <c r="J129" s="56">
        <f t="shared" si="3"/>
        <v>40</v>
      </c>
      <c r="K129" s="56">
        <v>3.327101057E9</v>
      </c>
      <c r="L129" s="60" t="s">
        <v>1125</v>
      </c>
      <c r="M129" s="59">
        <v>43716.0</v>
      </c>
      <c r="N129" s="60" t="s">
        <v>486</v>
      </c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</row>
    <row r="130" ht="15.75" customHeight="1">
      <c r="A130" s="248"/>
      <c r="B130" s="56" t="str">
        <f t="shared" si="6"/>
        <v>HB58</v>
      </c>
      <c r="C130" s="57" t="s">
        <v>392</v>
      </c>
      <c r="D130" s="56" t="s">
        <v>117</v>
      </c>
      <c r="E130" s="56" t="s">
        <v>22</v>
      </c>
      <c r="F130" s="56" t="s">
        <v>7</v>
      </c>
      <c r="G130" s="56" t="s">
        <v>118</v>
      </c>
      <c r="H130" s="56" t="s">
        <v>118</v>
      </c>
      <c r="I130" s="59">
        <v>27033.0</v>
      </c>
      <c r="J130" s="56">
        <f t="shared" si="3"/>
        <v>52</v>
      </c>
      <c r="K130" s="56">
        <v>3.310197194E9</v>
      </c>
      <c r="L130" s="60" t="s">
        <v>393</v>
      </c>
      <c r="M130" s="59">
        <v>43828.0</v>
      </c>
      <c r="N130" s="60" t="s">
        <v>2289</v>
      </c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</row>
    <row r="131" ht="15.75" customHeight="1">
      <c r="A131" s="248"/>
      <c r="B131" s="56" t="str">
        <f t="shared" si="6"/>
        <v>HB59</v>
      </c>
      <c r="C131" s="57" t="s">
        <v>852</v>
      </c>
      <c r="D131" s="56" t="s">
        <v>117</v>
      </c>
      <c r="E131" s="56" t="s">
        <v>40</v>
      </c>
      <c r="F131" s="56" t="s">
        <v>7</v>
      </c>
      <c r="G131" s="56" t="s">
        <v>118</v>
      </c>
      <c r="H131" s="56" t="s">
        <v>118</v>
      </c>
      <c r="I131" s="59">
        <v>38487.0</v>
      </c>
      <c r="J131" s="56">
        <f t="shared" si="3"/>
        <v>20</v>
      </c>
      <c r="K131" s="56">
        <v>3.319784853E9</v>
      </c>
      <c r="L131" s="60" t="s">
        <v>853</v>
      </c>
      <c r="M131" s="59">
        <v>43824.0</v>
      </c>
      <c r="N131" s="60" t="s">
        <v>233</v>
      </c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</row>
    <row r="132" ht="15.75" customHeight="1">
      <c r="A132" s="248"/>
      <c r="B132" s="56" t="str">
        <f t="shared" si="6"/>
        <v>HB60</v>
      </c>
      <c r="C132" s="57" t="s">
        <v>143</v>
      </c>
      <c r="D132" s="56" t="s">
        <v>117</v>
      </c>
      <c r="E132" s="56" t="s">
        <v>22</v>
      </c>
      <c r="F132" s="56" t="s">
        <v>7</v>
      </c>
      <c r="G132" s="56" t="s">
        <v>118</v>
      </c>
      <c r="H132" s="56" t="s">
        <v>118</v>
      </c>
      <c r="I132" s="59">
        <v>31199.0</v>
      </c>
      <c r="J132" s="56">
        <f t="shared" si="3"/>
        <v>40</v>
      </c>
      <c r="K132" s="56">
        <v>3.318418198E9</v>
      </c>
      <c r="L132" s="60" t="s">
        <v>144</v>
      </c>
      <c r="M132" s="59">
        <v>43834.0</v>
      </c>
      <c r="N132" s="60" t="s">
        <v>2366</v>
      </c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</row>
    <row r="133" ht="15.75" customHeight="1">
      <c r="A133" s="248"/>
      <c r="B133" s="56" t="str">
        <f t="shared" si="6"/>
        <v>HB61</v>
      </c>
      <c r="C133" s="57" t="s">
        <v>768</v>
      </c>
      <c r="D133" s="56" t="s">
        <v>117</v>
      </c>
      <c r="E133" s="56" t="s">
        <v>40</v>
      </c>
      <c r="F133" s="56" t="s">
        <v>7</v>
      </c>
      <c r="G133" s="56" t="s">
        <v>165</v>
      </c>
      <c r="H133" s="56" t="s">
        <v>118</v>
      </c>
      <c r="I133" s="59">
        <v>37816.0</v>
      </c>
      <c r="J133" s="56">
        <f t="shared" si="3"/>
        <v>22</v>
      </c>
      <c r="K133" s="56">
        <v>3.331191945E9</v>
      </c>
      <c r="L133" s="60" t="s">
        <v>769</v>
      </c>
      <c r="M133" s="59">
        <v>43834.0</v>
      </c>
      <c r="N133" s="60" t="s">
        <v>2346</v>
      </c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</row>
    <row r="134" ht="15.75" customHeight="1">
      <c r="A134" s="248"/>
      <c r="B134" s="56" t="str">
        <f t="shared" si="6"/>
        <v>MB59</v>
      </c>
      <c r="C134" s="57" t="s">
        <v>721</v>
      </c>
      <c r="D134" s="56" t="s">
        <v>128</v>
      </c>
      <c r="E134" s="56" t="s">
        <v>28</v>
      </c>
      <c r="F134" s="56" t="s">
        <v>7</v>
      </c>
      <c r="G134" s="56" t="s">
        <v>118</v>
      </c>
      <c r="H134" s="56" t="s">
        <v>118</v>
      </c>
      <c r="I134" s="59">
        <v>34660.0</v>
      </c>
      <c r="J134" s="56">
        <f t="shared" si="3"/>
        <v>31</v>
      </c>
      <c r="K134" s="56">
        <v>3.32657025E9</v>
      </c>
      <c r="L134" s="60" t="s">
        <v>722</v>
      </c>
      <c r="M134" s="59">
        <v>43838.0</v>
      </c>
      <c r="N134" s="60" t="s">
        <v>2344</v>
      </c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</row>
    <row r="135" ht="15.75" customHeight="1">
      <c r="A135" s="248"/>
      <c r="B135" s="56" t="str">
        <f t="shared" si="6"/>
        <v>MB60</v>
      </c>
      <c r="C135" s="57" t="s">
        <v>529</v>
      </c>
      <c r="D135" s="56" t="s">
        <v>128</v>
      </c>
      <c r="E135" s="56" t="s">
        <v>40</v>
      </c>
      <c r="F135" s="56" t="s">
        <v>7</v>
      </c>
      <c r="G135" s="56" t="s">
        <v>118</v>
      </c>
      <c r="H135" s="56" t="s">
        <v>118</v>
      </c>
      <c r="I135" s="59">
        <v>37653.0</v>
      </c>
      <c r="J135" s="56">
        <f t="shared" si="3"/>
        <v>23</v>
      </c>
      <c r="K135" s="56">
        <v>3.317780958E9</v>
      </c>
      <c r="L135" s="60" t="s">
        <v>530</v>
      </c>
      <c r="M135" s="59">
        <v>43838.0</v>
      </c>
      <c r="N135" s="60" t="s">
        <v>2367</v>
      </c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</row>
    <row r="136" ht="15.75" customHeight="1">
      <c r="A136" s="248"/>
      <c r="B136" s="56" t="str">
        <f t="shared" si="6"/>
        <v>MB61</v>
      </c>
      <c r="C136" s="57" t="s">
        <v>728</v>
      </c>
      <c r="D136" s="56" t="s">
        <v>128</v>
      </c>
      <c r="E136" s="56" t="s">
        <v>140</v>
      </c>
      <c r="F136" s="56" t="s">
        <v>7</v>
      </c>
      <c r="G136" s="56" t="s">
        <v>118</v>
      </c>
      <c r="H136" s="56" t="s">
        <v>118</v>
      </c>
      <c r="I136" s="59">
        <v>23581.0</v>
      </c>
      <c r="J136" s="56">
        <f t="shared" si="3"/>
        <v>61</v>
      </c>
      <c r="K136" s="56"/>
      <c r="L136" s="60" t="s">
        <v>729</v>
      </c>
      <c r="M136" s="59">
        <v>43838.0</v>
      </c>
      <c r="N136" s="60" t="s">
        <v>2368</v>
      </c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</row>
    <row r="137" ht="15.75" customHeight="1">
      <c r="A137" s="248"/>
      <c r="B137" s="56" t="str">
        <f t="shared" si="6"/>
        <v>MB62</v>
      </c>
      <c r="C137" s="57" t="s">
        <v>1796</v>
      </c>
      <c r="D137" s="56" t="s">
        <v>128</v>
      </c>
      <c r="E137" s="56" t="s">
        <v>40</v>
      </c>
      <c r="F137" s="56" t="s">
        <v>7</v>
      </c>
      <c r="G137" s="56" t="s">
        <v>118</v>
      </c>
      <c r="H137" s="56" t="s">
        <v>118</v>
      </c>
      <c r="I137" s="59">
        <v>36451.0</v>
      </c>
      <c r="J137" s="56">
        <f t="shared" si="3"/>
        <v>26</v>
      </c>
      <c r="K137" s="56">
        <v>3.331048587E9</v>
      </c>
      <c r="L137" s="35" t="s">
        <v>1797</v>
      </c>
      <c r="M137" s="59">
        <v>43839.0</v>
      </c>
      <c r="N137" s="60" t="s">
        <v>2369</v>
      </c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</row>
    <row r="138" ht="15.75" customHeight="1">
      <c r="A138" s="248"/>
      <c r="B138" s="56" t="str">
        <f t="shared" si="6"/>
        <v>HB62</v>
      </c>
      <c r="C138" s="57" t="s">
        <v>1817</v>
      </c>
      <c r="D138" s="56" t="s">
        <v>117</v>
      </c>
      <c r="E138" s="56" t="s">
        <v>40</v>
      </c>
      <c r="F138" s="56" t="s">
        <v>7</v>
      </c>
      <c r="G138" s="56" t="s">
        <v>118</v>
      </c>
      <c r="H138" s="56" t="s">
        <v>118</v>
      </c>
      <c r="I138" s="59">
        <v>37752.0</v>
      </c>
      <c r="J138" s="56">
        <f t="shared" si="3"/>
        <v>22</v>
      </c>
      <c r="K138" s="56"/>
      <c r="L138" s="60" t="s">
        <v>1818</v>
      </c>
      <c r="M138" s="59">
        <v>43840.0</v>
      </c>
      <c r="N138" s="60" t="s">
        <v>353</v>
      </c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</row>
    <row r="139" ht="15.75" customHeight="1">
      <c r="A139" s="248"/>
      <c r="B139" s="56" t="str">
        <f t="shared" si="6"/>
        <v>MB63</v>
      </c>
      <c r="C139" s="57" t="s">
        <v>1171</v>
      </c>
      <c r="D139" s="56" t="s">
        <v>128</v>
      </c>
      <c r="E139" s="56" t="s">
        <v>16</v>
      </c>
      <c r="F139" s="56" t="s">
        <v>7</v>
      </c>
      <c r="G139" s="56" t="s">
        <v>118</v>
      </c>
      <c r="H139" s="56" t="s">
        <v>118</v>
      </c>
      <c r="I139" s="59">
        <v>26598.0</v>
      </c>
      <c r="J139" s="56">
        <f t="shared" si="3"/>
        <v>53</v>
      </c>
      <c r="K139" s="56">
        <v>3.310658129E9</v>
      </c>
      <c r="L139" s="60" t="s">
        <v>1172</v>
      </c>
      <c r="M139" s="59">
        <v>43844.0</v>
      </c>
      <c r="N139" s="60" t="s">
        <v>2370</v>
      </c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</row>
    <row r="140" ht="15.75" customHeight="1">
      <c r="A140" s="248"/>
      <c r="B140" s="56" t="str">
        <f t="shared" si="6"/>
        <v>MB64</v>
      </c>
      <c r="C140" s="57" t="s">
        <v>1315</v>
      </c>
      <c r="D140" s="56" t="s">
        <v>128</v>
      </c>
      <c r="E140" s="56" t="s">
        <v>40</v>
      </c>
      <c r="F140" s="56" t="s">
        <v>7</v>
      </c>
      <c r="G140" s="56" t="s">
        <v>118</v>
      </c>
      <c r="H140" s="56" t="s">
        <v>118</v>
      </c>
      <c r="I140" s="59">
        <v>30146.0</v>
      </c>
      <c r="J140" s="56">
        <f t="shared" si="3"/>
        <v>43</v>
      </c>
      <c r="K140" s="56">
        <v>3.322426265E9</v>
      </c>
      <c r="L140" s="60" t="s">
        <v>1316</v>
      </c>
      <c r="M140" s="59">
        <v>43844.0</v>
      </c>
      <c r="N140" s="60" t="s">
        <v>2371</v>
      </c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</row>
    <row r="141" ht="15.75" customHeight="1">
      <c r="A141" s="248"/>
      <c r="B141" s="56" t="str">
        <f t="shared" si="6"/>
        <v>MB65</v>
      </c>
      <c r="C141" s="57" t="s">
        <v>564</v>
      </c>
      <c r="D141" s="56" t="s">
        <v>128</v>
      </c>
      <c r="E141" s="56" t="s">
        <v>40</v>
      </c>
      <c r="F141" s="56" t="s">
        <v>7</v>
      </c>
      <c r="G141" s="56" t="s">
        <v>118</v>
      </c>
      <c r="H141" s="56" t="s">
        <v>118</v>
      </c>
      <c r="I141" s="59">
        <v>35911.0</v>
      </c>
      <c r="J141" s="56">
        <f t="shared" si="3"/>
        <v>27</v>
      </c>
      <c r="K141" s="56">
        <v>3.312688826E9</v>
      </c>
      <c r="L141" s="60" t="s">
        <v>565</v>
      </c>
      <c r="M141" s="59">
        <v>43845.0</v>
      </c>
      <c r="N141" s="60" t="s">
        <v>2372</v>
      </c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</row>
    <row r="142" ht="15.75" customHeight="1">
      <c r="A142" s="248"/>
      <c r="B142" s="56" t="str">
        <f t="shared" si="6"/>
        <v>MB66</v>
      </c>
      <c r="C142" s="57" t="s">
        <v>544</v>
      </c>
      <c r="D142" s="56" t="s">
        <v>128</v>
      </c>
      <c r="E142" s="56" t="s">
        <v>28</v>
      </c>
      <c r="F142" s="56" t="s">
        <v>7</v>
      </c>
      <c r="G142" s="56" t="s">
        <v>118</v>
      </c>
      <c r="H142" s="56" t="s">
        <v>118</v>
      </c>
      <c r="I142" s="59">
        <v>34335.0</v>
      </c>
      <c r="J142" s="56">
        <f t="shared" si="3"/>
        <v>32</v>
      </c>
      <c r="K142" s="56">
        <v>3.314062964E9</v>
      </c>
      <c r="L142" s="60" t="s">
        <v>545</v>
      </c>
      <c r="M142" s="59">
        <v>43845.0</v>
      </c>
      <c r="N142" s="60" t="s">
        <v>2344</v>
      </c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</row>
    <row r="143" ht="15.75" customHeight="1">
      <c r="A143" s="248"/>
      <c r="B143" s="56" t="str">
        <f t="shared" si="6"/>
        <v>HB63</v>
      </c>
      <c r="C143" s="57" t="s">
        <v>1140</v>
      </c>
      <c r="D143" s="56" t="s">
        <v>117</v>
      </c>
      <c r="E143" s="56" t="s">
        <v>40</v>
      </c>
      <c r="F143" s="56" t="s">
        <v>7</v>
      </c>
      <c r="G143" s="56" t="s">
        <v>118</v>
      </c>
      <c r="H143" s="56" t="s">
        <v>165</v>
      </c>
      <c r="I143" s="59"/>
      <c r="J143" s="56">
        <f t="shared" si="3"/>
        <v>126</v>
      </c>
      <c r="K143" s="56"/>
      <c r="L143" s="60" t="s">
        <v>602</v>
      </c>
      <c r="M143" s="59">
        <v>43846.0</v>
      </c>
      <c r="N143" s="60" t="s">
        <v>318</v>
      </c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</row>
    <row r="144" ht="15.75" customHeight="1">
      <c r="A144" s="248"/>
      <c r="B144" s="56" t="str">
        <f t="shared" si="6"/>
        <v>MB67</v>
      </c>
      <c r="C144" s="57" t="s">
        <v>848</v>
      </c>
      <c r="D144" s="56" t="s">
        <v>128</v>
      </c>
      <c r="E144" s="56" t="s">
        <v>40</v>
      </c>
      <c r="F144" s="56" t="s">
        <v>7</v>
      </c>
      <c r="G144" s="56" t="s">
        <v>165</v>
      </c>
      <c r="H144" s="56" t="s">
        <v>118</v>
      </c>
      <c r="I144" s="59">
        <v>36839.0</v>
      </c>
      <c r="J144" s="56">
        <f t="shared" si="3"/>
        <v>25</v>
      </c>
      <c r="K144" s="56">
        <v>3.317241652E9</v>
      </c>
      <c r="L144" s="60"/>
      <c r="M144" s="59">
        <v>43846.0</v>
      </c>
      <c r="N144" s="60" t="s">
        <v>2373</v>
      </c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</row>
    <row r="145" ht="15.75" customHeight="1">
      <c r="A145" s="248"/>
      <c r="B145" s="56" t="str">
        <f t="shared" si="6"/>
        <v>MB68</v>
      </c>
      <c r="C145" s="57" t="s">
        <v>222</v>
      </c>
      <c r="D145" s="56" t="s">
        <v>128</v>
      </c>
      <c r="E145" s="56" t="s">
        <v>140</v>
      </c>
      <c r="F145" s="56" t="s">
        <v>7</v>
      </c>
      <c r="G145" s="56" t="s">
        <v>118</v>
      </c>
      <c r="H145" s="56" t="s">
        <v>118</v>
      </c>
      <c r="I145" s="59">
        <v>19246.0</v>
      </c>
      <c r="J145" s="56">
        <f t="shared" si="3"/>
        <v>73</v>
      </c>
      <c r="K145" s="56" t="s">
        <v>223</v>
      </c>
      <c r="L145" s="60" t="s">
        <v>224</v>
      </c>
      <c r="M145" s="59">
        <v>43849.0</v>
      </c>
      <c r="N145" s="60" t="s">
        <v>2374</v>
      </c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</row>
    <row r="146" ht="15.75" customHeight="1">
      <c r="A146" s="248"/>
      <c r="B146" s="56" t="str">
        <f t="shared" si="6"/>
        <v>MB69</v>
      </c>
      <c r="C146" s="57" t="s">
        <v>1692</v>
      </c>
      <c r="D146" s="56" t="s">
        <v>128</v>
      </c>
      <c r="E146" s="56" t="s">
        <v>40</v>
      </c>
      <c r="F146" s="56" t="s">
        <v>7</v>
      </c>
      <c r="G146" s="56" t="s">
        <v>118</v>
      </c>
      <c r="H146" s="56" t="s">
        <v>118</v>
      </c>
      <c r="I146" s="59">
        <v>37389.0</v>
      </c>
      <c r="J146" s="56">
        <f t="shared" si="3"/>
        <v>23</v>
      </c>
      <c r="K146" s="56"/>
      <c r="L146" s="60" t="s">
        <v>1693</v>
      </c>
      <c r="M146" s="59">
        <v>43850.0</v>
      </c>
      <c r="N146" s="60" t="s">
        <v>251</v>
      </c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</row>
    <row r="147" ht="15.75" customHeight="1">
      <c r="A147" s="248"/>
      <c r="B147" s="56" t="str">
        <f t="shared" si="6"/>
        <v>HB64</v>
      </c>
      <c r="C147" s="57" t="s">
        <v>1089</v>
      </c>
      <c r="D147" s="56" t="s">
        <v>117</v>
      </c>
      <c r="E147" s="56" t="s">
        <v>40</v>
      </c>
      <c r="F147" s="56" t="s">
        <v>7</v>
      </c>
      <c r="G147" s="56" t="s">
        <v>118</v>
      </c>
      <c r="H147" s="56" t="s">
        <v>118</v>
      </c>
      <c r="I147" s="59">
        <v>37932.0</v>
      </c>
      <c r="J147" s="56">
        <f t="shared" si="3"/>
        <v>22</v>
      </c>
      <c r="K147" s="56">
        <v>3.84117134E9</v>
      </c>
      <c r="L147" s="60" t="s">
        <v>1090</v>
      </c>
      <c r="M147" s="59">
        <v>43857.0</v>
      </c>
      <c r="N147" s="60" t="s">
        <v>2375</v>
      </c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</row>
    <row r="148" ht="15.75" customHeight="1">
      <c r="A148" s="248"/>
      <c r="B148" s="56" t="str">
        <f t="shared" si="6"/>
        <v>HB65</v>
      </c>
      <c r="C148" s="57" t="s">
        <v>200</v>
      </c>
      <c r="D148" s="56" t="s">
        <v>117</v>
      </c>
      <c r="E148" s="56" t="s">
        <v>40</v>
      </c>
      <c r="F148" s="56" t="s">
        <v>7</v>
      </c>
      <c r="G148" s="56" t="s">
        <v>118</v>
      </c>
      <c r="H148" s="56" t="s">
        <v>118</v>
      </c>
      <c r="I148" s="59">
        <v>38555.0</v>
      </c>
      <c r="J148" s="56">
        <f t="shared" si="3"/>
        <v>20</v>
      </c>
      <c r="K148" s="56"/>
      <c r="L148" s="60" t="s">
        <v>201</v>
      </c>
      <c r="M148" s="59">
        <v>43858.0</v>
      </c>
      <c r="N148" s="60" t="s">
        <v>2376</v>
      </c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</row>
    <row r="149" ht="15.75" customHeight="1">
      <c r="A149" s="248"/>
      <c r="B149" s="56" t="str">
        <f t="shared" si="6"/>
        <v>HB66</v>
      </c>
      <c r="C149" s="57" t="s">
        <v>2080</v>
      </c>
      <c r="D149" s="56" t="s">
        <v>117</v>
      </c>
      <c r="E149" s="56" t="s">
        <v>140</v>
      </c>
      <c r="F149" s="56" t="s">
        <v>7</v>
      </c>
      <c r="G149" s="56" t="s">
        <v>118</v>
      </c>
      <c r="H149" s="56" t="s">
        <v>118</v>
      </c>
      <c r="I149" s="59">
        <v>19887.0</v>
      </c>
      <c r="J149" s="56">
        <f t="shared" si="3"/>
        <v>71</v>
      </c>
      <c r="K149" s="56">
        <v>3.316198167E9</v>
      </c>
      <c r="L149" s="60" t="s">
        <v>2081</v>
      </c>
      <c r="M149" s="59">
        <v>43855.0</v>
      </c>
      <c r="N149" s="60" t="s">
        <v>2281</v>
      </c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</row>
    <row r="150" ht="15.75" customHeight="1">
      <c r="A150" s="248"/>
      <c r="B150" s="56" t="str">
        <f t="shared" si="6"/>
        <v>MB70</v>
      </c>
      <c r="C150" s="57" t="s">
        <v>1648</v>
      </c>
      <c r="D150" s="56" t="s">
        <v>128</v>
      </c>
      <c r="E150" s="56" t="s">
        <v>40</v>
      </c>
      <c r="F150" s="56" t="s">
        <v>7</v>
      </c>
      <c r="G150" s="56" t="s">
        <v>118</v>
      </c>
      <c r="H150" s="56" t="s">
        <v>118</v>
      </c>
      <c r="I150" s="59">
        <v>36701.0</v>
      </c>
      <c r="J150" s="56">
        <f t="shared" si="3"/>
        <v>25</v>
      </c>
      <c r="K150" s="56">
        <v>3.310447104E9</v>
      </c>
      <c r="L150" s="60" t="s">
        <v>1647</v>
      </c>
      <c r="M150" s="59">
        <v>43862.0</v>
      </c>
      <c r="N150" s="60" t="s">
        <v>2377</v>
      </c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</row>
    <row r="151" ht="15.75" customHeight="1">
      <c r="A151" s="248"/>
      <c r="B151" s="56" t="str">
        <f t="shared" si="6"/>
        <v>HB67</v>
      </c>
      <c r="C151" s="57" t="s">
        <v>349</v>
      </c>
      <c r="D151" s="56" t="s">
        <v>117</v>
      </c>
      <c r="E151" s="56" t="s">
        <v>40</v>
      </c>
      <c r="F151" s="56" t="s">
        <v>7</v>
      </c>
      <c r="G151" s="56" t="s">
        <v>118</v>
      </c>
      <c r="H151" s="56" t="s">
        <v>118</v>
      </c>
      <c r="I151" s="59">
        <v>36609.0</v>
      </c>
      <c r="J151" s="56">
        <f t="shared" si="3"/>
        <v>26</v>
      </c>
      <c r="K151" s="56">
        <v>5.537782007E9</v>
      </c>
      <c r="L151" s="60" t="s">
        <v>350</v>
      </c>
      <c r="M151" s="59">
        <v>43870.0</v>
      </c>
      <c r="N151" s="60" t="s">
        <v>2378</v>
      </c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</row>
    <row r="152" ht="15.75" customHeight="1">
      <c r="A152" s="248"/>
      <c r="B152" s="56" t="str">
        <f t="shared" si="6"/>
        <v>HB68</v>
      </c>
      <c r="C152" s="57" t="s">
        <v>1236</v>
      </c>
      <c r="D152" s="56" t="s">
        <v>117</v>
      </c>
      <c r="E152" s="56" t="s">
        <v>34</v>
      </c>
      <c r="F152" s="56" t="s">
        <v>7</v>
      </c>
      <c r="G152" s="56" t="s">
        <v>118</v>
      </c>
      <c r="H152" s="56" t="s">
        <v>118</v>
      </c>
      <c r="I152" s="59">
        <v>26412.0</v>
      </c>
      <c r="J152" s="56">
        <f t="shared" si="3"/>
        <v>54</v>
      </c>
      <c r="K152" s="56">
        <v>3.316247505E9</v>
      </c>
      <c r="L152" s="60" t="s">
        <v>1237</v>
      </c>
      <c r="M152" s="59">
        <v>43870.0</v>
      </c>
      <c r="N152" s="60" t="s">
        <v>2276</v>
      </c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</row>
    <row r="153" ht="15.75" customHeight="1">
      <c r="A153" s="248"/>
      <c r="B153" s="56" t="str">
        <f t="shared" si="6"/>
        <v>MB71</v>
      </c>
      <c r="C153" s="57" t="s">
        <v>862</v>
      </c>
      <c r="D153" s="56" t="s">
        <v>128</v>
      </c>
      <c r="E153" s="56" t="s">
        <v>22</v>
      </c>
      <c r="F153" s="56" t="s">
        <v>7</v>
      </c>
      <c r="G153" s="56" t="s">
        <v>118</v>
      </c>
      <c r="H153" s="56" t="s">
        <v>118</v>
      </c>
      <c r="I153" s="59">
        <v>29794.0</v>
      </c>
      <c r="J153" s="56">
        <f t="shared" si="3"/>
        <v>44</v>
      </c>
      <c r="K153" s="56">
        <v>3.316346323E9</v>
      </c>
      <c r="L153" s="60" t="s">
        <v>863</v>
      </c>
      <c r="M153" s="59">
        <v>43884.0</v>
      </c>
      <c r="N153" s="60" t="s">
        <v>2379</v>
      </c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</row>
    <row r="154" ht="15.75" customHeight="1">
      <c r="A154" s="248"/>
      <c r="B154" s="56" t="str">
        <f t="shared" si="6"/>
        <v>HB69</v>
      </c>
      <c r="C154" s="57" t="s">
        <v>1700</v>
      </c>
      <c r="D154" s="56" t="s">
        <v>117</v>
      </c>
      <c r="E154" s="56" t="s">
        <v>40</v>
      </c>
      <c r="F154" s="56" t="s">
        <v>7</v>
      </c>
      <c r="G154" s="56" t="s">
        <v>118</v>
      </c>
      <c r="H154" s="56" t="s">
        <v>118</v>
      </c>
      <c r="I154" s="59">
        <v>37115.0</v>
      </c>
      <c r="J154" s="56">
        <f t="shared" si="3"/>
        <v>24</v>
      </c>
      <c r="K154" s="56">
        <v>3.312862774E9</v>
      </c>
      <c r="L154" s="60" t="s">
        <v>1701</v>
      </c>
      <c r="M154" s="59">
        <v>43881.0</v>
      </c>
      <c r="N154" s="60" t="s">
        <v>2346</v>
      </c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</row>
    <row r="155" ht="15.75" customHeight="1">
      <c r="A155" s="248"/>
      <c r="B155" s="56" t="str">
        <f t="shared" si="6"/>
        <v>MB72</v>
      </c>
      <c r="C155" s="57" t="s">
        <v>903</v>
      </c>
      <c r="D155" s="56" t="s">
        <v>128</v>
      </c>
      <c r="E155" s="56" t="s">
        <v>40</v>
      </c>
      <c r="F155" s="56" t="s">
        <v>7</v>
      </c>
      <c r="G155" s="56" t="s">
        <v>118</v>
      </c>
      <c r="H155" s="56" t="s">
        <v>118</v>
      </c>
      <c r="I155" s="59">
        <v>32517.0</v>
      </c>
      <c r="J155" s="56">
        <f t="shared" si="3"/>
        <v>37</v>
      </c>
      <c r="K155" s="56">
        <v>3.318071237E9</v>
      </c>
      <c r="L155" s="60" t="s">
        <v>904</v>
      </c>
      <c r="M155" s="59">
        <v>43889.0</v>
      </c>
      <c r="N155" s="60" t="s">
        <v>2371</v>
      </c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</row>
    <row r="156" ht="15.75" customHeight="1">
      <c r="A156" s="248"/>
      <c r="B156" s="56" t="str">
        <f t="shared" si="6"/>
        <v>HB70</v>
      </c>
      <c r="C156" s="57" t="s">
        <v>1857</v>
      </c>
      <c r="D156" s="56" t="s">
        <v>117</v>
      </c>
      <c r="E156" s="56" t="s">
        <v>140</v>
      </c>
      <c r="F156" s="56" t="s">
        <v>7</v>
      </c>
      <c r="G156" s="56" t="s">
        <v>118</v>
      </c>
      <c r="H156" s="56" t="s">
        <v>118</v>
      </c>
      <c r="I156" s="59">
        <v>12432.0</v>
      </c>
      <c r="J156" s="56">
        <f t="shared" si="3"/>
        <v>92</v>
      </c>
      <c r="K156" s="56">
        <v>3.6084803E7</v>
      </c>
      <c r="L156" s="60" t="s">
        <v>1858</v>
      </c>
      <c r="M156" s="59">
        <v>43874.0</v>
      </c>
      <c r="N156" s="60" t="s">
        <v>2380</v>
      </c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</row>
    <row r="157" ht="15.75" customHeight="1">
      <c r="A157" s="248"/>
      <c r="B157" s="56" t="str">
        <f t="shared" si="6"/>
        <v>MV1</v>
      </c>
      <c r="C157" s="57" t="s">
        <v>1887</v>
      </c>
      <c r="D157" s="56" t="s">
        <v>128</v>
      </c>
      <c r="E157" s="56" t="s">
        <v>28</v>
      </c>
      <c r="F157" s="56" t="s">
        <v>36</v>
      </c>
      <c r="G157" s="56" t="s">
        <v>118</v>
      </c>
      <c r="H157" s="56" t="s">
        <v>118</v>
      </c>
      <c r="I157" s="59">
        <v>33619.0</v>
      </c>
      <c r="J157" s="56">
        <f t="shared" si="3"/>
        <v>34</v>
      </c>
      <c r="K157" s="56">
        <v>3.345938409E9</v>
      </c>
      <c r="L157" s="60" t="s">
        <v>1125</v>
      </c>
      <c r="M157" s="59">
        <v>43889.0</v>
      </c>
      <c r="N157" s="60" t="s">
        <v>1370</v>
      </c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</row>
    <row r="158" ht="15.75" customHeight="1">
      <c r="A158" s="248"/>
      <c r="B158" s="56" t="str">
        <f t="shared" si="6"/>
        <v>MB73</v>
      </c>
      <c r="C158" s="57" t="s">
        <v>1623</v>
      </c>
      <c r="D158" s="56" t="s">
        <v>128</v>
      </c>
      <c r="E158" s="56" t="s">
        <v>40</v>
      </c>
      <c r="F158" s="56" t="s">
        <v>7</v>
      </c>
      <c r="G158" s="56" t="s">
        <v>118</v>
      </c>
      <c r="H158" s="56" t="s">
        <v>118</v>
      </c>
      <c r="I158" s="59">
        <v>37037.0</v>
      </c>
      <c r="J158" s="56">
        <f t="shared" si="3"/>
        <v>24</v>
      </c>
      <c r="K158" s="56">
        <v>7.771115331E9</v>
      </c>
      <c r="L158" s="60" t="s">
        <v>1624</v>
      </c>
      <c r="M158" s="59">
        <v>43921.0</v>
      </c>
      <c r="N158" s="60" t="s">
        <v>2381</v>
      </c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</row>
    <row r="159" ht="15.75" customHeight="1">
      <c r="A159" s="248"/>
      <c r="B159" s="56" t="str">
        <f t="shared" si="6"/>
        <v>HJ1</v>
      </c>
      <c r="C159" s="57" t="s">
        <v>926</v>
      </c>
      <c r="D159" s="56" t="s">
        <v>117</v>
      </c>
      <c r="E159" s="56" t="s">
        <v>22</v>
      </c>
      <c r="F159" s="56" t="s">
        <v>30</v>
      </c>
      <c r="G159" s="56" t="s">
        <v>118</v>
      </c>
      <c r="H159" s="56" t="s">
        <v>118</v>
      </c>
      <c r="I159" s="59">
        <v>27307.0</v>
      </c>
      <c r="J159" s="56">
        <f t="shared" si="3"/>
        <v>51</v>
      </c>
      <c r="K159" s="56" t="s">
        <v>927</v>
      </c>
      <c r="L159" s="60" t="s">
        <v>925</v>
      </c>
      <c r="M159" s="59">
        <v>43937.0</v>
      </c>
      <c r="N159" s="60" t="s">
        <v>2382</v>
      </c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</row>
    <row r="160" ht="15.75" customHeight="1">
      <c r="A160" s="248"/>
      <c r="B160" s="56" t="str">
        <f t="shared" si="6"/>
        <v>MS2</v>
      </c>
      <c r="C160" s="57" t="s">
        <v>1651</v>
      </c>
      <c r="D160" s="56" t="s">
        <v>128</v>
      </c>
      <c r="E160" s="56" t="s">
        <v>40</v>
      </c>
      <c r="F160" s="56" t="s">
        <v>43</v>
      </c>
      <c r="G160" s="56" t="s">
        <v>118</v>
      </c>
      <c r="H160" s="56" t="s">
        <v>118</v>
      </c>
      <c r="I160" s="59">
        <v>37605.0</v>
      </c>
      <c r="J160" s="56">
        <f t="shared" si="3"/>
        <v>23</v>
      </c>
      <c r="K160" s="56">
        <v>3.321101304E9</v>
      </c>
      <c r="L160" s="60" t="s">
        <v>1652</v>
      </c>
      <c r="M160" s="59">
        <v>43949.0</v>
      </c>
      <c r="N160" s="60" t="s">
        <v>2383</v>
      </c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</row>
    <row r="161" ht="15.75" customHeight="1">
      <c r="A161" s="248"/>
      <c r="B161" s="56" t="str">
        <f t="shared" si="6"/>
        <v>MS3</v>
      </c>
      <c r="C161" s="57" t="s">
        <v>2181</v>
      </c>
      <c r="D161" s="56" t="s">
        <v>128</v>
      </c>
      <c r="E161" s="56" t="s">
        <v>40</v>
      </c>
      <c r="F161" s="56" t="s">
        <v>43</v>
      </c>
      <c r="G161" s="56" t="s">
        <v>118</v>
      </c>
      <c r="H161" s="56" t="s">
        <v>118</v>
      </c>
      <c r="I161" s="59">
        <v>32928.0</v>
      </c>
      <c r="J161" s="56">
        <f t="shared" si="3"/>
        <v>36</v>
      </c>
      <c r="K161" s="56">
        <v>3.311230381E9</v>
      </c>
      <c r="L161" s="60" t="s">
        <v>2182</v>
      </c>
      <c r="M161" s="59">
        <v>43889.0</v>
      </c>
      <c r="N161" s="60" t="s">
        <v>2384</v>
      </c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</row>
    <row r="162" ht="15.75" customHeight="1">
      <c r="A162" s="248"/>
      <c r="B162" s="56" t="str">
        <f>IF(C162="","",D162&amp;F162&amp;COUNTIFS($D$4:D174,D162,$F$4:F174,F162))</f>
        <v>MD3</v>
      </c>
      <c r="C162" s="57" t="s">
        <v>427</v>
      </c>
      <c r="D162" s="56" t="s">
        <v>128</v>
      </c>
      <c r="E162" s="56" t="s">
        <v>40</v>
      </c>
      <c r="F162" s="56" t="s">
        <v>49</v>
      </c>
      <c r="G162" s="56" t="s">
        <v>118</v>
      </c>
      <c r="H162" s="56" t="s">
        <v>118</v>
      </c>
      <c r="I162" s="59">
        <v>37188.0</v>
      </c>
      <c r="J162" s="56">
        <f t="shared" si="3"/>
        <v>24</v>
      </c>
      <c r="K162" s="56">
        <v>3.31857048E9</v>
      </c>
      <c r="L162" s="60" t="s">
        <v>428</v>
      </c>
      <c r="M162" s="59">
        <v>43950.0</v>
      </c>
      <c r="N162" s="60" t="s">
        <v>2385</v>
      </c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</row>
    <row r="163" ht="15.75" customHeight="1">
      <c r="A163" s="248"/>
      <c r="B163" s="56" t="str">
        <f t="shared" ref="B163:B196" si="7">IF(C163="","",D163&amp;F163&amp;COUNTIFS($D$4:D163,D163,$F$4:F163,F163))</f>
        <v>MD2</v>
      </c>
      <c r="C163" s="57" t="s">
        <v>2058</v>
      </c>
      <c r="D163" s="56" t="s">
        <v>128</v>
      </c>
      <c r="E163" s="56" t="s">
        <v>34</v>
      </c>
      <c r="F163" s="56" t="s">
        <v>49</v>
      </c>
      <c r="G163" s="56" t="s">
        <v>118</v>
      </c>
      <c r="H163" s="56" t="s">
        <v>118</v>
      </c>
      <c r="I163" s="59">
        <v>31296.0</v>
      </c>
      <c r="J163" s="56">
        <f t="shared" si="3"/>
        <v>40</v>
      </c>
      <c r="K163" s="56">
        <v>3.6084801E7</v>
      </c>
      <c r="L163" s="60" t="s">
        <v>2059</v>
      </c>
      <c r="M163" s="59">
        <v>43951.0</v>
      </c>
      <c r="N163" s="60" t="s">
        <v>2276</v>
      </c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</row>
    <row r="164" ht="15.75" customHeight="1">
      <c r="A164" s="248"/>
      <c r="B164" s="56" t="str">
        <f t="shared" si="7"/>
        <v>MS4</v>
      </c>
      <c r="C164" s="57" t="s">
        <v>704</v>
      </c>
      <c r="D164" s="56" t="s">
        <v>128</v>
      </c>
      <c r="E164" s="56" t="s">
        <v>40</v>
      </c>
      <c r="F164" s="56" t="s">
        <v>43</v>
      </c>
      <c r="G164" s="56" t="s">
        <v>118</v>
      </c>
      <c r="H164" s="56" t="s">
        <v>118</v>
      </c>
      <c r="I164" s="59">
        <v>37940.0</v>
      </c>
      <c r="J164" s="56">
        <f t="shared" si="3"/>
        <v>22</v>
      </c>
      <c r="K164" s="56">
        <v>3.311636973E9</v>
      </c>
      <c r="L164" s="60" t="s">
        <v>705</v>
      </c>
      <c r="M164" s="59">
        <v>43889.0</v>
      </c>
      <c r="N164" s="60" t="s">
        <v>2386</v>
      </c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</row>
    <row r="165" ht="15.75" customHeight="1">
      <c r="A165" s="248"/>
      <c r="B165" s="56" t="str">
        <f t="shared" si="7"/>
        <v>HS4</v>
      </c>
      <c r="C165" s="57" t="s">
        <v>1879</v>
      </c>
      <c r="D165" s="56" t="s">
        <v>117</v>
      </c>
      <c r="E165" s="56" t="s">
        <v>22</v>
      </c>
      <c r="F165" s="56" t="s">
        <v>43</v>
      </c>
      <c r="G165" s="56" t="s">
        <v>118</v>
      </c>
      <c r="H165" s="56" t="s">
        <v>118</v>
      </c>
      <c r="I165" s="59">
        <v>28319.0</v>
      </c>
      <c r="J165" s="56">
        <f t="shared" si="3"/>
        <v>48</v>
      </c>
      <c r="K165" s="56">
        <v>3.314211939E9</v>
      </c>
      <c r="L165" s="60" t="s">
        <v>1880</v>
      </c>
      <c r="M165" s="59">
        <v>43971.0</v>
      </c>
      <c r="N165" s="60" t="s">
        <v>315</v>
      </c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</row>
    <row r="166" ht="15.75" customHeight="1">
      <c r="A166" s="248"/>
      <c r="B166" s="56" t="str">
        <f t="shared" si="7"/>
        <v>MD3</v>
      </c>
      <c r="C166" s="57" t="s">
        <v>1340</v>
      </c>
      <c r="D166" s="56" t="s">
        <v>128</v>
      </c>
      <c r="E166" s="56" t="s">
        <v>34</v>
      </c>
      <c r="F166" s="56" t="s">
        <v>49</v>
      </c>
      <c r="G166" s="56" t="s">
        <v>118</v>
      </c>
      <c r="H166" s="56" t="s">
        <v>118</v>
      </c>
      <c r="I166" s="59">
        <v>21617.0</v>
      </c>
      <c r="J166" s="56">
        <f t="shared" si="3"/>
        <v>67</v>
      </c>
      <c r="K166" s="56" t="s">
        <v>223</v>
      </c>
      <c r="L166" s="60" t="s">
        <v>1341</v>
      </c>
      <c r="M166" s="59">
        <v>43978.0</v>
      </c>
      <c r="N166" s="60" t="s">
        <v>2380</v>
      </c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</row>
    <row r="167" ht="15.75" customHeight="1">
      <c r="A167" s="248"/>
      <c r="B167" s="56" t="str">
        <f t="shared" si="7"/>
        <v>HMi2</v>
      </c>
      <c r="C167" s="57" t="s">
        <v>1366</v>
      </c>
      <c r="D167" s="56" t="s">
        <v>117</v>
      </c>
      <c r="E167" s="56" t="s">
        <v>40</v>
      </c>
      <c r="F167" s="56" t="s">
        <v>24</v>
      </c>
      <c r="G167" s="56" t="s">
        <v>118</v>
      </c>
      <c r="H167" s="56" t="s">
        <v>118</v>
      </c>
      <c r="I167" s="59">
        <v>38362.0</v>
      </c>
      <c r="J167" s="56">
        <f t="shared" si="3"/>
        <v>21</v>
      </c>
      <c r="K167" s="56">
        <v>3.310848989E9</v>
      </c>
      <c r="L167" s="60" t="s">
        <v>1367</v>
      </c>
      <c r="M167" s="59">
        <v>43978.0</v>
      </c>
      <c r="N167" s="60" t="s">
        <v>2387</v>
      </c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</row>
    <row r="168" ht="15.75" customHeight="1">
      <c r="A168" s="248"/>
      <c r="B168" s="56" t="str">
        <f t="shared" si="7"/>
        <v>MV2</v>
      </c>
      <c r="C168" s="57" t="s">
        <v>585</v>
      </c>
      <c r="D168" s="56" t="s">
        <v>128</v>
      </c>
      <c r="E168" s="56" t="s">
        <v>28</v>
      </c>
      <c r="F168" s="56" t="s">
        <v>36</v>
      </c>
      <c r="G168" s="56" t="s">
        <v>118</v>
      </c>
      <c r="H168" s="56" t="s">
        <v>118</v>
      </c>
      <c r="I168" s="59">
        <v>32762.0</v>
      </c>
      <c r="J168" s="56">
        <f t="shared" si="3"/>
        <v>36</v>
      </c>
      <c r="K168" s="56">
        <v>3.310120359E9</v>
      </c>
      <c r="L168" s="60" t="s">
        <v>586</v>
      </c>
      <c r="M168" s="59">
        <v>43980.0</v>
      </c>
      <c r="N168" s="60" t="s">
        <v>2388</v>
      </c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</row>
    <row r="169" ht="15.75" customHeight="1">
      <c r="A169" s="248"/>
      <c r="B169" s="56" t="str">
        <f t="shared" si="7"/>
        <v>MV3</v>
      </c>
      <c r="C169" s="57" t="s">
        <v>912</v>
      </c>
      <c r="D169" s="56" t="s">
        <v>128</v>
      </c>
      <c r="E169" s="56" t="s">
        <v>446</v>
      </c>
      <c r="F169" s="56" t="s">
        <v>36</v>
      </c>
      <c r="G169" s="56" t="s">
        <v>118</v>
      </c>
      <c r="H169" s="56" t="s">
        <v>118</v>
      </c>
      <c r="I169" s="59">
        <v>36114.0</v>
      </c>
      <c r="J169" s="56">
        <f t="shared" si="3"/>
        <v>27</v>
      </c>
      <c r="K169" s="56">
        <v>3.315828956E9</v>
      </c>
      <c r="L169" s="60" t="s">
        <v>913</v>
      </c>
      <c r="M169" s="59">
        <v>43980.0</v>
      </c>
      <c r="N169" s="60" t="s">
        <v>2389</v>
      </c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</row>
    <row r="170" ht="15.75" customHeight="1">
      <c r="A170" s="248"/>
      <c r="B170" s="56" t="str">
        <f t="shared" si="7"/>
        <v>MV4</v>
      </c>
      <c r="C170" s="57" t="s">
        <v>1794</v>
      </c>
      <c r="D170" s="56" t="s">
        <v>128</v>
      </c>
      <c r="E170" s="56" t="s">
        <v>16</v>
      </c>
      <c r="F170" s="56" t="s">
        <v>36</v>
      </c>
      <c r="G170" s="56" t="s">
        <v>118</v>
      </c>
      <c r="H170" s="56" t="s">
        <v>118</v>
      </c>
      <c r="I170" s="59">
        <v>24316.0</v>
      </c>
      <c r="J170" s="56">
        <f t="shared" si="3"/>
        <v>59</v>
      </c>
      <c r="K170" s="56">
        <v>3.31319631E9</v>
      </c>
      <c r="L170" s="60" t="s">
        <v>1795</v>
      </c>
      <c r="M170" s="59">
        <v>43985.0</v>
      </c>
      <c r="N170" s="60" t="s">
        <v>2340</v>
      </c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</row>
    <row r="171" ht="15.75" customHeight="1">
      <c r="A171" s="248"/>
      <c r="B171" s="56" t="str">
        <f t="shared" si="7"/>
        <v>HJ2</v>
      </c>
      <c r="C171" s="57" t="s">
        <v>698</v>
      </c>
      <c r="D171" s="56" t="s">
        <v>117</v>
      </c>
      <c r="E171" s="56" t="s">
        <v>16</v>
      </c>
      <c r="F171" s="56" t="s">
        <v>30</v>
      </c>
      <c r="G171" s="56" t="s">
        <v>118</v>
      </c>
      <c r="H171" s="56" t="s">
        <v>118</v>
      </c>
      <c r="I171" s="59">
        <v>20054.0</v>
      </c>
      <c r="J171" s="56">
        <f t="shared" si="3"/>
        <v>71</v>
      </c>
      <c r="K171" s="56">
        <v>4.08665546E9</v>
      </c>
      <c r="L171" s="60" t="s">
        <v>699</v>
      </c>
      <c r="M171" s="59">
        <v>43999.0</v>
      </c>
      <c r="N171" s="60" t="s">
        <v>700</v>
      </c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</row>
    <row r="172" ht="15.75" customHeight="1">
      <c r="A172" s="248"/>
      <c r="B172" s="56" t="str">
        <f t="shared" si="7"/>
        <v>MJ1</v>
      </c>
      <c r="C172" s="57" t="s">
        <v>701</v>
      </c>
      <c r="D172" s="56" t="s">
        <v>128</v>
      </c>
      <c r="E172" s="56" t="s">
        <v>16</v>
      </c>
      <c r="F172" s="56" t="s">
        <v>30</v>
      </c>
      <c r="G172" s="56" t="s">
        <v>118</v>
      </c>
      <c r="H172" s="56" t="s">
        <v>118</v>
      </c>
      <c r="I172" s="59">
        <v>22023.0</v>
      </c>
      <c r="J172" s="56">
        <f t="shared" si="3"/>
        <v>66</v>
      </c>
      <c r="K172" s="56">
        <v>4.08665546E9</v>
      </c>
      <c r="L172" s="60" t="s">
        <v>699</v>
      </c>
      <c r="M172" s="59">
        <v>43999.0</v>
      </c>
      <c r="N172" s="60" t="s">
        <v>700</v>
      </c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</row>
    <row r="173" ht="15.75" customHeight="1">
      <c r="A173" s="248"/>
      <c r="B173" s="56" t="str">
        <f t="shared" si="7"/>
        <v>MV5</v>
      </c>
      <c r="C173" s="57" t="s">
        <v>1550</v>
      </c>
      <c r="D173" s="56" t="s">
        <v>128</v>
      </c>
      <c r="E173" s="56" t="s">
        <v>22</v>
      </c>
      <c r="F173" s="56" t="s">
        <v>36</v>
      </c>
      <c r="G173" s="56" t="s">
        <v>118</v>
      </c>
      <c r="H173" s="56" t="s">
        <v>118</v>
      </c>
      <c r="I173" s="59">
        <v>32162.0</v>
      </c>
      <c r="J173" s="56">
        <f t="shared" si="3"/>
        <v>38</v>
      </c>
      <c r="K173" s="56">
        <v>6.367002458E9</v>
      </c>
      <c r="L173" s="60" t="s">
        <v>1551</v>
      </c>
      <c r="M173" s="59">
        <v>43907.0</v>
      </c>
      <c r="N173" s="60" t="s">
        <v>2390</v>
      </c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</row>
    <row r="174" ht="15.75" customHeight="1">
      <c r="A174" s="248"/>
      <c r="B174" s="56" t="str">
        <f t="shared" si="7"/>
        <v>HD1</v>
      </c>
      <c r="C174" s="57" t="s">
        <v>1863</v>
      </c>
      <c r="D174" s="56" t="s">
        <v>117</v>
      </c>
      <c r="E174" s="56" t="s">
        <v>22</v>
      </c>
      <c r="F174" s="56" t="s">
        <v>49</v>
      </c>
      <c r="G174" s="56" t="s">
        <v>118</v>
      </c>
      <c r="H174" s="56" t="s">
        <v>118</v>
      </c>
      <c r="I174" s="59">
        <v>29546.0</v>
      </c>
      <c r="J174" s="56">
        <f t="shared" si="3"/>
        <v>45</v>
      </c>
      <c r="K174" s="56">
        <v>3.3127288E9</v>
      </c>
      <c r="L174" s="60" t="s">
        <v>1864</v>
      </c>
      <c r="M174" s="59">
        <v>43907.0</v>
      </c>
      <c r="N174" s="60" t="s">
        <v>2390</v>
      </c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</row>
    <row r="175" ht="15.75" customHeight="1">
      <c r="A175" s="248"/>
      <c r="B175" s="56" t="str">
        <f t="shared" si="7"/>
        <v>HL1</v>
      </c>
      <c r="C175" s="57" t="s">
        <v>559</v>
      </c>
      <c r="D175" s="56" t="s">
        <v>117</v>
      </c>
      <c r="E175" s="56" t="s">
        <v>40</v>
      </c>
      <c r="F175" s="56" t="s">
        <v>12</v>
      </c>
      <c r="G175" s="56" t="s">
        <v>165</v>
      </c>
      <c r="H175" s="56" t="s">
        <v>118</v>
      </c>
      <c r="I175" s="59">
        <v>36182.0</v>
      </c>
      <c r="J175" s="56">
        <f t="shared" si="3"/>
        <v>27</v>
      </c>
      <c r="K175" s="56">
        <v>3.321658098E9</v>
      </c>
      <c r="L175" s="60" t="s">
        <v>560</v>
      </c>
      <c r="M175" s="59">
        <v>43981.0</v>
      </c>
      <c r="N175" s="60" t="s">
        <v>2391</v>
      </c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</row>
    <row r="176" ht="15.75" customHeight="1">
      <c r="A176" s="248"/>
      <c r="B176" s="56" t="str">
        <f t="shared" si="7"/>
        <v>HMa1</v>
      </c>
      <c r="C176" s="57" t="s">
        <v>799</v>
      </c>
      <c r="D176" s="56" t="s">
        <v>117</v>
      </c>
      <c r="E176" s="56" t="s">
        <v>28</v>
      </c>
      <c r="F176" s="56" t="s">
        <v>18</v>
      </c>
      <c r="G176" s="56" t="s">
        <v>118</v>
      </c>
      <c r="H176" s="56" t="s">
        <v>118</v>
      </c>
      <c r="I176" s="59">
        <v>32944.0</v>
      </c>
      <c r="J176" s="56">
        <f t="shared" si="3"/>
        <v>36</v>
      </c>
      <c r="K176" s="56">
        <v>3.33181558E9</v>
      </c>
      <c r="L176" s="60" t="s">
        <v>800</v>
      </c>
      <c r="M176" s="59">
        <v>44015.0</v>
      </c>
      <c r="N176" s="60" t="s">
        <v>2392</v>
      </c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</row>
    <row r="177" ht="15.75" customHeight="1">
      <c r="A177" s="248"/>
      <c r="B177" s="56" t="str">
        <f t="shared" si="7"/>
        <v>MS5</v>
      </c>
      <c r="C177" s="57" t="s">
        <v>917</v>
      </c>
      <c r="D177" s="56" t="s">
        <v>128</v>
      </c>
      <c r="E177" s="56" t="s">
        <v>40</v>
      </c>
      <c r="F177" s="56" t="s">
        <v>43</v>
      </c>
      <c r="G177" s="56" t="s">
        <v>118</v>
      </c>
      <c r="H177" s="56" t="s">
        <v>118</v>
      </c>
      <c r="I177" s="59">
        <v>37164.0</v>
      </c>
      <c r="J177" s="56">
        <f t="shared" si="3"/>
        <v>24</v>
      </c>
      <c r="K177" s="56">
        <v>3.6652677E7</v>
      </c>
      <c r="L177" s="60" t="s">
        <v>918</v>
      </c>
      <c r="M177" s="59">
        <v>44034.0</v>
      </c>
      <c r="N177" s="60" t="s">
        <v>2380</v>
      </c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</row>
    <row r="178" ht="15.75" customHeight="1">
      <c r="A178" s="248"/>
      <c r="B178" s="56" t="str">
        <f t="shared" si="7"/>
        <v>MV6</v>
      </c>
      <c r="C178" s="57" t="s">
        <v>234</v>
      </c>
      <c r="D178" s="56" t="s">
        <v>128</v>
      </c>
      <c r="E178" s="56" t="s">
        <v>40</v>
      </c>
      <c r="F178" s="56" t="s">
        <v>36</v>
      </c>
      <c r="G178" s="56" t="s">
        <v>118</v>
      </c>
      <c r="H178" s="56" t="s">
        <v>118</v>
      </c>
      <c r="I178" s="59">
        <v>38456.0</v>
      </c>
      <c r="J178" s="56">
        <f t="shared" si="3"/>
        <v>21</v>
      </c>
      <c r="K178" s="56">
        <v>3.31074555E9</v>
      </c>
      <c r="L178" s="60" t="s">
        <v>232</v>
      </c>
      <c r="M178" s="59">
        <v>44097.0</v>
      </c>
      <c r="N178" s="60" t="s">
        <v>235</v>
      </c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</row>
    <row r="179" ht="15.75" customHeight="1">
      <c r="A179" s="248"/>
      <c r="B179" s="56" t="str">
        <f t="shared" si="7"/>
        <v>HD2</v>
      </c>
      <c r="C179" s="57" t="s">
        <v>1573</v>
      </c>
      <c r="D179" s="56" t="s">
        <v>117</v>
      </c>
      <c r="E179" s="56" t="s">
        <v>16</v>
      </c>
      <c r="F179" s="56" t="s">
        <v>49</v>
      </c>
      <c r="G179" s="56" t="s">
        <v>118</v>
      </c>
      <c r="H179" s="56" t="s">
        <v>118</v>
      </c>
      <c r="I179" s="59">
        <v>26607.0</v>
      </c>
      <c r="J179" s="56">
        <f t="shared" si="3"/>
        <v>53</v>
      </c>
      <c r="K179" s="56">
        <v>3.335707677E9</v>
      </c>
      <c r="L179" s="60" t="s">
        <v>1574</v>
      </c>
      <c r="M179" s="59">
        <v>44101.0</v>
      </c>
      <c r="N179" s="60" t="s">
        <v>2393</v>
      </c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</row>
    <row r="180" ht="15.75" customHeight="1">
      <c r="A180" s="248"/>
      <c r="B180" s="56" t="str">
        <f t="shared" si="7"/>
        <v>HS5</v>
      </c>
      <c r="C180" s="81" t="s">
        <v>45</v>
      </c>
      <c r="D180" s="56" t="s">
        <v>117</v>
      </c>
      <c r="E180" s="56" t="s">
        <v>34</v>
      </c>
      <c r="F180" s="56" t="s">
        <v>43</v>
      </c>
      <c r="G180" s="56" t="s">
        <v>118</v>
      </c>
      <c r="H180" s="56" t="s">
        <v>118</v>
      </c>
      <c r="I180" s="59">
        <v>12405.0</v>
      </c>
      <c r="J180" s="56">
        <f t="shared" si="3"/>
        <v>92</v>
      </c>
      <c r="K180" s="56">
        <v>4.4440274E7</v>
      </c>
      <c r="L180" s="60" t="s">
        <v>1241</v>
      </c>
      <c r="M180" s="59">
        <v>44110.0</v>
      </c>
      <c r="N180" s="60" t="s">
        <v>2340</v>
      </c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</row>
    <row r="181" ht="15.75" customHeight="1">
      <c r="A181" s="248"/>
      <c r="B181" s="56" t="str">
        <f t="shared" si="7"/>
        <v>HJ3</v>
      </c>
      <c r="C181" s="57" t="s">
        <v>1102</v>
      </c>
      <c r="D181" s="56" t="s">
        <v>117</v>
      </c>
      <c r="E181" s="56" t="s">
        <v>22</v>
      </c>
      <c r="F181" s="56" t="s">
        <v>30</v>
      </c>
      <c r="G181" s="56" t="s">
        <v>118</v>
      </c>
      <c r="H181" s="56" t="s">
        <v>118</v>
      </c>
      <c r="I181" s="59">
        <v>30805.0</v>
      </c>
      <c r="J181" s="56">
        <f t="shared" si="3"/>
        <v>41</v>
      </c>
      <c r="K181" s="56">
        <v>9.981814486E9</v>
      </c>
      <c r="L181" s="60" t="s">
        <v>1103</v>
      </c>
      <c r="M181" s="59">
        <v>44119.0</v>
      </c>
      <c r="N181" s="60" t="s">
        <v>2394</v>
      </c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</row>
    <row r="182" ht="15.75" customHeight="1">
      <c r="A182" s="248"/>
      <c r="B182" s="56" t="str">
        <f t="shared" si="7"/>
        <v>HD3</v>
      </c>
      <c r="C182" s="57" t="s">
        <v>825</v>
      </c>
      <c r="D182" s="56" t="s">
        <v>117</v>
      </c>
      <c r="E182" s="56" t="s">
        <v>40</v>
      </c>
      <c r="F182" s="56" t="s">
        <v>49</v>
      </c>
      <c r="G182" s="56" t="s">
        <v>118</v>
      </c>
      <c r="H182" s="56" t="s">
        <v>118</v>
      </c>
      <c r="I182" s="59">
        <v>31407.0</v>
      </c>
      <c r="J182" s="56">
        <f t="shared" si="3"/>
        <v>40</v>
      </c>
      <c r="K182" s="56" t="s">
        <v>570</v>
      </c>
      <c r="L182" s="60" t="s">
        <v>826</v>
      </c>
      <c r="M182" s="59">
        <v>44048.0</v>
      </c>
      <c r="N182" s="60" t="s">
        <v>2395</v>
      </c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</row>
    <row r="183" ht="15.75" customHeight="1">
      <c r="A183" s="248"/>
      <c r="B183" s="56" t="str">
        <f t="shared" si="7"/>
        <v>HS6</v>
      </c>
      <c r="C183" s="57" t="s">
        <v>786</v>
      </c>
      <c r="D183" s="56" t="s">
        <v>117</v>
      </c>
      <c r="E183" s="56" t="s">
        <v>40</v>
      </c>
      <c r="F183" s="56" t="s">
        <v>43</v>
      </c>
      <c r="G183" s="56" t="s">
        <v>118</v>
      </c>
      <c r="H183" s="56" t="s">
        <v>118</v>
      </c>
      <c r="I183" s="59">
        <v>36056.0</v>
      </c>
      <c r="J183" s="56">
        <f t="shared" si="3"/>
        <v>27</v>
      </c>
      <c r="K183" s="56"/>
      <c r="L183" s="60"/>
      <c r="M183" s="59">
        <v>44124.0</v>
      </c>
      <c r="N183" s="60" t="s">
        <v>2396</v>
      </c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</row>
    <row r="184" ht="15.75" customHeight="1">
      <c r="A184" s="248"/>
      <c r="B184" s="56" t="str">
        <f t="shared" si="7"/>
        <v>MS6</v>
      </c>
      <c r="C184" s="57" t="s">
        <v>817</v>
      </c>
      <c r="D184" s="56" t="s">
        <v>128</v>
      </c>
      <c r="E184" s="56" t="s">
        <v>40</v>
      </c>
      <c r="F184" s="56" t="s">
        <v>43</v>
      </c>
      <c r="G184" s="56" t="s">
        <v>118</v>
      </c>
      <c r="H184" s="56" t="s">
        <v>118</v>
      </c>
      <c r="I184" s="59">
        <v>36501.0</v>
      </c>
      <c r="J184" s="56">
        <f t="shared" si="3"/>
        <v>26</v>
      </c>
      <c r="K184" s="56">
        <v>3.33391702E9</v>
      </c>
      <c r="L184" s="60" t="s">
        <v>818</v>
      </c>
      <c r="M184" s="59">
        <v>44163.0</v>
      </c>
      <c r="N184" s="60" t="s">
        <v>2397</v>
      </c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</row>
    <row r="185" ht="15.75" customHeight="1">
      <c r="A185" s="248"/>
      <c r="B185" s="56" t="str">
        <f t="shared" si="7"/>
        <v>MB74</v>
      </c>
      <c r="C185" s="57" t="s">
        <v>564</v>
      </c>
      <c r="D185" s="56" t="s">
        <v>128</v>
      </c>
      <c r="E185" s="56" t="s">
        <v>40</v>
      </c>
      <c r="F185" s="56" t="s">
        <v>7</v>
      </c>
      <c r="G185" s="56" t="s">
        <v>118</v>
      </c>
      <c r="H185" s="56" t="s">
        <v>118</v>
      </c>
      <c r="I185" s="59">
        <v>35911.0</v>
      </c>
      <c r="J185" s="56">
        <f t="shared" si="3"/>
        <v>27</v>
      </c>
      <c r="K185" s="56">
        <v>3.312688826E9</v>
      </c>
      <c r="L185" s="60" t="s">
        <v>565</v>
      </c>
      <c r="M185" s="59">
        <v>44149.0</v>
      </c>
      <c r="N185" s="60" t="s">
        <v>2398</v>
      </c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</row>
    <row r="186" ht="15.75" customHeight="1">
      <c r="A186" s="248"/>
      <c r="B186" s="56" t="str">
        <f t="shared" si="7"/>
        <v>MS7</v>
      </c>
      <c r="C186" s="57" t="s">
        <v>606</v>
      </c>
      <c r="D186" s="56" t="s">
        <v>128</v>
      </c>
      <c r="E186" s="56" t="s">
        <v>40</v>
      </c>
      <c r="F186" s="56" t="s">
        <v>43</v>
      </c>
      <c r="G186" s="56" t="s">
        <v>118</v>
      </c>
      <c r="H186" s="56" t="s">
        <v>118</v>
      </c>
      <c r="I186" s="59">
        <v>36699.0</v>
      </c>
      <c r="J186" s="56">
        <f t="shared" si="3"/>
        <v>25</v>
      </c>
      <c r="K186" s="56">
        <v>3.314824413E9</v>
      </c>
      <c r="L186" s="60" t="s">
        <v>610</v>
      </c>
      <c r="M186" s="59">
        <v>44149.0</v>
      </c>
      <c r="N186" s="60" t="s">
        <v>2399</v>
      </c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</row>
    <row r="187" ht="15.75" customHeight="1">
      <c r="A187" s="248"/>
      <c r="B187" s="56" t="str">
        <f t="shared" si="7"/>
        <v>MMa5</v>
      </c>
      <c r="C187" s="57" t="s">
        <v>1867</v>
      </c>
      <c r="D187" s="56" t="s">
        <v>128</v>
      </c>
      <c r="E187" s="56" t="s">
        <v>34</v>
      </c>
      <c r="F187" s="56" t="s">
        <v>18</v>
      </c>
      <c r="G187" s="56" t="s">
        <v>118</v>
      </c>
      <c r="H187" s="56" t="s">
        <v>118</v>
      </c>
      <c r="I187" s="59">
        <v>34752.0</v>
      </c>
      <c r="J187" s="56">
        <f t="shared" si="3"/>
        <v>31</v>
      </c>
      <c r="K187" s="56">
        <v>3.318345827E9</v>
      </c>
      <c r="L187" s="60" t="s">
        <v>1868</v>
      </c>
      <c r="M187" s="59">
        <v>44173.0</v>
      </c>
      <c r="N187" s="60" t="s">
        <v>2400</v>
      </c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</row>
    <row r="188" ht="15.75" customHeight="1">
      <c r="A188" s="248"/>
      <c r="B188" s="56" t="str">
        <f t="shared" si="7"/>
        <v>HMi3</v>
      </c>
      <c r="C188" s="57" t="s">
        <v>1095</v>
      </c>
      <c r="D188" s="56" t="s">
        <v>117</v>
      </c>
      <c r="E188" s="56" t="s">
        <v>16</v>
      </c>
      <c r="F188" s="56" t="s">
        <v>24</v>
      </c>
      <c r="G188" s="56"/>
      <c r="H188" s="56"/>
      <c r="I188" s="59"/>
      <c r="J188" s="56">
        <f t="shared" si="3"/>
        <v>126</v>
      </c>
      <c r="K188" s="56"/>
      <c r="L188" s="60"/>
      <c r="M188" s="59">
        <v>44199.0</v>
      </c>
      <c r="N188" s="60" t="s">
        <v>2281</v>
      </c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</row>
    <row r="189" ht="15.75" customHeight="1">
      <c r="A189" s="248"/>
      <c r="B189" s="56" t="str">
        <f t="shared" si="7"/>
        <v>MMa6</v>
      </c>
      <c r="C189" s="57" t="s">
        <v>404</v>
      </c>
      <c r="D189" s="56" t="s">
        <v>128</v>
      </c>
      <c r="E189" s="56" t="s">
        <v>34</v>
      </c>
      <c r="F189" s="56" t="s">
        <v>18</v>
      </c>
      <c r="G189" s="56" t="s">
        <v>118</v>
      </c>
      <c r="H189" s="56" t="s">
        <v>118</v>
      </c>
      <c r="I189" s="59">
        <v>18493.0</v>
      </c>
      <c r="J189" s="56">
        <f t="shared" si="3"/>
        <v>75</v>
      </c>
      <c r="K189" s="56">
        <v>3.6084981E7</v>
      </c>
      <c r="L189" s="60" t="s">
        <v>405</v>
      </c>
      <c r="M189" s="59">
        <v>44204.0</v>
      </c>
      <c r="N189" s="60" t="s">
        <v>2281</v>
      </c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</row>
    <row r="190" ht="15.75" customHeight="1">
      <c r="A190" s="248"/>
      <c r="B190" s="56" t="str">
        <f t="shared" si="7"/>
        <v>HJ4</v>
      </c>
      <c r="C190" s="57" t="s">
        <v>2106</v>
      </c>
      <c r="D190" s="56" t="s">
        <v>117</v>
      </c>
      <c r="E190" s="56" t="s">
        <v>140</v>
      </c>
      <c r="F190" s="56" t="s">
        <v>30</v>
      </c>
      <c r="G190" s="56" t="s">
        <v>118</v>
      </c>
      <c r="H190" s="56" t="s">
        <v>165</v>
      </c>
      <c r="I190" s="59">
        <v>18585.0</v>
      </c>
      <c r="J190" s="56">
        <f t="shared" si="3"/>
        <v>75</v>
      </c>
      <c r="K190" s="56">
        <v>3.315457573E9</v>
      </c>
      <c r="L190" s="60" t="s">
        <v>2107</v>
      </c>
      <c r="M190" s="59">
        <v>44208.0</v>
      </c>
      <c r="N190" s="60" t="s">
        <v>2281</v>
      </c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</row>
    <row r="191" ht="15.75" customHeight="1">
      <c r="A191" s="248"/>
      <c r="B191" s="56" t="str">
        <f t="shared" si="7"/>
        <v>MJ2</v>
      </c>
      <c r="C191" s="57" t="s">
        <v>1246</v>
      </c>
      <c r="D191" s="56" t="s">
        <v>128</v>
      </c>
      <c r="E191" s="56" t="s">
        <v>34</v>
      </c>
      <c r="F191" s="56" t="s">
        <v>30</v>
      </c>
      <c r="G191" s="56" t="s">
        <v>118</v>
      </c>
      <c r="H191" s="56" t="s">
        <v>118</v>
      </c>
      <c r="I191" s="59">
        <v>18037.0</v>
      </c>
      <c r="J191" s="56">
        <f t="shared" si="3"/>
        <v>76</v>
      </c>
      <c r="K191" s="56">
        <v>3.312871608E9</v>
      </c>
      <c r="L191" s="60" t="s">
        <v>1247</v>
      </c>
      <c r="M191" s="59">
        <v>44223.0</v>
      </c>
      <c r="N191" s="60" t="s">
        <v>2281</v>
      </c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</row>
    <row r="192" ht="15.75" customHeight="1">
      <c r="A192" s="248"/>
      <c r="B192" s="56" t="str">
        <f t="shared" si="7"/>
        <v>MV7</v>
      </c>
      <c r="C192" s="57" t="s">
        <v>331</v>
      </c>
      <c r="D192" s="56" t="s">
        <v>128</v>
      </c>
      <c r="E192" s="56" t="s">
        <v>40</v>
      </c>
      <c r="F192" s="56" t="s">
        <v>36</v>
      </c>
      <c r="G192" s="56" t="s">
        <v>118</v>
      </c>
      <c r="H192" s="56" t="s">
        <v>118</v>
      </c>
      <c r="I192" s="59">
        <v>37287.0</v>
      </c>
      <c r="J192" s="56">
        <f t="shared" si="3"/>
        <v>24</v>
      </c>
      <c r="K192" s="56">
        <v>3.31180102E9</v>
      </c>
      <c r="L192" s="60" t="s">
        <v>332</v>
      </c>
      <c r="M192" s="59">
        <v>44234.0</v>
      </c>
      <c r="N192" s="60" t="s">
        <v>1370</v>
      </c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</row>
    <row r="193" ht="15.75" customHeight="1">
      <c r="A193" s="248"/>
      <c r="B193" s="56" t="str">
        <f t="shared" si="7"/>
        <v>HJ5</v>
      </c>
      <c r="C193" s="57" t="s">
        <v>1421</v>
      </c>
      <c r="D193" s="56" t="s">
        <v>117</v>
      </c>
      <c r="E193" s="56" t="s">
        <v>22</v>
      </c>
      <c r="F193" s="56" t="s">
        <v>30</v>
      </c>
      <c r="G193" s="56" t="s">
        <v>118</v>
      </c>
      <c r="H193" s="56" t="s">
        <v>118</v>
      </c>
      <c r="I193" s="59">
        <v>29547.0</v>
      </c>
      <c r="J193" s="56">
        <f t="shared" si="3"/>
        <v>45</v>
      </c>
      <c r="K193" s="56">
        <v>3.313339387E9</v>
      </c>
      <c r="L193" s="60" t="s">
        <v>1422</v>
      </c>
      <c r="M193" s="59">
        <v>44270.0</v>
      </c>
      <c r="N193" s="60" t="s">
        <v>1423</v>
      </c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</row>
    <row r="194" ht="15.75" customHeight="1">
      <c r="A194" s="248"/>
      <c r="B194" s="56" t="str">
        <f t="shared" si="7"/>
        <v>MV8</v>
      </c>
      <c r="C194" s="57" t="s">
        <v>2013</v>
      </c>
      <c r="D194" s="56" t="s">
        <v>128</v>
      </c>
      <c r="E194" s="56" t="s">
        <v>40</v>
      </c>
      <c r="F194" s="56" t="s">
        <v>36</v>
      </c>
      <c r="G194" s="56" t="s">
        <v>118</v>
      </c>
      <c r="H194" s="56" t="s">
        <v>118</v>
      </c>
      <c r="I194" s="59">
        <v>37203.0</v>
      </c>
      <c r="J194" s="56">
        <f t="shared" si="3"/>
        <v>24</v>
      </c>
      <c r="K194" s="56">
        <v>3.317512237E9</v>
      </c>
      <c r="L194" s="60" t="s">
        <v>2014</v>
      </c>
      <c r="M194" s="59">
        <v>44257.0</v>
      </c>
      <c r="N194" s="60" t="s">
        <v>2401</v>
      </c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</row>
    <row r="195" ht="15.75" customHeight="1">
      <c r="A195" s="248"/>
      <c r="B195" s="56" t="str">
        <f t="shared" si="7"/>
        <v>MJ3</v>
      </c>
      <c r="C195" s="57" t="s">
        <v>1145</v>
      </c>
      <c r="D195" s="56" t="s">
        <v>128</v>
      </c>
      <c r="E195" s="56" t="s">
        <v>34</v>
      </c>
      <c r="F195" s="56" t="s">
        <v>30</v>
      </c>
      <c r="G195" s="56" t="s">
        <v>118</v>
      </c>
      <c r="H195" s="56" t="s">
        <v>118</v>
      </c>
      <c r="I195" s="59">
        <v>15157.0</v>
      </c>
      <c r="J195" s="56">
        <f t="shared" si="3"/>
        <v>84</v>
      </c>
      <c r="K195" s="56">
        <v>1.5109611E7</v>
      </c>
      <c r="L195" s="60" t="s">
        <v>1146</v>
      </c>
      <c r="M195" s="59">
        <v>44274.0</v>
      </c>
      <c r="N195" s="60" t="s">
        <v>2281</v>
      </c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</row>
    <row r="196" ht="15.75" customHeight="1">
      <c r="A196" s="248"/>
      <c r="B196" s="56" t="str">
        <f t="shared" si="7"/>
        <v>ML1</v>
      </c>
      <c r="C196" s="57" t="s">
        <v>569</v>
      </c>
      <c r="D196" s="56" t="s">
        <v>128</v>
      </c>
      <c r="E196" s="56" t="s">
        <v>40</v>
      </c>
      <c r="F196" s="56" t="s">
        <v>12</v>
      </c>
      <c r="G196" s="56" t="s">
        <v>118</v>
      </c>
      <c r="H196" s="56" t="s">
        <v>118</v>
      </c>
      <c r="I196" s="59">
        <v>37395.0</v>
      </c>
      <c r="J196" s="56">
        <f t="shared" si="3"/>
        <v>23</v>
      </c>
      <c r="K196" s="56">
        <v>3.311522115E9</v>
      </c>
      <c r="L196" s="60" t="s">
        <v>568</v>
      </c>
      <c r="M196" s="59">
        <v>44296.0</v>
      </c>
      <c r="N196" s="60" t="s">
        <v>2402</v>
      </c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</row>
    <row r="197" ht="15.75" customHeight="1">
      <c r="A197" s="248"/>
      <c r="B197" s="248"/>
      <c r="C197" s="250" t="s">
        <v>2403</v>
      </c>
      <c r="D197" s="248"/>
      <c r="E197" s="248"/>
      <c r="F197" s="248"/>
      <c r="G197" s="248"/>
      <c r="H197" s="248"/>
      <c r="I197" s="249"/>
      <c r="J197" s="248"/>
      <c r="K197" s="248"/>
      <c r="L197" s="250" t="s">
        <v>2404</v>
      </c>
      <c r="M197" s="258">
        <v>44297.0</v>
      </c>
      <c r="N197" s="250" t="s">
        <v>2405</v>
      </c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</row>
    <row r="198" ht="15.75" customHeight="1">
      <c r="A198" s="248"/>
      <c r="B198" s="248"/>
      <c r="C198" s="250" t="s">
        <v>2406</v>
      </c>
      <c r="D198" s="248"/>
      <c r="E198" s="248"/>
      <c r="F198" s="248"/>
      <c r="G198" s="248"/>
      <c r="H198" s="248"/>
      <c r="I198" s="249"/>
      <c r="J198" s="248"/>
      <c r="K198" s="248"/>
      <c r="L198" s="250" t="s">
        <v>2404</v>
      </c>
      <c r="M198" s="258">
        <v>44297.0</v>
      </c>
      <c r="N198" s="250" t="s">
        <v>2405</v>
      </c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</row>
    <row r="199" ht="15.75" customHeight="1">
      <c r="A199" s="248"/>
      <c r="B199" s="248"/>
      <c r="C199" s="250" t="s">
        <v>2407</v>
      </c>
      <c r="D199" s="248"/>
      <c r="E199" s="248"/>
      <c r="F199" s="248"/>
      <c r="G199" s="248"/>
      <c r="H199" s="248"/>
      <c r="I199" s="249"/>
      <c r="J199" s="248"/>
      <c r="K199" s="248"/>
      <c r="L199" s="250" t="s">
        <v>2404</v>
      </c>
      <c r="M199" s="258">
        <v>44297.0</v>
      </c>
      <c r="N199" s="250" t="s">
        <v>2405</v>
      </c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</row>
    <row r="200" ht="15.75" customHeight="1">
      <c r="A200" s="248"/>
      <c r="B200" s="56" t="str">
        <f t="shared" ref="B200:B204" si="8">IF(C200="","",D200&amp;F200&amp;COUNTIFS($D$4:D200,D200,$F$4:F200,F200))</f>
        <v>MS8</v>
      </c>
      <c r="C200" s="57" t="s">
        <v>821</v>
      </c>
      <c r="D200" s="56" t="s">
        <v>128</v>
      </c>
      <c r="E200" s="56" t="s">
        <v>40</v>
      </c>
      <c r="F200" s="56" t="s">
        <v>43</v>
      </c>
      <c r="G200" s="56" t="s">
        <v>118</v>
      </c>
      <c r="H200" s="56" t="s">
        <v>118</v>
      </c>
      <c r="I200" s="59">
        <v>38205.0</v>
      </c>
      <c r="J200" s="56">
        <f t="shared" ref="J200:J204" si="9">IF(C200="","",DATEDIF(I200,TODAY(),"Y"))</f>
        <v>21</v>
      </c>
      <c r="K200" s="56">
        <v>3.324593435E9</v>
      </c>
      <c r="L200" s="60" t="s">
        <v>822</v>
      </c>
      <c r="M200" s="59">
        <v>44306.0</v>
      </c>
      <c r="N200" s="60" t="s">
        <v>2408</v>
      </c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</row>
    <row r="201" ht="15.75" customHeight="1">
      <c r="A201" s="248"/>
      <c r="B201" s="56" t="str">
        <f t="shared" si="8"/>
        <v>MMi3</v>
      </c>
      <c r="C201" s="57" t="s">
        <v>1468</v>
      </c>
      <c r="D201" s="56" t="s">
        <v>128</v>
      </c>
      <c r="E201" s="56" t="s">
        <v>40</v>
      </c>
      <c r="F201" s="56" t="s">
        <v>24</v>
      </c>
      <c r="G201" s="56" t="s">
        <v>118</v>
      </c>
      <c r="H201" s="56" t="s">
        <v>118</v>
      </c>
      <c r="I201" s="59">
        <v>37607.0</v>
      </c>
      <c r="J201" s="56">
        <f t="shared" si="9"/>
        <v>23</v>
      </c>
      <c r="K201" s="56">
        <v>3.329898333E9</v>
      </c>
      <c r="L201" s="60" t="s">
        <v>1469</v>
      </c>
      <c r="M201" s="59">
        <v>44308.0</v>
      </c>
      <c r="N201" s="60" t="s">
        <v>2409</v>
      </c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</row>
    <row r="202" ht="15.75" customHeight="1">
      <c r="A202" s="248"/>
      <c r="B202" s="56" t="str">
        <f t="shared" si="8"/>
        <v>HMa2</v>
      </c>
      <c r="C202" s="57" t="s">
        <v>1855</v>
      </c>
      <c r="D202" s="56" t="s">
        <v>117</v>
      </c>
      <c r="E202" s="56" t="s">
        <v>16</v>
      </c>
      <c r="F202" s="56" t="s">
        <v>18</v>
      </c>
      <c r="G202" s="56" t="s">
        <v>118</v>
      </c>
      <c r="H202" s="56" t="s">
        <v>118</v>
      </c>
      <c r="I202" s="59">
        <v>21574.0</v>
      </c>
      <c r="J202" s="56">
        <f t="shared" si="9"/>
        <v>67</v>
      </c>
      <c r="K202" s="56">
        <v>5.536791585E9</v>
      </c>
      <c r="L202" s="60" t="s">
        <v>1856</v>
      </c>
      <c r="M202" s="59">
        <v>44314.0</v>
      </c>
      <c r="N202" s="60" t="s">
        <v>2410</v>
      </c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</row>
    <row r="203" ht="15.75" customHeight="1">
      <c r="A203" s="248"/>
      <c r="B203" s="56" t="str">
        <f t="shared" si="8"/>
        <v>MMa7</v>
      </c>
      <c r="C203" s="57" t="s">
        <v>1381</v>
      </c>
      <c r="D203" s="56" t="s">
        <v>128</v>
      </c>
      <c r="E203" s="56" t="s">
        <v>40</v>
      </c>
      <c r="F203" s="56" t="s">
        <v>18</v>
      </c>
      <c r="G203" s="56" t="s">
        <v>118</v>
      </c>
      <c r="H203" s="56" t="s">
        <v>118</v>
      </c>
      <c r="I203" s="59">
        <v>37211.0</v>
      </c>
      <c r="J203" s="56">
        <f t="shared" si="9"/>
        <v>24</v>
      </c>
      <c r="K203" s="56">
        <v>8.662382586E9</v>
      </c>
      <c r="L203" s="60" t="s">
        <v>1382</v>
      </c>
      <c r="M203" s="59">
        <v>44320.0</v>
      </c>
      <c r="N203" s="60" t="s">
        <v>1383</v>
      </c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</row>
    <row r="204" ht="15.75" customHeight="1">
      <c r="A204" s="248"/>
      <c r="B204" s="56" t="str">
        <f t="shared" si="8"/>
        <v>HV1</v>
      </c>
      <c r="C204" s="57" t="s">
        <v>2411</v>
      </c>
      <c r="D204" s="56" t="s">
        <v>117</v>
      </c>
      <c r="E204" s="56" t="s">
        <v>40</v>
      </c>
      <c r="F204" s="56" t="s">
        <v>36</v>
      </c>
      <c r="G204" s="56" t="s">
        <v>118</v>
      </c>
      <c r="H204" s="56" t="s">
        <v>118</v>
      </c>
      <c r="I204" s="59">
        <v>36826.0</v>
      </c>
      <c r="J204" s="56">
        <f t="shared" si="9"/>
        <v>25</v>
      </c>
      <c r="K204" s="56">
        <v>3.519755537E9</v>
      </c>
      <c r="L204" s="60" t="s">
        <v>1172</v>
      </c>
      <c r="M204" s="59">
        <v>44320.0</v>
      </c>
      <c r="N204" s="60" t="s">
        <v>2412</v>
      </c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</row>
    <row r="205" ht="15.75" customHeight="1">
      <c r="A205" s="248"/>
      <c r="B205" s="248"/>
      <c r="C205" s="250" t="s">
        <v>2413</v>
      </c>
      <c r="D205" s="248"/>
      <c r="E205" s="248"/>
      <c r="F205" s="248"/>
      <c r="G205" s="248"/>
      <c r="H205" s="248"/>
      <c r="I205" s="249"/>
      <c r="J205" s="248"/>
      <c r="K205" s="248"/>
      <c r="L205" s="250"/>
      <c r="M205" s="259">
        <v>44345.0</v>
      </c>
      <c r="N205" s="250" t="s">
        <v>2414</v>
      </c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</row>
    <row r="206" ht="15.75" customHeight="1">
      <c r="A206" s="248"/>
      <c r="B206" s="56" t="str">
        <f t="shared" ref="B206:B248" si="10">IF(C206="","",D206&amp;F206&amp;COUNTIFS($D$4:D206,D206,$F$4:F206,F206))</f>
        <v>MS9</v>
      </c>
      <c r="C206" s="57" t="s">
        <v>885</v>
      </c>
      <c r="D206" s="56" t="s">
        <v>128</v>
      </c>
      <c r="E206" s="56" t="s">
        <v>40</v>
      </c>
      <c r="F206" s="56" t="s">
        <v>43</v>
      </c>
      <c r="G206" s="56" t="s">
        <v>118</v>
      </c>
      <c r="H206" s="56" t="s">
        <v>118</v>
      </c>
      <c r="I206" s="59">
        <v>37386.0</v>
      </c>
      <c r="J206" s="56">
        <f t="shared" ref="J206:J248" si="11">IF(C206="","",DATEDIF(I206,TODAY(),"Y"))</f>
        <v>23</v>
      </c>
      <c r="K206" s="56">
        <v>3.331026328E9</v>
      </c>
      <c r="L206" s="60" t="s">
        <v>886</v>
      </c>
      <c r="M206" s="59">
        <v>44380.0</v>
      </c>
      <c r="N206" s="60" t="s">
        <v>2401</v>
      </c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</row>
    <row r="207" ht="15.75" customHeight="1">
      <c r="A207" s="248"/>
      <c r="B207" s="56" t="str">
        <f t="shared" si="10"/>
        <v>MS10</v>
      </c>
      <c r="C207" s="57" t="s">
        <v>1198</v>
      </c>
      <c r="D207" s="56" t="s">
        <v>128</v>
      </c>
      <c r="E207" s="56" t="s">
        <v>40</v>
      </c>
      <c r="F207" s="56" t="s">
        <v>43</v>
      </c>
      <c r="G207" s="56" t="s">
        <v>118</v>
      </c>
      <c r="H207" s="56" t="s">
        <v>118</v>
      </c>
      <c r="I207" s="59">
        <v>36604.0</v>
      </c>
      <c r="J207" s="56">
        <f t="shared" si="11"/>
        <v>26</v>
      </c>
      <c r="K207" s="56">
        <v>3.31145248E9</v>
      </c>
      <c r="L207" s="60" t="s">
        <v>1199</v>
      </c>
      <c r="M207" s="59">
        <v>44390.0</v>
      </c>
      <c r="N207" s="60" t="s">
        <v>2381</v>
      </c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</row>
    <row r="208" ht="15.75" customHeight="1">
      <c r="A208" s="248"/>
      <c r="B208" s="56" t="str">
        <f t="shared" si="10"/>
        <v>HD4</v>
      </c>
      <c r="C208" s="57" t="s">
        <v>1811</v>
      </c>
      <c r="D208" s="56" t="s">
        <v>117</v>
      </c>
      <c r="E208" s="56" t="s">
        <v>28</v>
      </c>
      <c r="F208" s="56" t="s">
        <v>49</v>
      </c>
      <c r="G208" s="56" t="s">
        <v>118</v>
      </c>
      <c r="H208" s="56" t="s">
        <v>118</v>
      </c>
      <c r="I208" s="59">
        <v>32653.0</v>
      </c>
      <c r="J208" s="56">
        <f t="shared" si="11"/>
        <v>36</v>
      </c>
      <c r="K208" s="56">
        <v>2.228507139E9</v>
      </c>
      <c r="L208" s="60" t="s">
        <v>1812</v>
      </c>
      <c r="M208" s="59">
        <v>44394.0</v>
      </c>
      <c r="N208" s="60" t="s">
        <v>2415</v>
      </c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</row>
    <row r="209" ht="15.75" customHeight="1">
      <c r="A209" s="248"/>
      <c r="B209" s="56" t="str">
        <f t="shared" si="10"/>
        <v>MD4</v>
      </c>
      <c r="C209" s="57" t="s">
        <v>504</v>
      </c>
      <c r="D209" s="56" t="s">
        <v>128</v>
      </c>
      <c r="E209" s="56" t="s">
        <v>22</v>
      </c>
      <c r="F209" s="56" t="s">
        <v>49</v>
      </c>
      <c r="G209" s="56" t="s">
        <v>118</v>
      </c>
      <c r="H209" s="56" t="s">
        <v>118</v>
      </c>
      <c r="I209" s="59">
        <v>30573.0</v>
      </c>
      <c r="J209" s="56">
        <f t="shared" si="11"/>
        <v>42</v>
      </c>
      <c r="K209" s="56">
        <v>3.321189847E9</v>
      </c>
      <c r="L209" s="60" t="s">
        <v>399</v>
      </c>
      <c r="M209" s="59">
        <v>44394.0</v>
      </c>
      <c r="N209" s="60" t="s">
        <v>2415</v>
      </c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</row>
    <row r="210" ht="15.75" customHeight="1">
      <c r="A210" s="248"/>
      <c r="B210" s="56" t="str">
        <f t="shared" si="10"/>
        <v>HJ6</v>
      </c>
      <c r="C210" s="57" t="s">
        <v>308</v>
      </c>
      <c r="D210" s="56" t="s">
        <v>117</v>
      </c>
      <c r="E210" s="56" t="s">
        <v>28</v>
      </c>
      <c r="F210" s="56" t="s">
        <v>30</v>
      </c>
      <c r="G210" s="56" t="s">
        <v>118</v>
      </c>
      <c r="H210" s="56" t="s">
        <v>118</v>
      </c>
      <c r="I210" s="59"/>
      <c r="J210" s="56">
        <f t="shared" si="11"/>
        <v>126</v>
      </c>
      <c r="K210" s="56">
        <v>2.29258649E9</v>
      </c>
      <c r="L210" s="60" t="s">
        <v>309</v>
      </c>
      <c r="M210" s="59">
        <v>44396.0</v>
      </c>
      <c r="N210" s="60" t="s">
        <v>2416</v>
      </c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</row>
    <row r="211" ht="15.75" customHeight="1">
      <c r="A211" s="248"/>
      <c r="B211" s="56" t="str">
        <f t="shared" si="10"/>
        <v>MJ4</v>
      </c>
      <c r="C211" s="57" t="s">
        <v>2067</v>
      </c>
      <c r="D211" s="56" t="s">
        <v>128</v>
      </c>
      <c r="E211" s="56" t="s">
        <v>40</v>
      </c>
      <c r="F211" s="56" t="s">
        <v>30</v>
      </c>
      <c r="G211" s="56" t="s">
        <v>118</v>
      </c>
      <c r="H211" s="56" t="s">
        <v>118</v>
      </c>
      <c r="I211" s="59">
        <v>35423.0</v>
      </c>
      <c r="J211" s="56">
        <f t="shared" si="11"/>
        <v>29</v>
      </c>
      <c r="K211" s="56">
        <v>4.851047832E9</v>
      </c>
      <c r="L211" s="60" t="s">
        <v>2068</v>
      </c>
      <c r="M211" s="59">
        <v>44396.0</v>
      </c>
      <c r="N211" s="60" t="s">
        <v>2416</v>
      </c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</row>
    <row r="212" ht="15.75" customHeight="1">
      <c r="A212" s="248"/>
      <c r="B212" s="56" t="str">
        <f t="shared" si="10"/>
        <v>HJ7</v>
      </c>
      <c r="C212" s="57" t="s">
        <v>1819</v>
      </c>
      <c r="D212" s="56" t="s">
        <v>117</v>
      </c>
      <c r="E212" s="56" t="s">
        <v>16</v>
      </c>
      <c r="F212" s="56" t="s">
        <v>30</v>
      </c>
      <c r="G212" s="56" t="s">
        <v>118</v>
      </c>
      <c r="H212" s="56" t="s">
        <v>118</v>
      </c>
      <c r="I212" s="59">
        <v>26758.0</v>
      </c>
      <c r="J212" s="56">
        <f t="shared" si="11"/>
        <v>53</v>
      </c>
      <c r="K212" s="56">
        <v>3.31892786E9</v>
      </c>
      <c r="L212" s="60" t="s">
        <v>1820</v>
      </c>
      <c r="M212" s="59">
        <v>44306.0</v>
      </c>
      <c r="N212" s="60" t="s">
        <v>2281</v>
      </c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</row>
    <row r="213" ht="15.75" customHeight="1">
      <c r="A213" s="248"/>
      <c r="B213" s="56" t="str">
        <f t="shared" si="10"/>
        <v>MV9</v>
      </c>
      <c r="C213" s="57" t="s">
        <v>803</v>
      </c>
      <c r="D213" s="56" t="s">
        <v>128</v>
      </c>
      <c r="E213" s="56" t="s">
        <v>16</v>
      </c>
      <c r="F213" s="56" t="s">
        <v>36</v>
      </c>
      <c r="G213" s="56" t="s">
        <v>118</v>
      </c>
      <c r="H213" s="56" t="s">
        <v>118</v>
      </c>
      <c r="I213" s="59"/>
      <c r="J213" s="56">
        <f t="shared" si="11"/>
        <v>126</v>
      </c>
      <c r="K213" s="56">
        <v>3.329367181E9</v>
      </c>
      <c r="L213" s="60" t="s">
        <v>804</v>
      </c>
      <c r="M213" s="59">
        <v>44433.0</v>
      </c>
      <c r="N213" s="60" t="s">
        <v>2417</v>
      </c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</row>
    <row r="214" ht="15.75" customHeight="1">
      <c r="A214" s="248"/>
      <c r="B214" s="56" t="str">
        <f t="shared" si="10"/>
        <v>MD5</v>
      </c>
      <c r="C214" s="57" t="s">
        <v>1015</v>
      </c>
      <c r="D214" s="56" t="s">
        <v>128</v>
      </c>
      <c r="E214" s="56" t="s">
        <v>40</v>
      </c>
      <c r="F214" s="56" t="s">
        <v>49</v>
      </c>
      <c r="G214" s="56" t="s">
        <v>118</v>
      </c>
      <c r="H214" s="56" t="s">
        <v>118</v>
      </c>
      <c r="I214" s="59">
        <v>32177.0</v>
      </c>
      <c r="J214" s="56">
        <f t="shared" si="11"/>
        <v>38</v>
      </c>
      <c r="K214" s="56">
        <v>3.313297664E9</v>
      </c>
      <c r="L214" s="60"/>
      <c r="M214" s="59">
        <v>44432.0</v>
      </c>
      <c r="N214" s="60" t="s">
        <v>2418</v>
      </c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</row>
    <row r="215" ht="15.75" customHeight="1">
      <c r="A215" s="248"/>
      <c r="B215" s="56" t="str">
        <f t="shared" si="10"/>
        <v>HV2</v>
      </c>
      <c r="C215" s="57" t="s">
        <v>1555</v>
      </c>
      <c r="D215" s="56" t="s">
        <v>117</v>
      </c>
      <c r="E215" s="56" t="s">
        <v>40</v>
      </c>
      <c r="F215" s="56" t="s">
        <v>36</v>
      </c>
      <c r="G215" s="56" t="s">
        <v>118</v>
      </c>
      <c r="H215" s="56" t="s">
        <v>118</v>
      </c>
      <c r="I215" s="59">
        <v>38539.0</v>
      </c>
      <c r="J215" s="56">
        <f t="shared" si="11"/>
        <v>20</v>
      </c>
      <c r="K215" s="56"/>
      <c r="L215" s="60" t="s">
        <v>1556</v>
      </c>
      <c r="M215" s="59">
        <v>44495.0</v>
      </c>
      <c r="N215" s="60" t="s">
        <v>1915</v>
      </c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</row>
    <row r="216" ht="15.75" customHeight="1">
      <c r="A216" s="248"/>
      <c r="B216" s="56" t="str">
        <f t="shared" si="10"/>
        <v>HS7</v>
      </c>
      <c r="C216" s="57" t="s">
        <v>797</v>
      </c>
      <c r="D216" s="56" t="s">
        <v>117</v>
      </c>
      <c r="E216" s="56" t="s">
        <v>40</v>
      </c>
      <c r="F216" s="56" t="s">
        <v>43</v>
      </c>
      <c r="G216" s="56" t="s">
        <v>118</v>
      </c>
      <c r="H216" s="56" t="s">
        <v>118</v>
      </c>
      <c r="I216" s="59">
        <v>37807.0</v>
      </c>
      <c r="J216" s="56">
        <f t="shared" si="11"/>
        <v>22</v>
      </c>
      <c r="K216" s="56">
        <v>3.326576454E9</v>
      </c>
      <c r="L216" s="60" t="s">
        <v>798</v>
      </c>
      <c r="M216" s="59" t="s">
        <v>2419</v>
      </c>
      <c r="N216" s="60" t="s">
        <v>1915</v>
      </c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</row>
    <row r="217" ht="15.75" customHeight="1">
      <c r="A217" s="248"/>
      <c r="B217" s="56" t="str">
        <f t="shared" si="10"/>
        <v>MS11</v>
      </c>
      <c r="C217" s="57" t="s">
        <v>1351</v>
      </c>
      <c r="D217" s="56" t="s">
        <v>128</v>
      </c>
      <c r="E217" s="56" t="s">
        <v>34</v>
      </c>
      <c r="F217" s="56" t="s">
        <v>43</v>
      </c>
      <c r="G217" s="56" t="s">
        <v>118</v>
      </c>
      <c r="H217" s="56" t="s">
        <v>118</v>
      </c>
      <c r="I217" s="59">
        <v>21102.0</v>
      </c>
      <c r="J217" s="56">
        <f t="shared" si="11"/>
        <v>68</v>
      </c>
      <c r="K217" s="56">
        <v>3.317505905E9</v>
      </c>
      <c r="L217" s="60" t="s">
        <v>1352</v>
      </c>
      <c r="M217" s="59">
        <v>44489.0</v>
      </c>
      <c r="N217" s="60" t="s">
        <v>2420</v>
      </c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</row>
    <row r="218" ht="15.75" customHeight="1">
      <c r="A218" s="248"/>
      <c r="B218" s="56" t="str">
        <f t="shared" si="10"/>
        <v>HS8</v>
      </c>
      <c r="C218" s="57" t="s">
        <v>1238</v>
      </c>
      <c r="D218" s="56" t="s">
        <v>117</v>
      </c>
      <c r="E218" s="56" t="s">
        <v>40</v>
      </c>
      <c r="F218" s="56" t="s">
        <v>43</v>
      </c>
      <c r="G218" s="56" t="s">
        <v>118</v>
      </c>
      <c r="H218" s="56" t="s">
        <v>118</v>
      </c>
      <c r="I218" s="59">
        <v>37687.0</v>
      </c>
      <c r="J218" s="56">
        <f t="shared" si="11"/>
        <v>23</v>
      </c>
      <c r="K218" s="56">
        <v>3.323118333E9</v>
      </c>
      <c r="L218" s="60" t="s">
        <v>1239</v>
      </c>
      <c r="M218" s="59" t="s">
        <v>2419</v>
      </c>
      <c r="N218" s="60" t="s">
        <v>2421</v>
      </c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</row>
    <row r="219" ht="15.75" customHeight="1">
      <c r="A219" s="248"/>
      <c r="B219" s="56" t="str">
        <f t="shared" si="10"/>
        <v>MS12</v>
      </c>
      <c r="C219" s="57" t="s">
        <v>510</v>
      </c>
      <c r="D219" s="56" t="s">
        <v>128</v>
      </c>
      <c r="E219" s="56" t="s">
        <v>40</v>
      </c>
      <c r="F219" s="56" t="s">
        <v>43</v>
      </c>
      <c r="G219" s="56" t="s">
        <v>118</v>
      </c>
      <c r="H219" s="56" t="s">
        <v>118</v>
      </c>
      <c r="I219" s="59">
        <v>37483.0</v>
      </c>
      <c r="J219" s="56">
        <f t="shared" si="11"/>
        <v>23</v>
      </c>
      <c r="K219" s="56">
        <v>3.326529944E9</v>
      </c>
      <c r="L219" s="60" t="s">
        <v>511</v>
      </c>
      <c r="M219" s="59">
        <v>44492.0</v>
      </c>
      <c r="N219" s="60" t="s">
        <v>2422</v>
      </c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</row>
    <row r="220" ht="15.75" customHeight="1">
      <c r="A220" s="248"/>
      <c r="B220" s="56" t="str">
        <f t="shared" si="10"/>
        <v>ML2</v>
      </c>
      <c r="C220" s="57" t="s">
        <v>417</v>
      </c>
      <c r="D220" s="56" t="s">
        <v>128</v>
      </c>
      <c r="E220" s="56" t="s">
        <v>34</v>
      </c>
      <c r="F220" s="56" t="s">
        <v>12</v>
      </c>
      <c r="G220" s="56" t="s">
        <v>118</v>
      </c>
      <c r="H220" s="56" t="s">
        <v>118</v>
      </c>
      <c r="I220" s="59">
        <v>30104.0</v>
      </c>
      <c r="J220" s="56">
        <f t="shared" si="11"/>
        <v>43</v>
      </c>
      <c r="K220" s="56">
        <v>3.319898586E9</v>
      </c>
      <c r="L220" s="60" t="s">
        <v>418</v>
      </c>
      <c r="M220" s="59">
        <v>44440.0</v>
      </c>
      <c r="N220" s="60" t="s">
        <v>2423</v>
      </c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</row>
    <row r="221" ht="15.75" customHeight="1">
      <c r="A221" s="248"/>
      <c r="B221" s="56" t="str">
        <f t="shared" si="10"/>
        <v>MJ5</v>
      </c>
      <c r="C221" s="57" t="s">
        <v>706</v>
      </c>
      <c r="D221" s="56" t="s">
        <v>128</v>
      </c>
      <c r="E221" s="56" t="s">
        <v>140</v>
      </c>
      <c r="F221" s="56" t="s">
        <v>30</v>
      </c>
      <c r="G221" s="56" t="s">
        <v>118</v>
      </c>
      <c r="H221" s="56" t="s">
        <v>118</v>
      </c>
      <c r="I221" s="59">
        <v>26001.0</v>
      </c>
      <c r="J221" s="56">
        <f t="shared" si="11"/>
        <v>55</v>
      </c>
      <c r="K221" s="56">
        <v>1.674057E7</v>
      </c>
      <c r="L221" s="60" t="s">
        <v>707</v>
      </c>
      <c r="M221" s="59">
        <v>44441.0</v>
      </c>
      <c r="N221" s="60" t="s">
        <v>2424</v>
      </c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</row>
    <row r="222" ht="15.75" customHeight="1">
      <c r="A222" s="248"/>
      <c r="B222" s="56" t="str">
        <f t="shared" si="10"/>
        <v>HMi4</v>
      </c>
      <c r="C222" s="57" t="s">
        <v>394</v>
      </c>
      <c r="D222" s="56" t="s">
        <v>117</v>
      </c>
      <c r="E222" s="56" t="s">
        <v>40</v>
      </c>
      <c r="F222" s="56" t="s">
        <v>24</v>
      </c>
      <c r="G222" s="56" t="s">
        <v>118</v>
      </c>
      <c r="H222" s="56" t="s">
        <v>118</v>
      </c>
      <c r="I222" s="59">
        <v>37488.0</v>
      </c>
      <c r="J222" s="56">
        <f t="shared" si="11"/>
        <v>23</v>
      </c>
      <c r="K222" s="56">
        <v>3.316709123E9</v>
      </c>
      <c r="L222" s="60" t="s">
        <v>395</v>
      </c>
      <c r="M222" s="59">
        <v>44442.0</v>
      </c>
      <c r="N222" s="60" t="s">
        <v>2425</v>
      </c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</row>
    <row r="223" ht="15.75" customHeight="1">
      <c r="A223" s="248"/>
      <c r="B223" s="56" t="str">
        <f t="shared" si="10"/>
        <v>MMa8</v>
      </c>
      <c r="C223" s="57" t="s">
        <v>1078</v>
      </c>
      <c r="D223" s="56" t="s">
        <v>128</v>
      </c>
      <c r="E223" s="56" t="s">
        <v>34</v>
      </c>
      <c r="F223" s="56" t="s">
        <v>18</v>
      </c>
      <c r="G223" s="56" t="s">
        <v>118</v>
      </c>
      <c r="H223" s="56" t="s">
        <v>118</v>
      </c>
      <c r="I223" s="59">
        <v>29359.0</v>
      </c>
      <c r="J223" s="56">
        <f t="shared" si="11"/>
        <v>45</v>
      </c>
      <c r="K223" s="56" t="s">
        <v>223</v>
      </c>
      <c r="L223" s="60" t="s">
        <v>1079</v>
      </c>
      <c r="M223" s="59">
        <v>44443.0</v>
      </c>
      <c r="N223" s="60" t="s">
        <v>2426</v>
      </c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</row>
    <row r="224" ht="15.75" customHeight="1">
      <c r="A224" s="248"/>
      <c r="B224" s="56" t="str">
        <f t="shared" si="10"/>
        <v>HD5</v>
      </c>
      <c r="C224" s="57" t="s">
        <v>207</v>
      </c>
      <c r="D224" s="56" t="s">
        <v>117</v>
      </c>
      <c r="E224" s="56" t="s">
        <v>22</v>
      </c>
      <c r="F224" s="56" t="s">
        <v>49</v>
      </c>
      <c r="G224" s="56" t="s">
        <v>118</v>
      </c>
      <c r="H224" s="56" t="s">
        <v>118</v>
      </c>
      <c r="I224" s="59">
        <v>28235.0</v>
      </c>
      <c r="J224" s="56">
        <f t="shared" si="11"/>
        <v>49</v>
      </c>
      <c r="K224" s="56">
        <v>4.427678326E9</v>
      </c>
      <c r="L224" s="60" t="s">
        <v>208</v>
      </c>
      <c r="M224" s="59">
        <v>44518.0</v>
      </c>
      <c r="N224" s="60" t="s">
        <v>2427</v>
      </c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</row>
    <row r="225" ht="15.75" customHeight="1">
      <c r="A225" s="248"/>
      <c r="B225" s="56" t="str">
        <f t="shared" si="10"/>
        <v>HS9</v>
      </c>
      <c r="C225" s="57" t="s">
        <v>1288</v>
      </c>
      <c r="D225" s="56" t="s">
        <v>117</v>
      </c>
      <c r="E225" s="56" t="s">
        <v>40</v>
      </c>
      <c r="F225" s="56" t="s">
        <v>43</v>
      </c>
      <c r="G225" s="56" t="s">
        <v>118</v>
      </c>
      <c r="H225" s="56" t="s">
        <v>118</v>
      </c>
      <c r="I225" s="59">
        <v>37035.0</v>
      </c>
      <c r="J225" s="56">
        <f t="shared" si="11"/>
        <v>24</v>
      </c>
      <c r="K225" s="56" t="s">
        <v>223</v>
      </c>
      <c r="L225" s="60" t="s">
        <v>1289</v>
      </c>
      <c r="M225" s="59">
        <v>44520.0</v>
      </c>
      <c r="N225" s="60" t="s">
        <v>2428</v>
      </c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</row>
    <row r="226" ht="15.75" customHeight="1">
      <c r="A226" s="248"/>
      <c r="B226" s="56" t="str">
        <f t="shared" si="10"/>
        <v>HS10</v>
      </c>
      <c r="C226" s="57" t="s">
        <v>531</v>
      </c>
      <c r="D226" s="56" t="s">
        <v>117</v>
      </c>
      <c r="E226" s="56" t="s">
        <v>40</v>
      </c>
      <c r="F226" s="56" t="s">
        <v>43</v>
      </c>
      <c r="G226" s="56" t="s">
        <v>118</v>
      </c>
      <c r="H226" s="56" t="s">
        <v>118</v>
      </c>
      <c r="I226" s="59">
        <v>37455.0</v>
      </c>
      <c r="J226" s="56">
        <f t="shared" si="11"/>
        <v>23</v>
      </c>
      <c r="K226" s="56">
        <v>3.326688116E9</v>
      </c>
      <c r="L226" s="60" t="s">
        <v>532</v>
      </c>
      <c r="M226" s="59">
        <v>44526.0</v>
      </c>
      <c r="N226" s="60" t="s">
        <v>2429</v>
      </c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</row>
    <row r="227" ht="15.75" customHeight="1">
      <c r="A227" s="248"/>
      <c r="B227" s="56" t="str">
        <f t="shared" si="10"/>
        <v>HJ8</v>
      </c>
      <c r="C227" s="57" t="s">
        <v>963</v>
      </c>
      <c r="D227" s="56" t="s">
        <v>117</v>
      </c>
      <c r="E227" s="56" t="s">
        <v>34</v>
      </c>
      <c r="F227" s="56" t="s">
        <v>30</v>
      </c>
      <c r="G227" s="56" t="s">
        <v>118</v>
      </c>
      <c r="H227" s="56" t="s">
        <v>118</v>
      </c>
      <c r="I227" s="59">
        <v>29982.0</v>
      </c>
      <c r="J227" s="56">
        <f t="shared" si="11"/>
        <v>44</v>
      </c>
      <c r="K227" s="56">
        <v>3.32536964E9</v>
      </c>
      <c r="L227" s="60" t="s">
        <v>373</v>
      </c>
      <c r="M227" s="59">
        <v>44470.0</v>
      </c>
      <c r="N227" s="60" t="s">
        <v>2430</v>
      </c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</row>
    <row r="228" ht="15.75" customHeight="1">
      <c r="A228" s="248"/>
      <c r="B228" s="56" t="str">
        <f t="shared" si="10"/>
        <v>HS11</v>
      </c>
      <c r="C228" s="57" t="s">
        <v>1750</v>
      </c>
      <c r="D228" s="56" t="s">
        <v>117</v>
      </c>
      <c r="E228" s="56" t="s">
        <v>40</v>
      </c>
      <c r="F228" s="56" t="s">
        <v>43</v>
      </c>
      <c r="G228" s="56" t="s">
        <v>118</v>
      </c>
      <c r="H228" s="56" t="s">
        <v>118</v>
      </c>
      <c r="I228" s="59">
        <v>39190.0</v>
      </c>
      <c r="J228" s="56">
        <f t="shared" si="11"/>
        <v>19</v>
      </c>
      <c r="K228" s="56">
        <v>3.921310443E9</v>
      </c>
      <c r="L228" s="60" t="s">
        <v>1751</v>
      </c>
      <c r="M228" s="59">
        <v>44576.0</v>
      </c>
      <c r="N228" s="60" t="s">
        <v>218</v>
      </c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</row>
    <row r="229" ht="15.75" customHeight="1">
      <c r="A229" s="248"/>
      <c r="B229" s="56" t="str">
        <f t="shared" si="10"/>
        <v>HJ9</v>
      </c>
      <c r="C229" s="57" t="s">
        <v>1368</v>
      </c>
      <c r="D229" s="56" t="s">
        <v>117</v>
      </c>
      <c r="E229" s="56" t="s">
        <v>40</v>
      </c>
      <c r="F229" s="56" t="s">
        <v>30</v>
      </c>
      <c r="G229" s="56" t="s">
        <v>118</v>
      </c>
      <c r="H229" s="56" t="s">
        <v>118</v>
      </c>
      <c r="I229" s="59">
        <v>34273.0</v>
      </c>
      <c r="J229" s="56">
        <f t="shared" si="11"/>
        <v>32</v>
      </c>
      <c r="K229" s="93">
        <v>3.93512916365E11</v>
      </c>
      <c r="L229" s="60" t="s">
        <v>1369</v>
      </c>
      <c r="M229" s="59">
        <v>44579.0</v>
      </c>
      <c r="N229" s="60" t="s">
        <v>1370</v>
      </c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</row>
    <row r="230" ht="15.75" customHeight="1">
      <c r="A230" s="248"/>
      <c r="B230" s="56" t="str">
        <f t="shared" si="10"/>
        <v>ML3</v>
      </c>
      <c r="C230" s="57" t="s">
        <v>762</v>
      </c>
      <c r="D230" s="56" t="s">
        <v>128</v>
      </c>
      <c r="E230" s="56" t="s">
        <v>140</v>
      </c>
      <c r="F230" s="56" t="s">
        <v>12</v>
      </c>
      <c r="G230" s="56" t="s">
        <v>118</v>
      </c>
      <c r="H230" s="56" t="s">
        <v>118</v>
      </c>
      <c r="I230" s="59">
        <v>18834.0</v>
      </c>
      <c r="J230" s="56">
        <f t="shared" si="11"/>
        <v>74</v>
      </c>
      <c r="K230" s="56">
        <v>3.334557835E9</v>
      </c>
      <c r="L230" s="60" t="s">
        <v>763</v>
      </c>
      <c r="M230" s="59">
        <v>44596.0</v>
      </c>
      <c r="N230" s="60" t="s">
        <v>2281</v>
      </c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</row>
    <row r="231" ht="15.75" customHeight="1">
      <c r="A231" s="248"/>
      <c r="B231" s="56" t="str">
        <f t="shared" si="10"/>
        <v>HMa3</v>
      </c>
      <c r="C231" s="57" t="s">
        <v>733</v>
      </c>
      <c r="D231" s="56" t="s">
        <v>117</v>
      </c>
      <c r="E231" s="56" t="s">
        <v>34</v>
      </c>
      <c r="F231" s="56" t="s">
        <v>18</v>
      </c>
      <c r="G231" s="56" t="s">
        <v>118</v>
      </c>
      <c r="H231" s="56" t="s">
        <v>118</v>
      </c>
      <c r="I231" s="59">
        <v>11750.0</v>
      </c>
      <c r="J231" s="56">
        <f t="shared" si="11"/>
        <v>94</v>
      </c>
      <c r="K231" s="56">
        <v>3.336776208E9</v>
      </c>
      <c r="L231" s="60" t="s">
        <v>734</v>
      </c>
      <c r="M231" s="59">
        <v>44612.0</v>
      </c>
      <c r="N231" s="60" t="s">
        <v>2281</v>
      </c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</row>
    <row r="232" ht="15.75" customHeight="1">
      <c r="A232" s="248"/>
      <c r="B232" s="56" t="str">
        <f t="shared" si="10"/>
        <v>MMi4</v>
      </c>
      <c r="C232" s="57" t="s">
        <v>134</v>
      </c>
      <c r="D232" s="56" t="s">
        <v>128</v>
      </c>
      <c r="E232" s="56" t="s">
        <v>40</v>
      </c>
      <c r="F232" s="56" t="s">
        <v>24</v>
      </c>
      <c r="G232" s="56" t="s">
        <v>118</v>
      </c>
      <c r="H232" s="56" t="s">
        <v>118</v>
      </c>
      <c r="I232" s="59">
        <v>38541.0</v>
      </c>
      <c r="J232" s="56">
        <f t="shared" si="11"/>
        <v>20</v>
      </c>
      <c r="K232" s="56">
        <v>3.325006442E9</v>
      </c>
      <c r="L232" s="60" t="s">
        <v>135</v>
      </c>
      <c r="M232" s="59">
        <v>44616.0</v>
      </c>
      <c r="N232" s="60" t="s">
        <v>136</v>
      </c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</row>
    <row r="233" ht="15.75" customHeight="1">
      <c r="A233" s="248"/>
      <c r="B233" s="56" t="str">
        <f t="shared" si="10"/>
        <v>HV3</v>
      </c>
      <c r="C233" s="57" t="s">
        <v>713</v>
      </c>
      <c r="D233" s="56" t="s">
        <v>117</v>
      </c>
      <c r="E233" s="56" t="s">
        <v>40</v>
      </c>
      <c r="F233" s="56" t="s">
        <v>36</v>
      </c>
      <c r="G233" s="56" t="s">
        <v>118</v>
      </c>
      <c r="H233" s="56" t="s">
        <v>118</v>
      </c>
      <c r="I233" s="59">
        <v>38660.0</v>
      </c>
      <c r="J233" s="56">
        <f t="shared" si="11"/>
        <v>20</v>
      </c>
      <c r="K233" s="56">
        <v>3.111269841E9</v>
      </c>
      <c r="L233" s="60" t="s">
        <v>714</v>
      </c>
      <c r="M233" s="59">
        <v>44638.0</v>
      </c>
      <c r="N233" s="60" t="s">
        <v>353</v>
      </c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</row>
    <row r="234" ht="15.75" customHeight="1">
      <c r="A234" s="248"/>
      <c r="B234" s="56" t="str">
        <f t="shared" si="10"/>
        <v>MJ6</v>
      </c>
      <c r="C234" s="57" t="s">
        <v>1512</v>
      </c>
      <c r="D234" s="56" t="s">
        <v>128</v>
      </c>
      <c r="E234" s="56" t="s">
        <v>40</v>
      </c>
      <c r="F234" s="56" t="s">
        <v>30</v>
      </c>
      <c r="G234" s="56" t="s">
        <v>118</v>
      </c>
      <c r="H234" s="56" t="s">
        <v>118</v>
      </c>
      <c r="I234" s="59">
        <v>33789.0</v>
      </c>
      <c r="J234" s="56">
        <f t="shared" si="11"/>
        <v>33</v>
      </c>
      <c r="K234" s="56">
        <v>3.312891431E9</v>
      </c>
      <c r="L234" s="60" t="s">
        <v>1513</v>
      </c>
      <c r="M234" s="59"/>
      <c r="N234" s="60" t="s">
        <v>2431</v>
      </c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</row>
    <row r="235" ht="15.75" customHeight="1">
      <c r="A235" s="248"/>
      <c r="B235" s="56" t="str">
        <f t="shared" si="10"/>
        <v>HJ10</v>
      </c>
      <c r="C235" s="57" t="s">
        <v>1368</v>
      </c>
      <c r="D235" s="56" t="s">
        <v>117</v>
      </c>
      <c r="E235" s="56" t="s">
        <v>40</v>
      </c>
      <c r="F235" s="56" t="s">
        <v>30</v>
      </c>
      <c r="G235" s="56" t="s">
        <v>118</v>
      </c>
      <c r="H235" s="56" t="s">
        <v>118</v>
      </c>
      <c r="I235" s="59">
        <v>34273.0</v>
      </c>
      <c r="J235" s="56">
        <f t="shared" si="11"/>
        <v>32</v>
      </c>
      <c r="K235" s="93">
        <v>3.93512916365E11</v>
      </c>
      <c r="L235" s="60" t="s">
        <v>1369</v>
      </c>
      <c r="M235" s="59">
        <v>44579.0</v>
      </c>
      <c r="N235" s="60" t="s">
        <v>2431</v>
      </c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</row>
    <row r="236" ht="15.75" customHeight="1">
      <c r="A236" s="248"/>
      <c r="B236" s="56" t="str">
        <f t="shared" si="10"/>
        <v>HS12</v>
      </c>
      <c r="C236" s="57" t="s">
        <v>1669</v>
      </c>
      <c r="D236" s="56" t="s">
        <v>117</v>
      </c>
      <c r="E236" s="56" t="s">
        <v>22</v>
      </c>
      <c r="F236" s="56" t="s">
        <v>43</v>
      </c>
      <c r="G236" s="56" t="s">
        <v>118</v>
      </c>
      <c r="H236" s="56" t="s">
        <v>118</v>
      </c>
      <c r="I236" s="59">
        <v>33097.0</v>
      </c>
      <c r="J236" s="56">
        <f t="shared" si="11"/>
        <v>35</v>
      </c>
      <c r="K236" s="56">
        <v>3.311528387E9</v>
      </c>
      <c r="L236" s="60" t="s">
        <v>1670</v>
      </c>
      <c r="M236" s="59">
        <v>44706.0</v>
      </c>
      <c r="N236" s="60" t="s">
        <v>2365</v>
      </c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</row>
    <row r="237" ht="15.75" customHeight="1">
      <c r="A237" s="248"/>
      <c r="B237" s="56" t="str">
        <f t="shared" si="10"/>
        <v>MD6</v>
      </c>
      <c r="C237" s="57" t="s">
        <v>901</v>
      </c>
      <c r="D237" s="56" t="s">
        <v>128</v>
      </c>
      <c r="E237" s="56" t="s">
        <v>28</v>
      </c>
      <c r="F237" s="56" t="s">
        <v>49</v>
      </c>
      <c r="G237" s="56" t="s">
        <v>118</v>
      </c>
      <c r="H237" s="56" t="s">
        <v>118</v>
      </c>
      <c r="I237" s="59">
        <v>33908.0</v>
      </c>
      <c r="J237" s="56">
        <f t="shared" si="11"/>
        <v>33</v>
      </c>
      <c r="K237" s="56">
        <v>3.322514509E9</v>
      </c>
      <c r="L237" s="60" t="s">
        <v>902</v>
      </c>
      <c r="M237" s="59">
        <v>44707.0</v>
      </c>
      <c r="N237" s="60" t="s">
        <v>2365</v>
      </c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</row>
    <row r="238" ht="15.75" customHeight="1">
      <c r="A238" s="248"/>
      <c r="B238" s="56" t="str">
        <f t="shared" si="10"/>
        <v>HD6</v>
      </c>
      <c r="C238" s="57" t="s">
        <v>1208</v>
      </c>
      <c r="D238" s="56" t="s">
        <v>117</v>
      </c>
      <c r="E238" s="56" t="s">
        <v>40</v>
      </c>
      <c r="F238" s="56" t="s">
        <v>49</v>
      </c>
      <c r="G238" s="56" t="s">
        <v>118</v>
      </c>
      <c r="H238" s="56" t="s">
        <v>118</v>
      </c>
      <c r="I238" s="59">
        <v>37515.0</v>
      </c>
      <c r="J238" s="56">
        <f t="shared" si="11"/>
        <v>23</v>
      </c>
      <c r="K238" s="56">
        <v>3.312718302E9</v>
      </c>
      <c r="L238" s="60" t="s">
        <v>1209</v>
      </c>
      <c r="M238" s="59">
        <v>44708.0</v>
      </c>
      <c r="N238" s="60" t="s">
        <v>2365</v>
      </c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</row>
    <row r="239" ht="15.75" customHeight="1">
      <c r="A239" s="248"/>
      <c r="B239" s="56" t="str">
        <f t="shared" si="10"/>
        <v>HS13</v>
      </c>
      <c r="C239" s="57" t="s">
        <v>231</v>
      </c>
      <c r="D239" s="56" t="s">
        <v>117</v>
      </c>
      <c r="E239" s="56" t="s">
        <v>40</v>
      </c>
      <c r="F239" s="56" t="s">
        <v>43</v>
      </c>
      <c r="G239" s="56" t="s">
        <v>118</v>
      </c>
      <c r="H239" s="56" t="s">
        <v>118</v>
      </c>
      <c r="I239" s="59">
        <v>37663.0</v>
      </c>
      <c r="J239" s="56">
        <f t="shared" si="11"/>
        <v>23</v>
      </c>
      <c r="K239" s="56">
        <v>3.6084943E7</v>
      </c>
      <c r="L239" s="60" t="s">
        <v>232</v>
      </c>
      <c r="M239" s="59">
        <v>44709.0</v>
      </c>
      <c r="N239" s="60" t="s">
        <v>2365</v>
      </c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</row>
    <row r="240" ht="15.75" customHeight="1">
      <c r="A240" s="248"/>
      <c r="B240" s="56" t="str">
        <f t="shared" si="10"/>
        <v>HS14</v>
      </c>
      <c r="C240" s="57" t="s">
        <v>1913</v>
      </c>
      <c r="D240" s="56" t="s">
        <v>117</v>
      </c>
      <c r="E240" s="56" t="s">
        <v>40</v>
      </c>
      <c r="F240" s="56" t="s">
        <v>43</v>
      </c>
      <c r="G240" s="56" t="s">
        <v>118</v>
      </c>
      <c r="H240" s="56" t="s">
        <v>118</v>
      </c>
      <c r="I240" s="59">
        <v>37591.0</v>
      </c>
      <c r="J240" s="56">
        <f t="shared" si="11"/>
        <v>23</v>
      </c>
      <c r="K240" s="56">
        <v>3.322593413E9</v>
      </c>
      <c r="L240" s="60" t="s">
        <v>1914</v>
      </c>
      <c r="M240" s="59">
        <v>44710.0</v>
      </c>
      <c r="N240" s="60" t="s">
        <v>2365</v>
      </c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</row>
    <row r="241" ht="15.75" customHeight="1">
      <c r="A241" s="248"/>
      <c r="B241" s="56" t="str">
        <f t="shared" si="10"/>
        <v>MS13</v>
      </c>
      <c r="C241" s="57" t="s">
        <v>276</v>
      </c>
      <c r="D241" s="56" t="s">
        <v>128</v>
      </c>
      <c r="E241" s="56" t="s">
        <v>40</v>
      </c>
      <c r="F241" s="56" t="s">
        <v>43</v>
      </c>
      <c r="G241" s="56" t="s">
        <v>118</v>
      </c>
      <c r="H241" s="56" t="s">
        <v>118</v>
      </c>
      <c r="I241" s="59">
        <v>36871.0</v>
      </c>
      <c r="J241" s="56">
        <f t="shared" si="11"/>
        <v>25</v>
      </c>
      <c r="K241" s="56" t="s">
        <v>277</v>
      </c>
      <c r="L241" s="60" t="s">
        <v>278</v>
      </c>
      <c r="M241" s="59">
        <v>42749.0</v>
      </c>
      <c r="N241" s="60" t="s">
        <v>279</v>
      </c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</row>
    <row r="242" ht="15.75" customHeight="1">
      <c r="A242" s="248"/>
      <c r="B242" s="56" t="str">
        <f t="shared" si="10"/>
        <v>MJ7</v>
      </c>
      <c r="C242" s="57" t="s">
        <v>1901</v>
      </c>
      <c r="D242" s="56" t="s">
        <v>128</v>
      </c>
      <c r="E242" s="56" t="s">
        <v>22</v>
      </c>
      <c r="F242" s="56" t="s">
        <v>30</v>
      </c>
      <c r="G242" s="56" t="s">
        <v>118</v>
      </c>
      <c r="H242" s="56" t="s">
        <v>118</v>
      </c>
      <c r="I242" s="59">
        <v>34463.0</v>
      </c>
      <c r="J242" s="56">
        <f t="shared" si="11"/>
        <v>31</v>
      </c>
      <c r="K242" s="56">
        <v>3.325380385E9</v>
      </c>
      <c r="L242" s="60" t="s">
        <v>1902</v>
      </c>
      <c r="M242" s="59">
        <v>43803.0</v>
      </c>
      <c r="N242" s="60" t="s">
        <v>1903</v>
      </c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</row>
    <row r="243" ht="15.75" customHeight="1">
      <c r="A243" s="248"/>
      <c r="B243" s="56" t="str">
        <f t="shared" si="10"/>
        <v>MMi5</v>
      </c>
      <c r="C243" s="81" t="s">
        <v>27</v>
      </c>
      <c r="D243" s="56" t="s">
        <v>128</v>
      </c>
      <c r="E243" s="56" t="s">
        <v>34</v>
      </c>
      <c r="F243" s="56" t="s">
        <v>24</v>
      </c>
      <c r="G243" s="56" t="s">
        <v>118</v>
      </c>
      <c r="H243" s="56" t="s">
        <v>118</v>
      </c>
      <c r="I243" s="59">
        <v>17644.0</v>
      </c>
      <c r="J243" s="56">
        <f t="shared" si="11"/>
        <v>78</v>
      </c>
      <c r="K243" s="56">
        <v>3.6980023E7</v>
      </c>
      <c r="L243" s="60" t="s">
        <v>1953</v>
      </c>
      <c r="M243" s="59">
        <v>44747.0</v>
      </c>
      <c r="N243" s="60" t="s">
        <v>2432</v>
      </c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</row>
    <row r="244" ht="15.75" customHeight="1">
      <c r="A244" s="248"/>
      <c r="B244" s="56" t="str">
        <f t="shared" si="10"/>
        <v>MMi6</v>
      </c>
      <c r="C244" s="57" t="s">
        <v>619</v>
      </c>
      <c r="D244" s="56" t="s">
        <v>128</v>
      </c>
      <c r="E244" s="56" t="s">
        <v>40</v>
      </c>
      <c r="F244" s="56" t="s">
        <v>24</v>
      </c>
      <c r="G244" s="56" t="s">
        <v>118</v>
      </c>
      <c r="H244" s="56" t="s">
        <v>118</v>
      </c>
      <c r="I244" s="59">
        <v>37395.0</v>
      </c>
      <c r="J244" s="56">
        <f t="shared" si="11"/>
        <v>23</v>
      </c>
      <c r="K244" s="56">
        <v>3.314234474E9</v>
      </c>
      <c r="L244" s="60" t="s">
        <v>620</v>
      </c>
      <c r="M244" s="59">
        <v>44747.0</v>
      </c>
      <c r="N244" s="60" t="s">
        <v>249</v>
      </c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</row>
    <row r="245" ht="15.75" customHeight="1">
      <c r="A245" s="248"/>
      <c r="B245" s="56" t="str">
        <f t="shared" si="10"/>
        <v>MMi7</v>
      </c>
      <c r="C245" s="57" t="s">
        <v>245</v>
      </c>
      <c r="D245" s="56" t="s">
        <v>128</v>
      </c>
      <c r="E245" s="56" t="s">
        <v>34</v>
      </c>
      <c r="F245" s="56" t="s">
        <v>24</v>
      </c>
      <c r="G245" s="56" t="s">
        <v>118</v>
      </c>
      <c r="H245" s="56" t="s">
        <v>118</v>
      </c>
      <c r="I245" s="59">
        <v>24573.0</v>
      </c>
      <c r="J245" s="56">
        <f t="shared" si="11"/>
        <v>59</v>
      </c>
      <c r="K245" s="56">
        <v>3.331002211E9</v>
      </c>
      <c r="L245" s="60" t="s">
        <v>246</v>
      </c>
      <c r="M245" s="59">
        <v>44747.0</v>
      </c>
      <c r="N245" s="60" t="s">
        <v>2433</v>
      </c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</row>
    <row r="246" ht="15.75" customHeight="1">
      <c r="A246" s="248"/>
      <c r="B246" s="56" t="str">
        <f t="shared" si="10"/>
        <v>MMi8</v>
      </c>
      <c r="C246" s="57" t="s">
        <v>1916</v>
      </c>
      <c r="D246" s="56" t="s">
        <v>128</v>
      </c>
      <c r="E246" s="56" t="s">
        <v>16</v>
      </c>
      <c r="F246" s="56" t="s">
        <v>24</v>
      </c>
      <c r="G246" s="56" t="s">
        <v>118</v>
      </c>
      <c r="H246" s="56" t="s">
        <v>118</v>
      </c>
      <c r="I246" s="59">
        <v>24393.0</v>
      </c>
      <c r="J246" s="56">
        <f t="shared" si="11"/>
        <v>59</v>
      </c>
      <c r="K246" s="56">
        <v>3.319180281E9</v>
      </c>
      <c r="L246" s="60" t="s">
        <v>1917</v>
      </c>
      <c r="M246" s="59">
        <v>44747.0</v>
      </c>
      <c r="N246" s="60" t="s">
        <v>2434</v>
      </c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</row>
    <row r="247" ht="15.75" customHeight="1">
      <c r="A247" s="248"/>
      <c r="B247" s="56" t="str">
        <f t="shared" si="10"/>
        <v>MS14</v>
      </c>
      <c r="C247" s="57" t="s">
        <v>1038</v>
      </c>
      <c r="D247" s="56" t="s">
        <v>128</v>
      </c>
      <c r="E247" s="56" t="s">
        <v>40</v>
      </c>
      <c r="F247" s="56" t="s">
        <v>43</v>
      </c>
      <c r="G247" s="56" t="s">
        <v>118</v>
      </c>
      <c r="H247" s="56" t="s">
        <v>118</v>
      </c>
      <c r="I247" s="59">
        <v>38244.0</v>
      </c>
      <c r="J247" s="56">
        <f t="shared" si="11"/>
        <v>21</v>
      </c>
      <c r="K247" s="56"/>
      <c r="L247" s="60" t="s">
        <v>1039</v>
      </c>
      <c r="M247" s="59">
        <v>44795.0</v>
      </c>
      <c r="N247" s="60" t="s">
        <v>2435</v>
      </c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</row>
    <row r="248" ht="15.75" customHeight="1">
      <c r="A248" s="248"/>
      <c r="B248" s="56" t="str">
        <f t="shared" si="10"/>
        <v>HS15</v>
      </c>
      <c r="C248" s="57" t="s">
        <v>1657</v>
      </c>
      <c r="D248" s="56" t="s">
        <v>117</v>
      </c>
      <c r="E248" s="56" t="s">
        <v>140</v>
      </c>
      <c r="F248" s="56" t="s">
        <v>43</v>
      </c>
      <c r="G248" s="56" t="s">
        <v>118</v>
      </c>
      <c r="H248" s="56" t="s">
        <v>118</v>
      </c>
      <c r="I248" s="59">
        <v>18979.0</v>
      </c>
      <c r="J248" s="56">
        <f t="shared" si="11"/>
        <v>74</v>
      </c>
      <c r="K248" s="56" t="s">
        <v>223</v>
      </c>
      <c r="L248" s="60" t="s">
        <v>1658</v>
      </c>
      <c r="M248" s="59">
        <v>44828.0</v>
      </c>
      <c r="N248" s="60" t="s">
        <v>2281</v>
      </c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</row>
    <row r="249" ht="15.75" customHeight="1">
      <c r="A249" s="248"/>
      <c r="B249" s="248"/>
      <c r="C249" s="250"/>
      <c r="D249" s="248"/>
      <c r="E249" s="248"/>
      <c r="F249" s="248"/>
      <c r="G249" s="248"/>
      <c r="H249" s="248"/>
      <c r="I249" s="249"/>
      <c r="J249" s="248"/>
      <c r="K249" s="248"/>
      <c r="L249" s="250"/>
      <c r="M249" s="250"/>
      <c r="N249" s="250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</row>
    <row r="250" ht="15.75" customHeight="1">
      <c r="A250" s="248"/>
      <c r="B250" s="56" t="str">
        <f t="shared" ref="B250:B252" si="12">IF(C250="","",D250&amp;F250&amp;COUNTIFS($D$4:D250,D250,$F$4:F250,F250))</f>
        <v>HB71</v>
      </c>
      <c r="C250" s="57" t="s">
        <v>440</v>
      </c>
      <c r="D250" s="56" t="s">
        <v>117</v>
      </c>
      <c r="E250" s="56" t="s">
        <v>16</v>
      </c>
      <c r="F250" s="56" t="s">
        <v>7</v>
      </c>
      <c r="G250" s="56" t="s">
        <v>118</v>
      </c>
      <c r="H250" s="56" t="s">
        <v>118</v>
      </c>
      <c r="I250" s="59">
        <v>27500.0</v>
      </c>
      <c r="J250" s="56">
        <f t="shared" ref="J250:J252" si="13">IF(C250="","",DATEDIF(I250,TODAY(),"Y"))</f>
        <v>51</v>
      </c>
      <c r="K250" s="56">
        <v>3.311072313E9</v>
      </c>
      <c r="L250" s="60" t="s">
        <v>441</v>
      </c>
      <c r="M250" s="59">
        <v>43481.0</v>
      </c>
      <c r="N250" s="60" t="s">
        <v>442</v>
      </c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</row>
    <row r="251" ht="15.75" customHeight="1">
      <c r="A251" s="248"/>
      <c r="B251" s="56" t="str">
        <f t="shared" si="12"/>
        <v>HB72</v>
      </c>
      <c r="C251" s="57" t="s">
        <v>673</v>
      </c>
      <c r="D251" s="56" t="s">
        <v>117</v>
      </c>
      <c r="E251" s="56" t="s">
        <v>40</v>
      </c>
      <c r="F251" s="56" t="s">
        <v>7</v>
      </c>
      <c r="G251" s="56" t="s">
        <v>118</v>
      </c>
      <c r="H251" s="56" t="s">
        <v>118</v>
      </c>
      <c r="I251" s="59">
        <v>30840.0</v>
      </c>
      <c r="J251" s="56">
        <f t="shared" si="13"/>
        <v>41</v>
      </c>
      <c r="K251" s="56">
        <v>5.568934541E9</v>
      </c>
      <c r="L251" s="60" t="s">
        <v>674</v>
      </c>
      <c r="M251" s="59">
        <v>43694.0</v>
      </c>
      <c r="N251" s="60" t="s">
        <v>486</v>
      </c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</row>
    <row r="252" ht="15.75" customHeight="1">
      <c r="A252" s="248"/>
      <c r="B252" s="56" t="str">
        <f t="shared" si="12"/>
        <v>MMa9</v>
      </c>
      <c r="C252" s="57" t="s">
        <v>942</v>
      </c>
      <c r="D252" s="56" t="s">
        <v>128</v>
      </c>
      <c r="E252" s="56" t="s">
        <v>28</v>
      </c>
      <c r="F252" s="56" t="s">
        <v>18</v>
      </c>
      <c r="G252" s="56" t="s">
        <v>118</v>
      </c>
      <c r="H252" s="56" t="s">
        <v>118</v>
      </c>
      <c r="I252" s="59">
        <v>34365.0</v>
      </c>
      <c r="J252" s="56">
        <f t="shared" si="13"/>
        <v>32</v>
      </c>
      <c r="K252" s="56">
        <v>5.568934541E9</v>
      </c>
      <c r="L252" s="60" t="s">
        <v>943</v>
      </c>
      <c r="M252" s="59">
        <v>43759.0</v>
      </c>
      <c r="N252" s="60" t="s">
        <v>944</v>
      </c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</row>
    <row r="253" ht="15.75" customHeight="1">
      <c r="A253" s="248"/>
      <c r="B253" s="248"/>
      <c r="C253" s="250"/>
      <c r="D253" s="248"/>
      <c r="E253" s="248"/>
      <c r="F253" s="248"/>
      <c r="G253" s="248"/>
      <c r="H253" s="248"/>
      <c r="I253" s="249"/>
      <c r="J253" s="248"/>
      <c r="K253" s="248"/>
      <c r="L253" s="250"/>
      <c r="M253" s="250"/>
      <c r="N253" s="250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</row>
    <row r="254" ht="15.75" customHeight="1">
      <c r="A254" s="248"/>
      <c r="B254" s="248"/>
      <c r="C254" s="250"/>
      <c r="D254" s="248"/>
      <c r="E254" s="248"/>
      <c r="F254" s="248"/>
      <c r="G254" s="248"/>
      <c r="H254" s="248"/>
      <c r="I254" s="249"/>
      <c r="J254" s="248"/>
      <c r="K254" s="248"/>
      <c r="L254" s="250"/>
      <c r="M254" s="250"/>
      <c r="N254" s="250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</row>
    <row r="255" ht="15.75" customHeight="1">
      <c r="A255" s="248"/>
      <c r="B255" s="248"/>
      <c r="C255" s="250"/>
      <c r="D255" s="248"/>
      <c r="E255" s="248"/>
      <c r="F255" s="248"/>
      <c r="G255" s="248"/>
      <c r="H255" s="248"/>
      <c r="I255" s="249"/>
      <c r="J255" s="248"/>
      <c r="K255" s="248"/>
      <c r="L255" s="250"/>
      <c r="M255" s="250"/>
      <c r="N255" s="250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</row>
    <row r="256" ht="15.75" customHeight="1">
      <c r="A256" s="248"/>
      <c r="B256" s="248"/>
      <c r="C256" s="250"/>
      <c r="D256" s="248"/>
      <c r="E256" s="248"/>
      <c r="F256" s="248"/>
      <c r="G256" s="248"/>
      <c r="H256" s="248"/>
      <c r="I256" s="249"/>
      <c r="J256" s="248"/>
      <c r="K256" s="248"/>
      <c r="L256" s="250"/>
      <c r="M256" s="250"/>
      <c r="N256" s="250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</row>
    <row r="257" ht="15.75" customHeight="1">
      <c r="A257" s="248"/>
      <c r="B257" s="248"/>
      <c r="C257" s="250"/>
      <c r="D257" s="248"/>
      <c r="E257" s="248"/>
      <c r="F257" s="248"/>
      <c r="G257" s="248"/>
      <c r="H257" s="248"/>
      <c r="I257" s="249"/>
      <c r="J257" s="248"/>
      <c r="K257" s="248"/>
      <c r="L257" s="250"/>
      <c r="M257" s="250"/>
      <c r="N257" s="250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</row>
    <row r="258" ht="15.75" customHeight="1">
      <c r="A258" s="248"/>
      <c r="B258" s="248"/>
      <c r="C258" s="250"/>
      <c r="D258" s="248"/>
      <c r="E258" s="248"/>
      <c r="F258" s="248"/>
      <c r="G258" s="248"/>
      <c r="H258" s="248"/>
      <c r="I258" s="249"/>
      <c r="J258" s="248"/>
      <c r="K258" s="248"/>
      <c r="L258" s="250"/>
      <c r="M258" s="250"/>
      <c r="N258" s="250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</row>
    <row r="259" ht="15.75" customHeight="1">
      <c r="A259" s="248"/>
      <c r="B259" s="248"/>
      <c r="C259" s="250"/>
      <c r="D259" s="248"/>
      <c r="E259" s="248"/>
      <c r="F259" s="248"/>
      <c r="G259" s="248"/>
      <c r="H259" s="248"/>
      <c r="I259" s="249"/>
      <c r="J259" s="248"/>
      <c r="K259" s="248"/>
      <c r="L259" s="250"/>
      <c r="M259" s="250"/>
      <c r="N259" s="250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</row>
    <row r="260" ht="15.75" customHeight="1">
      <c r="A260" s="248"/>
      <c r="B260" s="248"/>
      <c r="C260" s="250"/>
      <c r="D260" s="248"/>
      <c r="E260" s="248"/>
      <c r="F260" s="248"/>
      <c r="G260" s="248"/>
      <c r="H260" s="248"/>
      <c r="I260" s="249"/>
      <c r="J260" s="248"/>
      <c r="K260" s="248"/>
      <c r="L260" s="250"/>
      <c r="M260" s="250"/>
      <c r="N260" s="250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</row>
    <row r="261" ht="15.75" customHeight="1">
      <c r="A261" s="248"/>
      <c r="B261" s="248"/>
      <c r="C261" s="250"/>
      <c r="D261" s="248"/>
      <c r="E261" s="248"/>
      <c r="F261" s="248"/>
      <c r="G261" s="248"/>
      <c r="H261" s="248"/>
      <c r="I261" s="249"/>
      <c r="J261" s="248"/>
      <c r="K261" s="248"/>
      <c r="L261" s="250"/>
      <c r="M261" s="250"/>
      <c r="N261" s="250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</row>
    <row r="262" ht="15.75" customHeight="1">
      <c r="A262" s="248"/>
      <c r="B262" s="248"/>
      <c r="C262" s="250"/>
      <c r="D262" s="248"/>
      <c r="E262" s="248"/>
      <c r="F262" s="248"/>
      <c r="G262" s="248"/>
      <c r="H262" s="248"/>
      <c r="I262" s="249"/>
      <c r="J262" s="248"/>
      <c r="K262" s="248"/>
      <c r="L262" s="250"/>
      <c r="M262" s="250"/>
      <c r="N262" s="250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</row>
    <row r="263" ht="15.75" customHeight="1">
      <c r="A263" s="248"/>
      <c r="B263" s="248"/>
      <c r="C263" s="250"/>
      <c r="D263" s="248"/>
      <c r="E263" s="248"/>
      <c r="F263" s="248"/>
      <c r="G263" s="248"/>
      <c r="H263" s="248"/>
      <c r="I263" s="249"/>
      <c r="J263" s="248"/>
      <c r="K263" s="248"/>
      <c r="L263" s="250"/>
      <c r="M263" s="250"/>
      <c r="N263" s="250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</row>
    <row r="264" ht="15.75" customHeight="1">
      <c r="A264" s="248"/>
      <c r="B264" s="248"/>
      <c r="C264" s="250"/>
      <c r="D264" s="248"/>
      <c r="E264" s="248"/>
      <c r="F264" s="248"/>
      <c r="G264" s="248"/>
      <c r="H264" s="248"/>
      <c r="I264" s="249"/>
      <c r="J264" s="248"/>
      <c r="K264" s="248"/>
      <c r="L264" s="250"/>
      <c r="M264" s="250"/>
      <c r="N264" s="250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</row>
    <row r="265" ht="15.75" customHeight="1">
      <c r="A265" s="248"/>
      <c r="B265" s="248"/>
      <c r="C265" s="250"/>
      <c r="D265" s="248"/>
      <c r="E265" s="248"/>
      <c r="F265" s="248"/>
      <c r="G265" s="248"/>
      <c r="H265" s="248"/>
      <c r="I265" s="249"/>
      <c r="J265" s="248"/>
      <c r="K265" s="248"/>
      <c r="L265" s="250"/>
      <c r="M265" s="250"/>
      <c r="N265" s="250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</row>
    <row r="266" ht="15.75" customHeight="1">
      <c r="A266" s="248"/>
      <c r="B266" s="248"/>
      <c r="C266" s="250"/>
      <c r="D266" s="248"/>
      <c r="E266" s="248"/>
      <c r="F266" s="248"/>
      <c r="G266" s="248"/>
      <c r="H266" s="248"/>
      <c r="I266" s="249"/>
      <c r="J266" s="248"/>
      <c r="K266" s="248"/>
      <c r="L266" s="250"/>
      <c r="M266" s="250"/>
      <c r="N266" s="250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</row>
    <row r="267" ht="15.75" customHeight="1">
      <c r="A267" s="248"/>
      <c r="B267" s="248"/>
      <c r="C267" s="250"/>
      <c r="D267" s="248"/>
      <c r="E267" s="248"/>
      <c r="F267" s="248"/>
      <c r="G267" s="248"/>
      <c r="H267" s="248"/>
      <c r="I267" s="249"/>
      <c r="J267" s="248"/>
      <c r="K267" s="248"/>
      <c r="L267" s="250"/>
      <c r="M267" s="250"/>
      <c r="N267" s="250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</row>
    <row r="268" ht="15.75" customHeight="1">
      <c r="A268" s="248"/>
      <c r="B268" s="248"/>
      <c r="C268" s="250"/>
      <c r="D268" s="248"/>
      <c r="E268" s="248"/>
      <c r="F268" s="248"/>
      <c r="G268" s="248"/>
      <c r="H268" s="248"/>
      <c r="I268" s="249"/>
      <c r="J268" s="248"/>
      <c r="K268" s="248"/>
      <c r="L268" s="250"/>
      <c r="M268" s="250"/>
      <c r="N268" s="250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</row>
    <row r="269" ht="15.75" customHeight="1">
      <c r="A269" s="248"/>
      <c r="B269" s="248"/>
      <c r="C269" s="250"/>
      <c r="D269" s="248"/>
      <c r="E269" s="248"/>
      <c r="F269" s="248"/>
      <c r="G269" s="248"/>
      <c r="H269" s="248"/>
      <c r="I269" s="249"/>
      <c r="J269" s="248"/>
      <c r="K269" s="248"/>
      <c r="L269" s="250"/>
      <c r="M269" s="250"/>
      <c r="N269" s="250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</row>
    <row r="270" ht="15.75" customHeight="1">
      <c r="A270" s="248"/>
      <c r="B270" s="248"/>
      <c r="C270" s="250"/>
      <c r="D270" s="248"/>
      <c r="E270" s="248"/>
      <c r="F270" s="248"/>
      <c r="G270" s="248"/>
      <c r="H270" s="248"/>
      <c r="I270" s="249"/>
      <c r="J270" s="248"/>
      <c r="K270" s="248"/>
      <c r="L270" s="250"/>
      <c r="M270" s="250"/>
      <c r="N270" s="250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</row>
    <row r="271" ht="15.75" customHeight="1">
      <c r="A271" s="248"/>
      <c r="B271" s="248"/>
      <c r="C271" s="250"/>
      <c r="D271" s="248"/>
      <c r="E271" s="248"/>
      <c r="F271" s="248"/>
      <c r="G271" s="248"/>
      <c r="H271" s="248"/>
      <c r="I271" s="249"/>
      <c r="J271" s="248"/>
      <c r="K271" s="248"/>
      <c r="L271" s="250"/>
      <c r="M271" s="250"/>
      <c r="N271" s="250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</row>
    <row r="272" ht="15.75" customHeight="1">
      <c r="A272" s="248"/>
      <c r="B272" s="248"/>
      <c r="C272" s="250"/>
      <c r="D272" s="248"/>
      <c r="E272" s="248"/>
      <c r="F272" s="248"/>
      <c r="G272" s="248"/>
      <c r="H272" s="248"/>
      <c r="I272" s="249"/>
      <c r="J272" s="248"/>
      <c r="K272" s="248"/>
      <c r="L272" s="250"/>
      <c r="M272" s="250"/>
      <c r="N272" s="250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</row>
    <row r="273" ht="15.75" customHeight="1">
      <c r="A273" s="248"/>
      <c r="B273" s="248"/>
      <c r="C273" s="250"/>
      <c r="D273" s="248"/>
      <c r="E273" s="248"/>
      <c r="F273" s="248"/>
      <c r="G273" s="248"/>
      <c r="H273" s="248"/>
      <c r="I273" s="249"/>
      <c r="J273" s="248"/>
      <c r="K273" s="248"/>
      <c r="L273" s="250"/>
      <c r="M273" s="250"/>
      <c r="N273" s="250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</row>
    <row r="274" ht="15.75" customHeight="1">
      <c r="A274" s="248"/>
      <c r="B274" s="248"/>
      <c r="C274" s="250"/>
      <c r="D274" s="248"/>
      <c r="E274" s="248"/>
      <c r="F274" s="248"/>
      <c r="G274" s="248"/>
      <c r="H274" s="248"/>
      <c r="I274" s="249"/>
      <c r="J274" s="248"/>
      <c r="K274" s="248"/>
      <c r="L274" s="250"/>
      <c r="M274" s="250"/>
      <c r="N274" s="250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</row>
    <row r="275" ht="15.75" customHeight="1">
      <c r="A275" s="248"/>
      <c r="B275" s="248"/>
      <c r="C275" s="250"/>
      <c r="D275" s="248"/>
      <c r="E275" s="248"/>
      <c r="F275" s="248"/>
      <c r="G275" s="248"/>
      <c r="H275" s="248"/>
      <c r="I275" s="249"/>
      <c r="J275" s="248"/>
      <c r="K275" s="248"/>
      <c r="L275" s="250"/>
      <c r="M275" s="250"/>
      <c r="N275" s="250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</row>
    <row r="276" ht="15.75" customHeight="1">
      <c r="A276" s="248"/>
      <c r="B276" s="248"/>
      <c r="C276" s="250"/>
      <c r="D276" s="248"/>
      <c r="E276" s="248"/>
      <c r="F276" s="248"/>
      <c r="G276" s="248"/>
      <c r="H276" s="248"/>
      <c r="I276" s="249"/>
      <c r="J276" s="248"/>
      <c r="K276" s="248"/>
      <c r="L276" s="250"/>
      <c r="M276" s="250"/>
      <c r="N276" s="250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</row>
    <row r="277" ht="15.75" customHeight="1">
      <c r="A277" s="248"/>
      <c r="B277" s="248"/>
      <c r="C277" s="250"/>
      <c r="D277" s="248"/>
      <c r="E277" s="248"/>
      <c r="F277" s="248"/>
      <c r="G277" s="248"/>
      <c r="H277" s="248"/>
      <c r="I277" s="249"/>
      <c r="J277" s="248"/>
      <c r="K277" s="248"/>
      <c r="L277" s="250"/>
      <c r="M277" s="250"/>
      <c r="N277" s="250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</row>
    <row r="278" ht="15.75" customHeight="1">
      <c r="A278" s="248"/>
      <c r="B278" s="248"/>
      <c r="C278" s="250"/>
      <c r="D278" s="248"/>
      <c r="E278" s="248"/>
      <c r="F278" s="248"/>
      <c r="G278" s="248"/>
      <c r="H278" s="248"/>
      <c r="I278" s="249"/>
      <c r="J278" s="248"/>
      <c r="K278" s="248"/>
      <c r="L278" s="250"/>
      <c r="M278" s="250"/>
      <c r="N278" s="250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</row>
    <row r="279" ht="15.75" customHeight="1">
      <c r="A279" s="248"/>
      <c r="B279" s="248"/>
      <c r="C279" s="250"/>
      <c r="D279" s="248"/>
      <c r="E279" s="248"/>
      <c r="F279" s="248"/>
      <c r="G279" s="248"/>
      <c r="H279" s="248"/>
      <c r="I279" s="249"/>
      <c r="J279" s="248"/>
      <c r="K279" s="248"/>
      <c r="L279" s="250"/>
      <c r="M279" s="250"/>
      <c r="N279" s="250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</row>
    <row r="280" ht="15.75" customHeight="1">
      <c r="A280" s="248"/>
      <c r="B280" s="248"/>
      <c r="C280" s="250"/>
      <c r="D280" s="248"/>
      <c r="E280" s="248"/>
      <c r="F280" s="248"/>
      <c r="G280" s="248"/>
      <c r="H280" s="248"/>
      <c r="I280" s="249"/>
      <c r="J280" s="248"/>
      <c r="K280" s="248"/>
      <c r="L280" s="250"/>
      <c r="M280" s="250"/>
      <c r="N280" s="250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</row>
    <row r="281" ht="15.75" customHeight="1">
      <c r="A281" s="248"/>
      <c r="B281" s="248"/>
      <c r="C281" s="250"/>
      <c r="D281" s="248"/>
      <c r="E281" s="248"/>
      <c r="F281" s="248"/>
      <c r="G281" s="248"/>
      <c r="H281" s="248"/>
      <c r="I281" s="249"/>
      <c r="J281" s="248"/>
      <c r="K281" s="248"/>
      <c r="L281" s="250"/>
      <c r="M281" s="250"/>
      <c r="N281" s="250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</row>
    <row r="282" ht="15.75" customHeight="1">
      <c r="A282" s="248"/>
      <c r="B282" s="248"/>
      <c r="C282" s="250"/>
      <c r="D282" s="248"/>
      <c r="E282" s="248"/>
      <c r="F282" s="248"/>
      <c r="G282" s="248"/>
      <c r="H282" s="248"/>
      <c r="I282" s="249"/>
      <c r="J282" s="248"/>
      <c r="K282" s="248"/>
      <c r="L282" s="250"/>
      <c r="M282" s="250"/>
      <c r="N282" s="250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</row>
    <row r="283" ht="15.75" customHeight="1">
      <c r="A283" s="248"/>
      <c r="B283" s="248"/>
      <c r="C283" s="250"/>
      <c r="D283" s="248"/>
      <c r="E283" s="248"/>
      <c r="F283" s="248"/>
      <c r="G283" s="248"/>
      <c r="H283" s="248"/>
      <c r="I283" s="249"/>
      <c r="J283" s="248"/>
      <c r="K283" s="248"/>
      <c r="L283" s="250"/>
      <c r="M283" s="250"/>
      <c r="N283" s="250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</row>
    <row r="284" ht="15.75" customHeight="1">
      <c r="A284" s="248"/>
      <c r="B284" s="248"/>
      <c r="C284" s="250"/>
      <c r="D284" s="248"/>
      <c r="E284" s="248"/>
      <c r="F284" s="248"/>
      <c r="G284" s="248"/>
      <c r="H284" s="248"/>
      <c r="I284" s="249"/>
      <c r="J284" s="248"/>
      <c r="K284" s="248"/>
      <c r="L284" s="250"/>
      <c r="M284" s="250"/>
      <c r="N284" s="250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</row>
    <row r="285" ht="15.75" customHeight="1">
      <c r="A285" s="248"/>
      <c r="B285" s="248"/>
      <c r="C285" s="250"/>
      <c r="D285" s="248"/>
      <c r="E285" s="248"/>
      <c r="F285" s="248"/>
      <c r="G285" s="248"/>
      <c r="H285" s="248"/>
      <c r="I285" s="249"/>
      <c r="J285" s="248"/>
      <c r="K285" s="248"/>
      <c r="L285" s="250"/>
      <c r="M285" s="250"/>
      <c r="N285" s="250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</row>
    <row r="286" ht="15.75" customHeight="1">
      <c r="A286" s="248"/>
      <c r="B286" s="248"/>
      <c r="C286" s="250"/>
      <c r="D286" s="248"/>
      <c r="E286" s="248"/>
      <c r="F286" s="248"/>
      <c r="G286" s="248"/>
      <c r="H286" s="248"/>
      <c r="I286" s="249"/>
      <c r="J286" s="248"/>
      <c r="K286" s="248"/>
      <c r="L286" s="250"/>
      <c r="M286" s="250"/>
      <c r="N286" s="250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</row>
    <row r="287" ht="15.75" customHeight="1">
      <c r="A287" s="248"/>
      <c r="B287" s="248"/>
      <c r="C287" s="250"/>
      <c r="D287" s="248"/>
      <c r="E287" s="248"/>
      <c r="F287" s="248"/>
      <c r="G287" s="248"/>
      <c r="H287" s="248"/>
      <c r="I287" s="249"/>
      <c r="J287" s="248"/>
      <c r="K287" s="248"/>
      <c r="L287" s="250"/>
      <c r="M287" s="250"/>
      <c r="N287" s="250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</row>
    <row r="288" ht="15.75" customHeight="1">
      <c r="A288" s="248"/>
      <c r="B288" s="248"/>
      <c r="C288" s="250"/>
      <c r="D288" s="248"/>
      <c r="E288" s="248"/>
      <c r="F288" s="248"/>
      <c r="G288" s="248"/>
      <c r="H288" s="248"/>
      <c r="I288" s="249"/>
      <c r="J288" s="248"/>
      <c r="K288" s="248"/>
      <c r="L288" s="250"/>
      <c r="M288" s="250"/>
      <c r="N288" s="250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</row>
    <row r="289" ht="15.75" customHeight="1">
      <c r="A289" s="248"/>
      <c r="B289" s="248"/>
      <c r="C289" s="250"/>
      <c r="D289" s="248"/>
      <c r="E289" s="248"/>
      <c r="F289" s="248"/>
      <c r="G289" s="248"/>
      <c r="H289" s="248"/>
      <c r="I289" s="249"/>
      <c r="J289" s="248"/>
      <c r="K289" s="248"/>
      <c r="L289" s="250"/>
      <c r="M289" s="250"/>
      <c r="N289" s="250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</row>
    <row r="290" ht="15.75" customHeight="1">
      <c r="A290" s="248"/>
      <c r="B290" s="248"/>
      <c r="C290" s="250"/>
      <c r="D290" s="248"/>
      <c r="E290" s="248"/>
      <c r="F290" s="248"/>
      <c r="G290" s="248"/>
      <c r="H290" s="248"/>
      <c r="I290" s="249"/>
      <c r="J290" s="248"/>
      <c r="K290" s="248"/>
      <c r="L290" s="250"/>
      <c r="M290" s="250"/>
      <c r="N290" s="250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</row>
    <row r="291" ht="15.75" customHeight="1">
      <c r="A291" s="248"/>
      <c r="B291" s="248"/>
      <c r="C291" s="250"/>
      <c r="D291" s="248"/>
      <c r="E291" s="248"/>
      <c r="F291" s="248"/>
      <c r="G291" s="248"/>
      <c r="H291" s="248"/>
      <c r="I291" s="249"/>
      <c r="J291" s="248"/>
      <c r="K291" s="248"/>
      <c r="L291" s="250"/>
      <c r="M291" s="250"/>
      <c r="N291" s="250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</row>
    <row r="292" ht="15.75" customHeight="1">
      <c r="A292" s="248"/>
      <c r="B292" s="248"/>
      <c r="C292" s="250"/>
      <c r="D292" s="248"/>
      <c r="E292" s="248"/>
      <c r="F292" s="248"/>
      <c r="G292" s="248"/>
      <c r="H292" s="248"/>
      <c r="I292" s="249"/>
      <c r="J292" s="248"/>
      <c r="K292" s="248"/>
      <c r="L292" s="250"/>
      <c r="M292" s="250"/>
      <c r="N292" s="250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</row>
    <row r="293" ht="15.75" customHeight="1">
      <c r="A293" s="248"/>
      <c r="B293" s="248"/>
      <c r="C293" s="250"/>
      <c r="D293" s="248"/>
      <c r="E293" s="248"/>
      <c r="F293" s="248"/>
      <c r="G293" s="248"/>
      <c r="H293" s="248"/>
      <c r="I293" s="249"/>
      <c r="J293" s="248"/>
      <c r="K293" s="248"/>
      <c r="L293" s="250"/>
      <c r="M293" s="250"/>
      <c r="N293" s="250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</row>
    <row r="294" ht="15.75" customHeight="1">
      <c r="A294" s="248"/>
      <c r="B294" s="248"/>
      <c r="C294" s="250"/>
      <c r="D294" s="248"/>
      <c r="E294" s="248"/>
      <c r="F294" s="248"/>
      <c r="G294" s="248"/>
      <c r="H294" s="248"/>
      <c r="I294" s="249"/>
      <c r="J294" s="248"/>
      <c r="K294" s="248"/>
      <c r="L294" s="250"/>
      <c r="M294" s="250"/>
      <c r="N294" s="250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</row>
    <row r="295" ht="15.75" customHeight="1">
      <c r="A295" s="248"/>
      <c r="B295" s="248"/>
      <c r="C295" s="250"/>
      <c r="D295" s="248"/>
      <c r="E295" s="248"/>
      <c r="F295" s="248"/>
      <c r="G295" s="248"/>
      <c r="H295" s="248"/>
      <c r="I295" s="249"/>
      <c r="J295" s="248"/>
      <c r="K295" s="248"/>
      <c r="L295" s="250"/>
      <c r="M295" s="250"/>
      <c r="N295" s="250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</row>
    <row r="296" ht="15.75" customHeight="1">
      <c r="A296" s="248"/>
      <c r="B296" s="248"/>
      <c r="C296" s="250"/>
      <c r="D296" s="248"/>
      <c r="E296" s="248"/>
      <c r="F296" s="248"/>
      <c r="G296" s="248"/>
      <c r="H296" s="248"/>
      <c r="I296" s="249"/>
      <c r="J296" s="248"/>
      <c r="K296" s="248"/>
      <c r="L296" s="250"/>
      <c r="M296" s="250"/>
      <c r="N296" s="250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</row>
    <row r="297" ht="15.75" customHeight="1">
      <c r="A297" s="248"/>
      <c r="B297" s="248"/>
      <c r="C297" s="250"/>
      <c r="D297" s="248"/>
      <c r="E297" s="248"/>
      <c r="F297" s="248"/>
      <c r="G297" s="248"/>
      <c r="H297" s="248"/>
      <c r="I297" s="249"/>
      <c r="J297" s="248"/>
      <c r="K297" s="248"/>
      <c r="L297" s="250"/>
      <c r="M297" s="250"/>
      <c r="N297" s="250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</row>
    <row r="298" ht="15.75" customHeight="1">
      <c r="A298" s="248"/>
      <c r="B298" s="248"/>
      <c r="C298" s="250"/>
      <c r="D298" s="248"/>
      <c r="E298" s="248"/>
      <c r="F298" s="248"/>
      <c r="G298" s="248"/>
      <c r="H298" s="248"/>
      <c r="I298" s="249"/>
      <c r="J298" s="248"/>
      <c r="K298" s="248"/>
      <c r="L298" s="250"/>
      <c r="M298" s="250"/>
      <c r="N298" s="250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</row>
    <row r="299" ht="15.75" customHeight="1">
      <c r="A299" s="248"/>
      <c r="B299" s="248"/>
      <c r="C299" s="250"/>
      <c r="D299" s="248"/>
      <c r="E299" s="248"/>
      <c r="F299" s="248"/>
      <c r="G299" s="248"/>
      <c r="H299" s="248"/>
      <c r="I299" s="249"/>
      <c r="J299" s="248"/>
      <c r="K299" s="248"/>
      <c r="L299" s="250"/>
      <c r="M299" s="250"/>
      <c r="N299" s="250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</row>
    <row r="300" ht="15.75" customHeight="1">
      <c r="A300" s="248"/>
      <c r="B300" s="248"/>
      <c r="C300" s="250"/>
      <c r="D300" s="248"/>
      <c r="E300" s="248"/>
      <c r="F300" s="248"/>
      <c r="G300" s="248"/>
      <c r="H300" s="248"/>
      <c r="I300" s="249"/>
      <c r="J300" s="248"/>
      <c r="K300" s="248"/>
      <c r="L300" s="250"/>
      <c r="M300" s="250"/>
      <c r="N300" s="250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</row>
    <row r="301" ht="15.75" customHeight="1">
      <c r="A301" s="248"/>
      <c r="B301" s="248"/>
      <c r="C301" s="250"/>
      <c r="D301" s="248"/>
      <c r="E301" s="248"/>
      <c r="F301" s="248"/>
      <c r="G301" s="248"/>
      <c r="H301" s="248"/>
      <c r="I301" s="249"/>
      <c r="J301" s="248"/>
      <c r="K301" s="248"/>
      <c r="L301" s="250"/>
      <c r="M301" s="250"/>
      <c r="N301" s="250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</row>
    <row r="302" ht="15.75" customHeight="1">
      <c r="A302" s="248"/>
      <c r="B302" s="248"/>
      <c r="C302" s="250"/>
      <c r="D302" s="248"/>
      <c r="E302" s="248"/>
      <c r="F302" s="248"/>
      <c r="G302" s="248"/>
      <c r="H302" s="248"/>
      <c r="I302" s="249"/>
      <c r="J302" s="248"/>
      <c r="K302" s="248"/>
      <c r="L302" s="250"/>
      <c r="M302" s="250"/>
      <c r="N302" s="250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</row>
    <row r="303" ht="15.75" customHeight="1">
      <c r="A303" s="248"/>
      <c r="B303" s="248"/>
      <c r="C303" s="250"/>
      <c r="D303" s="248"/>
      <c r="E303" s="248"/>
      <c r="F303" s="248"/>
      <c r="G303" s="248"/>
      <c r="H303" s="248"/>
      <c r="I303" s="249"/>
      <c r="J303" s="248"/>
      <c r="K303" s="248"/>
      <c r="L303" s="250"/>
      <c r="M303" s="250"/>
      <c r="N303" s="250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</row>
    <row r="304" ht="15.75" customHeight="1">
      <c r="A304" s="248"/>
      <c r="B304" s="248"/>
      <c r="C304" s="250"/>
      <c r="D304" s="248"/>
      <c r="E304" s="248"/>
      <c r="F304" s="248"/>
      <c r="G304" s="248"/>
      <c r="H304" s="248"/>
      <c r="I304" s="249"/>
      <c r="J304" s="248"/>
      <c r="K304" s="248"/>
      <c r="L304" s="250"/>
      <c r="M304" s="250"/>
      <c r="N304" s="250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</row>
    <row r="305" ht="15.75" customHeight="1">
      <c r="A305" s="248"/>
      <c r="B305" s="248"/>
      <c r="C305" s="250"/>
      <c r="D305" s="248"/>
      <c r="E305" s="248"/>
      <c r="F305" s="248"/>
      <c r="G305" s="248"/>
      <c r="H305" s="248"/>
      <c r="I305" s="249"/>
      <c r="J305" s="248"/>
      <c r="K305" s="248"/>
      <c r="L305" s="250"/>
      <c r="M305" s="250"/>
      <c r="N305" s="250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</row>
    <row r="306" ht="15.75" customHeight="1">
      <c r="A306" s="248"/>
      <c r="B306" s="248"/>
      <c r="C306" s="250"/>
      <c r="D306" s="248"/>
      <c r="E306" s="248"/>
      <c r="F306" s="248"/>
      <c r="G306" s="248"/>
      <c r="H306" s="248"/>
      <c r="I306" s="249"/>
      <c r="J306" s="248"/>
      <c r="K306" s="248"/>
      <c r="L306" s="250"/>
      <c r="M306" s="250"/>
      <c r="N306" s="250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</row>
    <row r="307" ht="15.75" customHeight="1">
      <c r="A307" s="248"/>
      <c r="B307" s="248"/>
      <c r="C307" s="250"/>
      <c r="D307" s="248"/>
      <c r="E307" s="248"/>
      <c r="F307" s="248"/>
      <c r="G307" s="248"/>
      <c r="H307" s="248"/>
      <c r="I307" s="249"/>
      <c r="J307" s="248"/>
      <c r="K307" s="248"/>
      <c r="L307" s="250"/>
      <c r="M307" s="250"/>
      <c r="N307" s="250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</row>
    <row r="308" ht="15.75" customHeight="1">
      <c r="A308" s="248"/>
      <c r="B308" s="248"/>
      <c r="C308" s="250"/>
      <c r="D308" s="248"/>
      <c r="E308" s="248"/>
      <c r="F308" s="248"/>
      <c r="G308" s="248"/>
      <c r="H308" s="248"/>
      <c r="I308" s="249"/>
      <c r="J308" s="248"/>
      <c r="K308" s="248"/>
      <c r="L308" s="250"/>
      <c r="M308" s="250"/>
      <c r="N308" s="250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</row>
    <row r="309" ht="15.75" customHeight="1">
      <c r="A309" s="248"/>
      <c r="B309" s="248"/>
      <c r="C309" s="250"/>
      <c r="D309" s="248"/>
      <c r="E309" s="248"/>
      <c r="F309" s="248"/>
      <c r="G309" s="248"/>
      <c r="H309" s="248"/>
      <c r="I309" s="249"/>
      <c r="J309" s="248"/>
      <c r="K309" s="248"/>
      <c r="L309" s="250"/>
      <c r="M309" s="250"/>
      <c r="N309" s="250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</row>
    <row r="310" ht="15.75" customHeight="1">
      <c r="A310" s="248"/>
      <c r="B310" s="248"/>
      <c r="C310" s="250"/>
      <c r="D310" s="248"/>
      <c r="E310" s="248"/>
      <c r="F310" s="248"/>
      <c r="G310" s="248"/>
      <c r="H310" s="248"/>
      <c r="I310" s="249"/>
      <c r="J310" s="248"/>
      <c r="K310" s="248"/>
      <c r="L310" s="250"/>
      <c r="M310" s="250"/>
      <c r="N310" s="250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</row>
    <row r="311" ht="15.75" customHeight="1">
      <c r="A311" s="248"/>
      <c r="B311" s="248"/>
      <c r="C311" s="250"/>
      <c r="D311" s="248"/>
      <c r="E311" s="248"/>
      <c r="F311" s="248"/>
      <c r="G311" s="248"/>
      <c r="H311" s="248"/>
      <c r="I311" s="249"/>
      <c r="J311" s="248"/>
      <c r="K311" s="248"/>
      <c r="L311" s="250"/>
      <c r="M311" s="250"/>
      <c r="N311" s="250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</row>
    <row r="312" ht="15.75" customHeight="1">
      <c r="A312" s="248"/>
      <c r="B312" s="248"/>
      <c r="C312" s="250"/>
      <c r="D312" s="248"/>
      <c r="E312" s="248"/>
      <c r="F312" s="248"/>
      <c r="G312" s="248"/>
      <c r="H312" s="248"/>
      <c r="I312" s="249"/>
      <c r="J312" s="248"/>
      <c r="K312" s="248"/>
      <c r="L312" s="250"/>
      <c r="M312" s="250"/>
      <c r="N312" s="250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</row>
    <row r="313" ht="15.75" customHeight="1">
      <c r="A313" s="248"/>
      <c r="B313" s="248"/>
      <c r="C313" s="250"/>
      <c r="D313" s="248"/>
      <c r="E313" s="248"/>
      <c r="F313" s="248"/>
      <c r="G313" s="248"/>
      <c r="H313" s="248"/>
      <c r="I313" s="249"/>
      <c r="J313" s="248"/>
      <c r="K313" s="248"/>
      <c r="L313" s="250"/>
      <c r="M313" s="250"/>
      <c r="N313" s="250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</row>
    <row r="314" ht="15.75" customHeight="1">
      <c r="A314" s="248"/>
      <c r="B314" s="248"/>
      <c r="C314" s="250"/>
      <c r="D314" s="248"/>
      <c r="E314" s="248"/>
      <c r="F314" s="248"/>
      <c r="G314" s="248"/>
      <c r="H314" s="248"/>
      <c r="I314" s="249"/>
      <c r="J314" s="248"/>
      <c r="K314" s="248"/>
      <c r="L314" s="250"/>
      <c r="M314" s="250"/>
      <c r="N314" s="250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</row>
    <row r="315" ht="15.75" customHeight="1">
      <c r="A315" s="248"/>
      <c r="B315" s="248"/>
      <c r="C315" s="250"/>
      <c r="D315" s="248"/>
      <c r="E315" s="248"/>
      <c r="F315" s="248"/>
      <c r="G315" s="248"/>
      <c r="H315" s="248"/>
      <c r="I315" s="249"/>
      <c r="J315" s="248"/>
      <c r="K315" s="248"/>
      <c r="L315" s="250"/>
      <c r="M315" s="250"/>
      <c r="N315" s="250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</row>
    <row r="316" ht="15.75" customHeight="1">
      <c r="A316" s="248"/>
      <c r="B316" s="248"/>
      <c r="C316" s="250"/>
      <c r="D316" s="248"/>
      <c r="E316" s="248"/>
      <c r="F316" s="248"/>
      <c r="G316" s="248"/>
      <c r="H316" s="248"/>
      <c r="I316" s="249"/>
      <c r="J316" s="248"/>
      <c r="K316" s="248"/>
      <c r="L316" s="250"/>
      <c r="M316" s="250"/>
      <c r="N316" s="250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</row>
    <row r="317" ht="15.75" customHeight="1">
      <c r="A317" s="248"/>
      <c r="B317" s="248"/>
      <c r="C317" s="250"/>
      <c r="D317" s="248"/>
      <c r="E317" s="248"/>
      <c r="F317" s="248"/>
      <c r="G317" s="248"/>
      <c r="H317" s="248"/>
      <c r="I317" s="249"/>
      <c r="J317" s="248"/>
      <c r="K317" s="248"/>
      <c r="L317" s="250"/>
      <c r="M317" s="250"/>
      <c r="N317" s="250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</row>
    <row r="318" ht="15.75" customHeight="1">
      <c r="A318" s="248"/>
      <c r="B318" s="248"/>
      <c r="C318" s="250"/>
      <c r="D318" s="248"/>
      <c r="E318" s="248"/>
      <c r="F318" s="248"/>
      <c r="G318" s="248"/>
      <c r="H318" s="248"/>
      <c r="I318" s="249"/>
      <c r="J318" s="248"/>
      <c r="K318" s="248"/>
      <c r="L318" s="250"/>
      <c r="M318" s="250"/>
      <c r="N318" s="250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</row>
    <row r="319" ht="15.75" customHeight="1">
      <c r="A319" s="248"/>
      <c r="B319" s="248"/>
      <c r="C319" s="250"/>
      <c r="D319" s="248"/>
      <c r="E319" s="248"/>
      <c r="F319" s="248"/>
      <c r="G319" s="248"/>
      <c r="H319" s="248"/>
      <c r="I319" s="249"/>
      <c r="J319" s="248"/>
      <c r="K319" s="248"/>
      <c r="L319" s="250"/>
      <c r="M319" s="250"/>
      <c r="N319" s="250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</row>
    <row r="320" ht="15.75" customHeight="1">
      <c r="A320" s="248"/>
      <c r="B320" s="248"/>
      <c r="C320" s="250"/>
      <c r="D320" s="248"/>
      <c r="E320" s="248"/>
      <c r="F320" s="248"/>
      <c r="G320" s="248"/>
      <c r="H320" s="248"/>
      <c r="I320" s="249"/>
      <c r="J320" s="248"/>
      <c r="K320" s="248"/>
      <c r="L320" s="250"/>
      <c r="M320" s="250"/>
      <c r="N320" s="250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</row>
    <row r="321" ht="15.75" customHeight="1">
      <c r="A321" s="248"/>
      <c r="B321" s="248"/>
      <c r="C321" s="250"/>
      <c r="D321" s="248"/>
      <c r="E321" s="248"/>
      <c r="F321" s="248"/>
      <c r="G321" s="248"/>
      <c r="H321" s="248"/>
      <c r="I321" s="249"/>
      <c r="J321" s="248"/>
      <c r="K321" s="248"/>
      <c r="L321" s="250"/>
      <c r="M321" s="250"/>
      <c r="N321" s="250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</row>
    <row r="322" ht="15.75" customHeight="1">
      <c r="A322" s="248"/>
      <c r="B322" s="248"/>
      <c r="C322" s="250"/>
      <c r="D322" s="248"/>
      <c r="E322" s="248"/>
      <c r="F322" s="248"/>
      <c r="G322" s="248"/>
      <c r="H322" s="248"/>
      <c r="I322" s="249"/>
      <c r="J322" s="248"/>
      <c r="K322" s="248"/>
      <c r="L322" s="250"/>
      <c r="M322" s="250"/>
      <c r="N322" s="250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</row>
    <row r="323" ht="15.75" customHeight="1">
      <c r="A323" s="248"/>
      <c r="B323" s="248"/>
      <c r="C323" s="250"/>
      <c r="D323" s="248"/>
      <c r="E323" s="248"/>
      <c r="F323" s="248"/>
      <c r="G323" s="248"/>
      <c r="H323" s="248"/>
      <c r="I323" s="249"/>
      <c r="J323" s="248"/>
      <c r="K323" s="248"/>
      <c r="L323" s="250"/>
      <c r="M323" s="250"/>
      <c r="N323" s="250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</row>
    <row r="324" ht="15.75" customHeight="1">
      <c r="A324" s="248"/>
      <c r="B324" s="248"/>
      <c r="C324" s="250"/>
      <c r="D324" s="248"/>
      <c r="E324" s="248"/>
      <c r="F324" s="248"/>
      <c r="G324" s="248"/>
      <c r="H324" s="248"/>
      <c r="I324" s="249"/>
      <c r="J324" s="248"/>
      <c r="K324" s="248"/>
      <c r="L324" s="250"/>
      <c r="M324" s="250"/>
      <c r="N324" s="250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</row>
    <row r="325" ht="15.75" customHeight="1">
      <c r="A325" s="248"/>
      <c r="B325" s="248"/>
      <c r="C325" s="250"/>
      <c r="D325" s="248"/>
      <c r="E325" s="248"/>
      <c r="F325" s="248"/>
      <c r="G325" s="248"/>
      <c r="H325" s="248"/>
      <c r="I325" s="249"/>
      <c r="J325" s="248"/>
      <c r="K325" s="248"/>
      <c r="L325" s="250"/>
      <c r="M325" s="250"/>
      <c r="N325" s="250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</row>
    <row r="326" ht="15.75" customHeight="1">
      <c r="A326" s="248"/>
      <c r="B326" s="248"/>
      <c r="C326" s="250"/>
      <c r="D326" s="248"/>
      <c r="E326" s="248"/>
      <c r="F326" s="248"/>
      <c r="G326" s="248"/>
      <c r="H326" s="248"/>
      <c r="I326" s="249"/>
      <c r="J326" s="248"/>
      <c r="K326" s="248"/>
      <c r="L326" s="250"/>
      <c r="M326" s="250"/>
      <c r="N326" s="250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</row>
    <row r="327" ht="15.75" customHeight="1">
      <c r="A327" s="248"/>
      <c r="B327" s="248"/>
      <c r="C327" s="250"/>
      <c r="D327" s="248"/>
      <c r="E327" s="248"/>
      <c r="F327" s="248"/>
      <c r="G327" s="248"/>
      <c r="H327" s="248"/>
      <c r="I327" s="249"/>
      <c r="J327" s="248"/>
      <c r="K327" s="248"/>
      <c r="L327" s="250"/>
      <c r="M327" s="250"/>
      <c r="N327" s="250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</row>
    <row r="328" ht="15.75" customHeight="1">
      <c r="A328" s="248"/>
      <c r="B328" s="248"/>
      <c r="C328" s="250"/>
      <c r="D328" s="248"/>
      <c r="E328" s="248"/>
      <c r="F328" s="248"/>
      <c r="G328" s="248"/>
      <c r="H328" s="248"/>
      <c r="I328" s="249"/>
      <c r="J328" s="248"/>
      <c r="K328" s="248"/>
      <c r="L328" s="250"/>
      <c r="M328" s="250"/>
      <c r="N328" s="250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</row>
    <row r="329" ht="15.75" customHeight="1">
      <c r="A329" s="248"/>
      <c r="B329" s="248"/>
      <c r="C329" s="250"/>
      <c r="D329" s="248"/>
      <c r="E329" s="248"/>
      <c r="F329" s="248"/>
      <c r="G329" s="248"/>
      <c r="H329" s="248"/>
      <c r="I329" s="249"/>
      <c r="J329" s="248"/>
      <c r="K329" s="248"/>
      <c r="L329" s="250"/>
      <c r="M329" s="250"/>
      <c r="N329" s="250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</row>
    <row r="330" ht="15.75" customHeight="1">
      <c r="A330" s="248"/>
      <c r="B330" s="248"/>
      <c r="C330" s="250"/>
      <c r="D330" s="248"/>
      <c r="E330" s="248"/>
      <c r="F330" s="248"/>
      <c r="G330" s="248"/>
      <c r="H330" s="248"/>
      <c r="I330" s="249"/>
      <c r="J330" s="248"/>
      <c r="K330" s="248"/>
      <c r="L330" s="250"/>
      <c r="M330" s="250"/>
      <c r="N330" s="250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</row>
    <row r="331" ht="15.75" customHeight="1">
      <c r="A331" s="248"/>
      <c r="B331" s="248"/>
      <c r="C331" s="250"/>
      <c r="D331" s="248"/>
      <c r="E331" s="248"/>
      <c r="F331" s="248"/>
      <c r="G331" s="248"/>
      <c r="H331" s="248"/>
      <c r="I331" s="249"/>
      <c r="J331" s="248"/>
      <c r="K331" s="248"/>
      <c r="L331" s="250"/>
      <c r="M331" s="250"/>
      <c r="N331" s="250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</row>
    <row r="332" ht="15.75" customHeight="1">
      <c r="A332" s="248"/>
      <c r="B332" s="248"/>
      <c r="C332" s="250"/>
      <c r="D332" s="248"/>
      <c r="E332" s="248"/>
      <c r="F332" s="248"/>
      <c r="G332" s="248"/>
      <c r="H332" s="248"/>
      <c r="I332" s="249"/>
      <c r="J332" s="248"/>
      <c r="K332" s="248"/>
      <c r="L332" s="250"/>
      <c r="M332" s="250"/>
      <c r="N332" s="250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</row>
    <row r="333" ht="15.75" customHeight="1">
      <c r="A333" s="248"/>
      <c r="B333" s="248"/>
      <c r="C333" s="250"/>
      <c r="D333" s="248"/>
      <c r="E333" s="248"/>
      <c r="F333" s="248"/>
      <c r="G333" s="248"/>
      <c r="H333" s="248"/>
      <c r="I333" s="249"/>
      <c r="J333" s="248"/>
      <c r="K333" s="248"/>
      <c r="L333" s="250"/>
      <c r="M333" s="250"/>
      <c r="N333" s="250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</row>
    <row r="334" ht="15.75" customHeight="1">
      <c r="A334" s="248"/>
      <c r="B334" s="248"/>
      <c r="C334" s="250"/>
      <c r="D334" s="248"/>
      <c r="E334" s="248"/>
      <c r="F334" s="248"/>
      <c r="G334" s="248"/>
      <c r="H334" s="248"/>
      <c r="I334" s="249"/>
      <c r="J334" s="248"/>
      <c r="K334" s="248"/>
      <c r="L334" s="250"/>
      <c r="M334" s="250"/>
      <c r="N334" s="250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</row>
    <row r="335" ht="15.75" customHeight="1">
      <c r="A335" s="248"/>
      <c r="B335" s="248"/>
      <c r="C335" s="250"/>
      <c r="D335" s="248"/>
      <c r="E335" s="248"/>
      <c r="F335" s="248"/>
      <c r="G335" s="248"/>
      <c r="H335" s="248"/>
      <c r="I335" s="249"/>
      <c r="J335" s="248"/>
      <c r="K335" s="248"/>
      <c r="L335" s="250"/>
      <c r="M335" s="250"/>
      <c r="N335" s="250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</row>
    <row r="336" ht="15.75" customHeight="1">
      <c r="A336" s="248"/>
      <c r="B336" s="248"/>
      <c r="C336" s="250"/>
      <c r="D336" s="248"/>
      <c r="E336" s="248"/>
      <c r="F336" s="248"/>
      <c r="G336" s="248"/>
      <c r="H336" s="248"/>
      <c r="I336" s="249"/>
      <c r="J336" s="248"/>
      <c r="K336" s="248"/>
      <c r="L336" s="250"/>
      <c r="M336" s="250"/>
      <c r="N336" s="250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</row>
    <row r="337" ht="15.75" customHeight="1">
      <c r="A337" s="248"/>
      <c r="B337" s="248"/>
      <c r="C337" s="250"/>
      <c r="D337" s="248"/>
      <c r="E337" s="248"/>
      <c r="F337" s="248"/>
      <c r="G337" s="248"/>
      <c r="H337" s="248"/>
      <c r="I337" s="249"/>
      <c r="J337" s="248"/>
      <c r="K337" s="248"/>
      <c r="L337" s="250"/>
      <c r="M337" s="250"/>
      <c r="N337" s="250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</row>
    <row r="338" ht="15.75" customHeight="1">
      <c r="A338" s="248"/>
      <c r="B338" s="248"/>
      <c r="C338" s="250"/>
      <c r="D338" s="248"/>
      <c r="E338" s="248"/>
      <c r="F338" s="248"/>
      <c r="G338" s="248"/>
      <c r="H338" s="248"/>
      <c r="I338" s="249"/>
      <c r="J338" s="248"/>
      <c r="K338" s="248"/>
      <c r="L338" s="250"/>
      <c r="M338" s="250"/>
      <c r="N338" s="250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</row>
    <row r="339" ht="15.75" customHeight="1">
      <c r="A339" s="248"/>
      <c r="B339" s="248"/>
      <c r="C339" s="250"/>
      <c r="D339" s="248"/>
      <c r="E339" s="248"/>
      <c r="F339" s="248"/>
      <c r="G339" s="248"/>
      <c r="H339" s="248"/>
      <c r="I339" s="249"/>
      <c r="J339" s="248"/>
      <c r="K339" s="248"/>
      <c r="L339" s="250"/>
      <c r="M339" s="250"/>
      <c r="N339" s="250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</row>
    <row r="340" ht="15.75" customHeight="1">
      <c r="A340" s="248"/>
      <c r="B340" s="248"/>
      <c r="C340" s="250"/>
      <c r="D340" s="248"/>
      <c r="E340" s="248"/>
      <c r="F340" s="248"/>
      <c r="G340" s="248"/>
      <c r="H340" s="248"/>
      <c r="I340" s="249"/>
      <c r="J340" s="248"/>
      <c r="K340" s="248"/>
      <c r="L340" s="250"/>
      <c r="M340" s="250"/>
      <c r="N340" s="250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</row>
    <row r="341" ht="15.75" customHeight="1">
      <c r="A341" s="248"/>
      <c r="B341" s="248"/>
      <c r="C341" s="250"/>
      <c r="D341" s="248"/>
      <c r="E341" s="248"/>
      <c r="F341" s="248"/>
      <c r="G341" s="248"/>
      <c r="H341" s="248"/>
      <c r="I341" s="249"/>
      <c r="J341" s="248"/>
      <c r="K341" s="248"/>
      <c r="L341" s="250"/>
      <c r="M341" s="250"/>
      <c r="N341" s="250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</row>
    <row r="342" ht="15.75" customHeight="1">
      <c r="A342" s="248"/>
      <c r="B342" s="248"/>
      <c r="C342" s="250"/>
      <c r="D342" s="248"/>
      <c r="E342" s="248"/>
      <c r="F342" s="248"/>
      <c r="G342" s="248"/>
      <c r="H342" s="248"/>
      <c r="I342" s="249"/>
      <c r="J342" s="248"/>
      <c r="K342" s="248"/>
      <c r="L342" s="250"/>
      <c r="M342" s="250"/>
      <c r="N342" s="250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</row>
    <row r="343" ht="15.75" customHeight="1">
      <c r="A343" s="248"/>
      <c r="B343" s="248"/>
      <c r="C343" s="250"/>
      <c r="D343" s="248"/>
      <c r="E343" s="248"/>
      <c r="F343" s="248"/>
      <c r="G343" s="248"/>
      <c r="H343" s="248"/>
      <c r="I343" s="249"/>
      <c r="J343" s="248"/>
      <c r="K343" s="248"/>
      <c r="L343" s="250"/>
      <c r="M343" s="250"/>
      <c r="N343" s="250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</row>
    <row r="344" ht="15.75" customHeight="1">
      <c r="A344" s="248"/>
      <c r="B344" s="248"/>
      <c r="C344" s="250"/>
      <c r="D344" s="248"/>
      <c r="E344" s="248"/>
      <c r="F344" s="248"/>
      <c r="G344" s="248"/>
      <c r="H344" s="248"/>
      <c r="I344" s="249"/>
      <c r="J344" s="248"/>
      <c r="K344" s="248"/>
      <c r="L344" s="250"/>
      <c r="M344" s="250"/>
      <c r="N344" s="250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</row>
    <row r="345" ht="15.75" customHeight="1">
      <c r="A345" s="248"/>
      <c r="B345" s="248"/>
      <c r="C345" s="250"/>
      <c r="D345" s="248"/>
      <c r="E345" s="248"/>
      <c r="F345" s="248"/>
      <c r="G345" s="248"/>
      <c r="H345" s="248"/>
      <c r="I345" s="249"/>
      <c r="J345" s="248"/>
      <c r="K345" s="248"/>
      <c r="L345" s="250"/>
      <c r="M345" s="250"/>
      <c r="N345" s="250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</row>
    <row r="346" ht="15.75" customHeight="1">
      <c r="A346" s="248"/>
      <c r="B346" s="248"/>
      <c r="C346" s="250"/>
      <c r="D346" s="248"/>
      <c r="E346" s="248"/>
      <c r="F346" s="248"/>
      <c r="G346" s="248"/>
      <c r="H346" s="248"/>
      <c r="I346" s="249"/>
      <c r="J346" s="248"/>
      <c r="K346" s="248"/>
      <c r="L346" s="250"/>
      <c r="M346" s="250"/>
      <c r="N346" s="250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</row>
    <row r="347" ht="15.75" customHeight="1">
      <c r="A347" s="248"/>
      <c r="B347" s="248"/>
      <c r="C347" s="250"/>
      <c r="D347" s="248"/>
      <c r="E347" s="248"/>
      <c r="F347" s="248"/>
      <c r="G347" s="248"/>
      <c r="H347" s="248"/>
      <c r="I347" s="249"/>
      <c r="J347" s="248"/>
      <c r="K347" s="248"/>
      <c r="L347" s="250"/>
      <c r="M347" s="250"/>
      <c r="N347" s="250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</row>
    <row r="348" ht="15.75" customHeight="1">
      <c r="A348" s="248"/>
      <c r="B348" s="248"/>
      <c r="C348" s="250"/>
      <c r="D348" s="248"/>
      <c r="E348" s="248"/>
      <c r="F348" s="248"/>
      <c r="G348" s="248"/>
      <c r="H348" s="248"/>
      <c r="I348" s="249"/>
      <c r="J348" s="248"/>
      <c r="K348" s="248"/>
      <c r="L348" s="250"/>
      <c r="M348" s="250"/>
      <c r="N348" s="250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</row>
    <row r="349" ht="15.75" customHeight="1">
      <c r="A349" s="248"/>
      <c r="B349" s="248"/>
      <c r="C349" s="250"/>
      <c r="D349" s="248"/>
      <c r="E349" s="248"/>
      <c r="F349" s="248"/>
      <c r="G349" s="248"/>
      <c r="H349" s="248"/>
      <c r="I349" s="249"/>
      <c r="J349" s="248"/>
      <c r="K349" s="248"/>
      <c r="L349" s="250"/>
      <c r="M349" s="250"/>
      <c r="N349" s="250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</row>
    <row r="350" ht="15.75" customHeight="1">
      <c r="A350" s="248"/>
      <c r="B350" s="248"/>
      <c r="C350" s="250"/>
      <c r="D350" s="248"/>
      <c r="E350" s="248"/>
      <c r="F350" s="248"/>
      <c r="G350" s="248"/>
      <c r="H350" s="248"/>
      <c r="I350" s="249"/>
      <c r="J350" s="248"/>
      <c r="K350" s="248"/>
      <c r="L350" s="250"/>
      <c r="M350" s="250"/>
      <c r="N350" s="250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</row>
    <row r="351" ht="15.75" customHeight="1">
      <c r="A351" s="248"/>
      <c r="B351" s="248"/>
      <c r="C351" s="250"/>
      <c r="D351" s="248"/>
      <c r="E351" s="248"/>
      <c r="F351" s="248"/>
      <c r="G351" s="248"/>
      <c r="H351" s="248"/>
      <c r="I351" s="249"/>
      <c r="J351" s="248"/>
      <c r="K351" s="248"/>
      <c r="L351" s="250"/>
      <c r="M351" s="250"/>
      <c r="N351" s="250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</row>
    <row r="352" ht="15.75" customHeight="1">
      <c r="A352" s="248"/>
      <c r="B352" s="248"/>
      <c r="C352" s="250"/>
      <c r="D352" s="248"/>
      <c r="E352" s="248"/>
      <c r="F352" s="248"/>
      <c r="G352" s="248"/>
      <c r="H352" s="248"/>
      <c r="I352" s="249"/>
      <c r="J352" s="248"/>
      <c r="K352" s="248"/>
      <c r="L352" s="250"/>
      <c r="M352" s="250"/>
      <c r="N352" s="250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</row>
    <row r="353" ht="15.75" customHeight="1">
      <c r="A353" s="248"/>
      <c r="B353" s="248"/>
      <c r="C353" s="250"/>
      <c r="D353" s="248"/>
      <c r="E353" s="248"/>
      <c r="F353" s="248"/>
      <c r="G353" s="248"/>
      <c r="H353" s="248"/>
      <c r="I353" s="249"/>
      <c r="J353" s="248"/>
      <c r="K353" s="248"/>
      <c r="L353" s="250"/>
      <c r="M353" s="250"/>
      <c r="N353" s="250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</row>
    <row r="354" ht="15.75" customHeight="1">
      <c r="A354" s="248"/>
      <c r="B354" s="248"/>
      <c r="C354" s="250"/>
      <c r="D354" s="248"/>
      <c r="E354" s="248"/>
      <c r="F354" s="248"/>
      <c r="G354" s="248"/>
      <c r="H354" s="248"/>
      <c r="I354" s="249"/>
      <c r="J354" s="248"/>
      <c r="K354" s="248"/>
      <c r="L354" s="250"/>
      <c r="M354" s="250"/>
      <c r="N354" s="250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</row>
    <row r="355" ht="15.75" customHeight="1">
      <c r="A355" s="248"/>
      <c r="B355" s="248"/>
      <c r="C355" s="250"/>
      <c r="D355" s="248"/>
      <c r="E355" s="248"/>
      <c r="F355" s="248"/>
      <c r="G355" s="248"/>
      <c r="H355" s="248"/>
      <c r="I355" s="249"/>
      <c r="J355" s="248"/>
      <c r="K355" s="248"/>
      <c r="L355" s="250"/>
      <c r="M355" s="250"/>
      <c r="N355" s="250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</row>
    <row r="356" ht="15.75" customHeight="1">
      <c r="A356" s="248"/>
      <c r="B356" s="248"/>
      <c r="C356" s="250"/>
      <c r="D356" s="248"/>
      <c r="E356" s="248"/>
      <c r="F356" s="248"/>
      <c r="G356" s="248"/>
      <c r="H356" s="248"/>
      <c r="I356" s="249"/>
      <c r="J356" s="248"/>
      <c r="K356" s="248"/>
      <c r="L356" s="250"/>
      <c r="M356" s="250"/>
      <c r="N356" s="250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</row>
    <row r="357" ht="15.75" customHeight="1">
      <c r="A357" s="248"/>
      <c r="B357" s="248"/>
      <c r="C357" s="250"/>
      <c r="D357" s="248"/>
      <c r="E357" s="248"/>
      <c r="F357" s="248"/>
      <c r="G357" s="248"/>
      <c r="H357" s="248"/>
      <c r="I357" s="249"/>
      <c r="J357" s="248"/>
      <c r="K357" s="248"/>
      <c r="L357" s="250"/>
      <c r="M357" s="250"/>
      <c r="N357" s="250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</row>
    <row r="358" ht="15.75" customHeight="1">
      <c r="A358" s="248"/>
      <c r="B358" s="248"/>
      <c r="C358" s="250"/>
      <c r="D358" s="248"/>
      <c r="E358" s="248"/>
      <c r="F358" s="248"/>
      <c r="G358" s="248"/>
      <c r="H358" s="248"/>
      <c r="I358" s="249"/>
      <c r="J358" s="248"/>
      <c r="K358" s="248"/>
      <c r="L358" s="250"/>
      <c r="M358" s="250"/>
      <c r="N358" s="250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</row>
    <row r="359" ht="15.75" customHeight="1">
      <c r="A359" s="248"/>
      <c r="B359" s="248"/>
      <c r="C359" s="250"/>
      <c r="D359" s="248"/>
      <c r="E359" s="248"/>
      <c r="F359" s="248"/>
      <c r="G359" s="248"/>
      <c r="H359" s="248"/>
      <c r="I359" s="249"/>
      <c r="J359" s="248"/>
      <c r="K359" s="248"/>
      <c r="L359" s="250"/>
      <c r="M359" s="250"/>
      <c r="N359" s="250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</row>
    <row r="360" ht="15.75" customHeight="1">
      <c r="A360" s="248"/>
      <c r="B360" s="248"/>
      <c r="C360" s="250"/>
      <c r="D360" s="248"/>
      <c r="E360" s="248"/>
      <c r="F360" s="248"/>
      <c r="G360" s="248"/>
      <c r="H360" s="248"/>
      <c r="I360" s="249"/>
      <c r="J360" s="248"/>
      <c r="K360" s="248"/>
      <c r="L360" s="250"/>
      <c r="M360" s="250"/>
      <c r="N360" s="250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</row>
    <row r="361" ht="15.75" customHeight="1">
      <c r="A361" s="248"/>
      <c r="B361" s="248"/>
      <c r="C361" s="250"/>
      <c r="D361" s="248"/>
      <c r="E361" s="248"/>
      <c r="F361" s="248"/>
      <c r="G361" s="248"/>
      <c r="H361" s="248"/>
      <c r="I361" s="249"/>
      <c r="J361" s="248"/>
      <c r="K361" s="248"/>
      <c r="L361" s="250"/>
      <c r="M361" s="250"/>
      <c r="N361" s="250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</row>
    <row r="362" ht="15.75" customHeight="1">
      <c r="A362" s="248"/>
      <c r="B362" s="248"/>
      <c r="C362" s="250"/>
      <c r="D362" s="248"/>
      <c r="E362" s="248"/>
      <c r="F362" s="248"/>
      <c r="G362" s="248"/>
      <c r="H362" s="248"/>
      <c r="I362" s="249"/>
      <c r="J362" s="248"/>
      <c r="K362" s="248"/>
      <c r="L362" s="250"/>
      <c r="M362" s="250"/>
      <c r="N362" s="250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</row>
    <row r="363" ht="15.75" customHeight="1">
      <c r="A363" s="248"/>
      <c r="B363" s="248"/>
      <c r="C363" s="250"/>
      <c r="D363" s="248"/>
      <c r="E363" s="248"/>
      <c r="F363" s="248"/>
      <c r="G363" s="248"/>
      <c r="H363" s="248"/>
      <c r="I363" s="249"/>
      <c r="J363" s="248"/>
      <c r="K363" s="248"/>
      <c r="L363" s="250"/>
      <c r="M363" s="250"/>
      <c r="N363" s="250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</row>
    <row r="364" ht="15.75" customHeight="1">
      <c r="A364" s="248"/>
      <c r="B364" s="248"/>
      <c r="C364" s="250"/>
      <c r="D364" s="248"/>
      <c r="E364" s="248"/>
      <c r="F364" s="248"/>
      <c r="G364" s="248"/>
      <c r="H364" s="248"/>
      <c r="I364" s="249"/>
      <c r="J364" s="248"/>
      <c r="K364" s="248"/>
      <c r="L364" s="250"/>
      <c r="M364" s="250"/>
      <c r="N364" s="250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</row>
    <row r="365" ht="15.75" customHeight="1">
      <c r="A365" s="248"/>
      <c r="B365" s="248"/>
      <c r="C365" s="250"/>
      <c r="D365" s="248"/>
      <c r="E365" s="248"/>
      <c r="F365" s="248"/>
      <c r="G365" s="248"/>
      <c r="H365" s="248"/>
      <c r="I365" s="249"/>
      <c r="J365" s="248"/>
      <c r="K365" s="248"/>
      <c r="L365" s="250"/>
      <c r="M365" s="250"/>
      <c r="N365" s="250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</row>
    <row r="366" ht="15.75" customHeight="1">
      <c r="A366" s="248"/>
      <c r="B366" s="248"/>
      <c r="C366" s="250"/>
      <c r="D366" s="248"/>
      <c r="E366" s="248"/>
      <c r="F366" s="248"/>
      <c r="G366" s="248"/>
      <c r="H366" s="248"/>
      <c r="I366" s="249"/>
      <c r="J366" s="248"/>
      <c r="K366" s="248"/>
      <c r="L366" s="250"/>
      <c r="M366" s="250"/>
      <c r="N366" s="250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</row>
    <row r="367" ht="15.75" customHeight="1">
      <c r="A367" s="248"/>
      <c r="B367" s="248"/>
      <c r="C367" s="250"/>
      <c r="D367" s="248"/>
      <c r="E367" s="248"/>
      <c r="F367" s="248"/>
      <c r="G367" s="248"/>
      <c r="H367" s="248"/>
      <c r="I367" s="249"/>
      <c r="J367" s="248"/>
      <c r="K367" s="248"/>
      <c r="L367" s="250"/>
      <c r="M367" s="250"/>
      <c r="N367" s="250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</row>
    <row r="368" ht="15.75" customHeight="1">
      <c r="A368" s="248"/>
      <c r="B368" s="248"/>
      <c r="C368" s="250"/>
      <c r="D368" s="248"/>
      <c r="E368" s="248"/>
      <c r="F368" s="248"/>
      <c r="G368" s="248"/>
      <c r="H368" s="248"/>
      <c r="I368" s="249"/>
      <c r="J368" s="248"/>
      <c r="K368" s="248"/>
      <c r="L368" s="250"/>
      <c r="M368" s="250"/>
      <c r="N368" s="250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</row>
    <row r="369" ht="15.75" customHeight="1">
      <c r="A369" s="248"/>
      <c r="B369" s="248"/>
      <c r="C369" s="250"/>
      <c r="D369" s="248"/>
      <c r="E369" s="248"/>
      <c r="F369" s="248"/>
      <c r="G369" s="248"/>
      <c r="H369" s="248"/>
      <c r="I369" s="249"/>
      <c r="J369" s="248"/>
      <c r="K369" s="248"/>
      <c r="L369" s="250"/>
      <c r="M369" s="250"/>
      <c r="N369" s="250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</row>
    <row r="370" ht="15.75" customHeight="1">
      <c r="A370" s="248"/>
      <c r="B370" s="248"/>
      <c r="C370" s="250"/>
      <c r="D370" s="248"/>
      <c r="E370" s="248"/>
      <c r="F370" s="248"/>
      <c r="G370" s="248"/>
      <c r="H370" s="248"/>
      <c r="I370" s="249"/>
      <c r="J370" s="248"/>
      <c r="K370" s="248"/>
      <c r="L370" s="250"/>
      <c r="M370" s="250"/>
      <c r="N370" s="250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</row>
    <row r="371" ht="15.75" customHeight="1">
      <c r="A371" s="248"/>
      <c r="B371" s="248"/>
      <c r="C371" s="250"/>
      <c r="D371" s="248"/>
      <c r="E371" s="248"/>
      <c r="F371" s="248"/>
      <c r="G371" s="248"/>
      <c r="H371" s="248"/>
      <c r="I371" s="249"/>
      <c r="J371" s="248"/>
      <c r="K371" s="248"/>
      <c r="L371" s="250"/>
      <c r="M371" s="250"/>
      <c r="N371" s="250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</row>
    <row r="372" ht="15.75" customHeight="1">
      <c r="A372" s="248"/>
      <c r="B372" s="248"/>
      <c r="C372" s="250"/>
      <c r="D372" s="248"/>
      <c r="E372" s="248"/>
      <c r="F372" s="248"/>
      <c r="G372" s="248"/>
      <c r="H372" s="248"/>
      <c r="I372" s="249"/>
      <c r="J372" s="248"/>
      <c r="K372" s="248"/>
      <c r="L372" s="250"/>
      <c r="M372" s="250"/>
      <c r="N372" s="250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</row>
    <row r="373" ht="15.75" customHeight="1">
      <c r="A373" s="248"/>
      <c r="B373" s="248"/>
      <c r="C373" s="250"/>
      <c r="D373" s="248"/>
      <c r="E373" s="248"/>
      <c r="F373" s="248"/>
      <c r="G373" s="248"/>
      <c r="H373" s="248"/>
      <c r="I373" s="249"/>
      <c r="J373" s="248"/>
      <c r="K373" s="248"/>
      <c r="L373" s="250"/>
      <c r="M373" s="250"/>
      <c r="N373" s="250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</row>
    <row r="374" ht="15.75" customHeight="1">
      <c r="A374" s="248"/>
      <c r="B374" s="248"/>
      <c r="C374" s="250"/>
      <c r="D374" s="248"/>
      <c r="E374" s="248"/>
      <c r="F374" s="248"/>
      <c r="G374" s="248"/>
      <c r="H374" s="248"/>
      <c r="I374" s="249"/>
      <c r="J374" s="248"/>
      <c r="K374" s="248"/>
      <c r="L374" s="250"/>
      <c r="M374" s="250"/>
      <c r="N374" s="250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</row>
    <row r="375" ht="15.75" customHeight="1">
      <c r="A375" s="248"/>
      <c r="B375" s="248"/>
      <c r="C375" s="250"/>
      <c r="D375" s="248"/>
      <c r="E375" s="248"/>
      <c r="F375" s="248"/>
      <c r="G375" s="248"/>
      <c r="H375" s="248"/>
      <c r="I375" s="249"/>
      <c r="J375" s="248"/>
      <c r="K375" s="248"/>
      <c r="L375" s="250"/>
      <c r="M375" s="250"/>
      <c r="N375" s="250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</row>
    <row r="376" ht="15.75" customHeight="1">
      <c r="A376" s="248"/>
      <c r="B376" s="248"/>
      <c r="C376" s="250"/>
      <c r="D376" s="248"/>
      <c r="E376" s="248"/>
      <c r="F376" s="248"/>
      <c r="G376" s="248"/>
      <c r="H376" s="248"/>
      <c r="I376" s="249"/>
      <c r="J376" s="248"/>
      <c r="K376" s="248"/>
      <c r="L376" s="250"/>
      <c r="M376" s="250"/>
      <c r="N376" s="250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</row>
    <row r="377" ht="15.75" customHeight="1">
      <c r="A377" s="248"/>
      <c r="B377" s="248"/>
      <c r="C377" s="250"/>
      <c r="D377" s="248"/>
      <c r="E377" s="248"/>
      <c r="F377" s="248"/>
      <c r="G377" s="248"/>
      <c r="H377" s="248"/>
      <c r="I377" s="249"/>
      <c r="J377" s="248"/>
      <c r="K377" s="248"/>
      <c r="L377" s="250"/>
      <c r="M377" s="250"/>
      <c r="N377" s="250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</row>
    <row r="378" ht="15.75" customHeight="1">
      <c r="A378" s="248"/>
      <c r="B378" s="248"/>
      <c r="C378" s="250"/>
      <c r="D378" s="248"/>
      <c r="E378" s="248"/>
      <c r="F378" s="248"/>
      <c r="G378" s="248"/>
      <c r="H378" s="248"/>
      <c r="I378" s="249"/>
      <c r="J378" s="248"/>
      <c r="K378" s="248"/>
      <c r="L378" s="250"/>
      <c r="M378" s="250"/>
      <c r="N378" s="250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</row>
    <row r="379" ht="15.75" customHeight="1">
      <c r="A379" s="248"/>
      <c r="B379" s="248"/>
      <c r="C379" s="250"/>
      <c r="D379" s="248"/>
      <c r="E379" s="248"/>
      <c r="F379" s="248"/>
      <c r="G379" s="248"/>
      <c r="H379" s="248"/>
      <c r="I379" s="249"/>
      <c r="J379" s="248"/>
      <c r="K379" s="248"/>
      <c r="L379" s="250"/>
      <c r="M379" s="250"/>
      <c r="N379" s="250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</row>
    <row r="380" ht="15.75" customHeight="1">
      <c r="A380" s="248"/>
      <c r="B380" s="248"/>
      <c r="C380" s="250"/>
      <c r="D380" s="248"/>
      <c r="E380" s="248"/>
      <c r="F380" s="248"/>
      <c r="G380" s="248"/>
      <c r="H380" s="248"/>
      <c r="I380" s="249"/>
      <c r="J380" s="248"/>
      <c r="K380" s="248"/>
      <c r="L380" s="250"/>
      <c r="M380" s="250"/>
      <c r="N380" s="250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</row>
    <row r="381" ht="15.75" customHeight="1">
      <c r="A381" s="248"/>
      <c r="B381" s="248"/>
      <c r="C381" s="250"/>
      <c r="D381" s="248"/>
      <c r="E381" s="248"/>
      <c r="F381" s="248"/>
      <c r="G381" s="248"/>
      <c r="H381" s="248"/>
      <c r="I381" s="249"/>
      <c r="J381" s="248"/>
      <c r="K381" s="248"/>
      <c r="L381" s="250"/>
      <c r="M381" s="250"/>
      <c r="N381" s="250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</row>
    <row r="382" ht="15.75" customHeight="1">
      <c r="A382" s="248"/>
      <c r="B382" s="248"/>
      <c r="C382" s="250"/>
      <c r="D382" s="248"/>
      <c r="E382" s="248"/>
      <c r="F382" s="248"/>
      <c r="G382" s="248"/>
      <c r="H382" s="248"/>
      <c r="I382" s="249"/>
      <c r="J382" s="248"/>
      <c r="K382" s="248"/>
      <c r="L382" s="250"/>
      <c r="M382" s="250"/>
      <c r="N382" s="250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</row>
    <row r="383" ht="15.75" customHeight="1">
      <c r="A383" s="248"/>
      <c r="B383" s="248"/>
      <c r="C383" s="250"/>
      <c r="D383" s="248"/>
      <c r="E383" s="248"/>
      <c r="F383" s="248"/>
      <c r="G383" s="248"/>
      <c r="H383" s="248"/>
      <c r="I383" s="249"/>
      <c r="J383" s="248"/>
      <c r="K383" s="248"/>
      <c r="L383" s="250"/>
      <c r="M383" s="250"/>
      <c r="N383" s="250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</row>
    <row r="384" ht="15.75" customHeight="1">
      <c r="A384" s="248"/>
      <c r="B384" s="248"/>
      <c r="C384" s="250"/>
      <c r="D384" s="248"/>
      <c r="E384" s="248"/>
      <c r="F384" s="248"/>
      <c r="G384" s="248"/>
      <c r="H384" s="248"/>
      <c r="I384" s="249"/>
      <c r="J384" s="248"/>
      <c r="K384" s="248"/>
      <c r="L384" s="250"/>
      <c r="M384" s="250"/>
      <c r="N384" s="250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</row>
    <row r="385" ht="15.75" customHeight="1">
      <c r="A385" s="248"/>
      <c r="B385" s="248"/>
      <c r="C385" s="250"/>
      <c r="D385" s="248"/>
      <c r="E385" s="248"/>
      <c r="F385" s="248"/>
      <c r="G385" s="248"/>
      <c r="H385" s="248"/>
      <c r="I385" s="249"/>
      <c r="J385" s="248"/>
      <c r="K385" s="248"/>
      <c r="L385" s="250"/>
      <c r="M385" s="250"/>
      <c r="N385" s="250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</row>
    <row r="386" ht="15.75" customHeight="1">
      <c r="A386" s="248"/>
      <c r="B386" s="248"/>
      <c r="C386" s="250"/>
      <c r="D386" s="248"/>
      <c r="E386" s="248"/>
      <c r="F386" s="248"/>
      <c r="G386" s="248"/>
      <c r="H386" s="248"/>
      <c r="I386" s="249"/>
      <c r="J386" s="248"/>
      <c r="K386" s="248"/>
      <c r="L386" s="250"/>
      <c r="M386" s="250"/>
      <c r="N386" s="250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</row>
    <row r="387" ht="15.75" customHeight="1">
      <c r="A387" s="248"/>
      <c r="B387" s="248"/>
      <c r="C387" s="250"/>
      <c r="D387" s="248"/>
      <c r="E387" s="248"/>
      <c r="F387" s="248"/>
      <c r="G387" s="248"/>
      <c r="H387" s="248"/>
      <c r="I387" s="249"/>
      <c r="J387" s="248"/>
      <c r="K387" s="248"/>
      <c r="L387" s="250"/>
      <c r="M387" s="250"/>
      <c r="N387" s="250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</row>
    <row r="388" ht="15.75" customHeight="1">
      <c r="A388" s="248"/>
      <c r="B388" s="248"/>
      <c r="C388" s="250"/>
      <c r="D388" s="248"/>
      <c r="E388" s="248"/>
      <c r="F388" s="248"/>
      <c r="G388" s="248"/>
      <c r="H388" s="248"/>
      <c r="I388" s="249"/>
      <c r="J388" s="248"/>
      <c r="K388" s="248"/>
      <c r="L388" s="250"/>
      <c r="M388" s="250"/>
      <c r="N388" s="250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</row>
    <row r="389" ht="15.75" customHeight="1">
      <c r="A389" s="248"/>
      <c r="B389" s="248"/>
      <c r="C389" s="250"/>
      <c r="D389" s="248"/>
      <c r="E389" s="248"/>
      <c r="F389" s="248"/>
      <c r="G389" s="248"/>
      <c r="H389" s="248"/>
      <c r="I389" s="249"/>
      <c r="J389" s="248"/>
      <c r="K389" s="248"/>
      <c r="L389" s="250"/>
      <c r="M389" s="250"/>
      <c r="N389" s="250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</row>
    <row r="390" ht="15.75" customHeight="1">
      <c r="A390" s="248"/>
      <c r="B390" s="248"/>
      <c r="C390" s="250"/>
      <c r="D390" s="248"/>
      <c r="E390" s="248"/>
      <c r="F390" s="248"/>
      <c r="G390" s="248"/>
      <c r="H390" s="248"/>
      <c r="I390" s="249"/>
      <c r="J390" s="248"/>
      <c r="K390" s="248"/>
      <c r="L390" s="250"/>
      <c r="M390" s="250"/>
      <c r="N390" s="250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</row>
    <row r="391" ht="15.75" customHeight="1">
      <c r="A391" s="248"/>
      <c r="B391" s="248"/>
      <c r="C391" s="250"/>
      <c r="D391" s="248"/>
      <c r="E391" s="248"/>
      <c r="F391" s="248"/>
      <c r="G391" s="248"/>
      <c r="H391" s="248"/>
      <c r="I391" s="249"/>
      <c r="J391" s="248"/>
      <c r="K391" s="248"/>
      <c r="L391" s="250"/>
      <c r="M391" s="250"/>
      <c r="N391" s="250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</row>
    <row r="392" ht="15.75" customHeight="1">
      <c r="A392" s="248"/>
      <c r="B392" s="248"/>
      <c r="C392" s="250"/>
      <c r="D392" s="248"/>
      <c r="E392" s="248"/>
      <c r="F392" s="248"/>
      <c r="G392" s="248"/>
      <c r="H392" s="248"/>
      <c r="I392" s="249"/>
      <c r="J392" s="248"/>
      <c r="K392" s="248"/>
      <c r="L392" s="250"/>
      <c r="M392" s="250"/>
      <c r="N392" s="250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</row>
    <row r="393" ht="15.75" customHeight="1">
      <c r="A393" s="248"/>
      <c r="B393" s="248"/>
      <c r="C393" s="250"/>
      <c r="D393" s="248"/>
      <c r="E393" s="248"/>
      <c r="F393" s="248"/>
      <c r="G393" s="248"/>
      <c r="H393" s="248"/>
      <c r="I393" s="249"/>
      <c r="J393" s="248"/>
      <c r="K393" s="248"/>
      <c r="L393" s="250"/>
      <c r="M393" s="250"/>
      <c r="N393" s="250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</row>
    <row r="394" ht="15.75" customHeight="1">
      <c r="A394" s="248"/>
      <c r="B394" s="248"/>
      <c r="C394" s="250"/>
      <c r="D394" s="248"/>
      <c r="E394" s="248"/>
      <c r="F394" s="248"/>
      <c r="G394" s="248"/>
      <c r="H394" s="248"/>
      <c r="I394" s="249"/>
      <c r="J394" s="248"/>
      <c r="K394" s="248"/>
      <c r="L394" s="250"/>
      <c r="M394" s="250"/>
      <c r="N394" s="250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</row>
    <row r="395" ht="15.75" customHeight="1">
      <c r="A395" s="248"/>
      <c r="B395" s="248"/>
      <c r="C395" s="250"/>
      <c r="D395" s="248"/>
      <c r="E395" s="248"/>
      <c r="F395" s="248"/>
      <c r="G395" s="248"/>
      <c r="H395" s="248"/>
      <c r="I395" s="249"/>
      <c r="J395" s="248"/>
      <c r="K395" s="248"/>
      <c r="L395" s="250"/>
      <c r="M395" s="250"/>
      <c r="N395" s="250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</row>
    <row r="396" ht="15.75" customHeight="1">
      <c r="A396" s="248"/>
      <c r="B396" s="248"/>
      <c r="C396" s="250"/>
      <c r="D396" s="248"/>
      <c r="E396" s="248"/>
      <c r="F396" s="248"/>
      <c r="G396" s="248"/>
      <c r="H396" s="248"/>
      <c r="I396" s="249"/>
      <c r="J396" s="248"/>
      <c r="K396" s="248"/>
      <c r="L396" s="250"/>
      <c r="M396" s="250"/>
      <c r="N396" s="250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</row>
    <row r="397" ht="15.75" customHeight="1">
      <c r="A397" s="248"/>
      <c r="B397" s="248"/>
      <c r="C397" s="250"/>
      <c r="D397" s="248"/>
      <c r="E397" s="248"/>
      <c r="F397" s="248"/>
      <c r="G397" s="248"/>
      <c r="H397" s="248"/>
      <c r="I397" s="249"/>
      <c r="J397" s="248"/>
      <c r="K397" s="248"/>
      <c r="L397" s="250"/>
      <c r="M397" s="250"/>
      <c r="N397" s="250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</row>
    <row r="398" ht="15.75" customHeight="1">
      <c r="A398" s="248"/>
      <c r="B398" s="248"/>
      <c r="C398" s="250"/>
      <c r="D398" s="248"/>
      <c r="E398" s="248"/>
      <c r="F398" s="248"/>
      <c r="G398" s="248"/>
      <c r="H398" s="248"/>
      <c r="I398" s="249"/>
      <c r="J398" s="248"/>
      <c r="K398" s="248"/>
      <c r="L398" s="250"/>
      <c r="M398" s="250"/>
      <c r="N398" s="250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</row>
    <row r="399" ht="15.75" customHeight="1">
      <c r="A399" s="248"/>
      <c r="B399" s="248"/>
      <c r="C399" s="250"/>
      <c r="D399" s="248"/>
      <c r="E399" s="248"/>
      <c r="F399" s="248"/>
      <c r="G399" s="248"/>
      <c r="H399" s="248"/>
      <c r="I399" s="249"/>
      <c r="J399" s="248"/>
      <c r="K399" s="248"/>
      <c r="L399" s="250"/>
      <c r="M399" s="250"/>
      <c r="N399" s="250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</row>
    <row r="400" ht="15.75" customHeight="1">
      <c r="A400" s="248"/>
      <c r="B400" s="248"/>
      <c r="C400" s="250"/>
      <c r="D400" s="248"/>
      <c r="E400" s="248"/>
      <c r="F400" s="248"/>
      <c r="G400" s="248"/>
      <c r="H400" s="248"/>
      <c r="I400" s="249"/>
      <c r="J400" s="248"/>
      <c r="K400" s="248"/>
      <c r="L400" s="250"/>
      <c r="M400" s="250"/>
      <c r="N400" s="250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</row>
    <row r="401" ht="15.75" customHeight="1">
      <c r="A401" s="248"/>
      <c r="B401" s="248"/>
      <c r="C401" s="250"/>
      <c r="D401" s="248"/>
      <c r="E401" s="248"/>
      <c r="F401" s="248"/>
      <c r="G401" s="248"/>
      <c r="H401" s="248"/>
      <c r="I401" s="249"/>
      <c r="J401" s="248"/>
      <c r="K401" s="248"/>
      <c r="L401" s="250"/>
      <c r="M401" s="250"/>
      <c r="N401" s="250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</row>
    <row r="402" ht="15.75" customHeight="1">
      <c r="A402" s="248"/>
      <c r="B402" s="248"/>
      <c r="C402" s="250"/>
      <c r="D402" s="248"/>
      <c r="E402" s="248"/>
      <c r="F402" s="248"/>
      <c r="G402" s="248"/>
      <c r="H402" s="248"/>
      <c r="I402" s="249"/>
      <c r="J402" s="248"/>
      <c r="K402" s="248"/>
      <c r="L402" s="250"/>
      <c r="M402" s="250"/>
      <c r="N402" s="250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</row>
    <row r="403" ht="15.75" customHeight="1">
      <c r="A403" s="248"/>
      <c r="B403" s="248"/>
      <c r="C403" s="250"/>
      <c r="D403" s="248"/>
      <c r="E403" s="248"/>
      <c r="F403" s="248"/>
      <c r="G403" s="248"/>
      <c r="H403" s="248"/>
      <c r="I403" s="249"/>
      <c r="J403" s="248"/>
      <c r="K403" s="248"/>
      <c r="L403" s="250"/>
      <c r="M403" s="250"/>
      <c r="N403" s="250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</row>
    <row r="404" ht="15.75" customHeight="1">
      <c r="A404" s="248"/>
      <c r="B404" s="248"/>
      <c r="C404" s="250"/>
      <c r="D404" s="248"/>
      <c r="E404" s="248"/>
      <c r="F404" s="248"/>
      <c r="G404" s="248"/>
      <c r="H404" s="248"/>
      <c r="I404" s="249"/>
      <c r="J404" s="248"/>
      <c r="K404" s="248"/>
      <c r="L404" s="250"/>
      <c r="M404" s="250"/>
      <c r="N404" s="250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</row>
    <row r="405" ht="15.75" customHeight="1">
      <c r="A405" s="248"/>
      <c r="B405" s="248"/>
      <c r="C405" s="250"/>
      <c r="D405" s="248"/>
      <c r="E405" s="248"/>
      <c r="F405" s="248"/>
      <c r="G405" s="248"/>
      <c r="H405" s="248"/>
      <c r="I405" s="249"/>
      <c r="J405" s="248"/>
      <c r="K405" s="248"/>
      <c r="L405" s="250"/>
      <c r="M405" s="250"/>
      <c r="N405" s="250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</row>
    <row r="406" ht="15.75" customHeight="1">
      <c r="A406" s="248"/>
      <c r="B406" s="248"/>
      <c r="C406" s="250"/>
      <c r="D406" s="248"/>
      <c r="E406" s="248"/>
      <c r="F406" s="248"/>
      <c r="G406" s="248"/>
      <c r="H406" s="248"/>
      <c r="I406" s="249"/>
      <c r="J406" s="248"/>
      <c r="K406" s="248"/>
      <c r="L406" s="250"/>
      <c r="M406" s="250"/>
      <c r="N406" s="250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</row>
    <row r="407" ht="15.75" customHeight="1">
      <c r="A407" s="248"/>
      <c r="B407" s="248"/>
      <c r="C407" s="250"/>
      <c r="D407" s="248"/>
      <c r="E407" s="248"/>
      <c r="F407" s="248"/>
      <c r="G407" s="248"/>
      <c r="H407" s="248"/>
      <c r="I407" s="249"/>
      <c r="J407" s="248"/>
      <c r="K407" s="248"/>
      <c r="L407" s="250"/>
      <c r="M407" s="250"/>
      <c r="N407" s="250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</row>
    <row r="408" ht="15.75" customHeight="1">
      <c r="A408" s="248"/>
      <c r="B408" s="248"/>
      <c r="C408" s="250"/>
      <c r="D408" s="248"/>
      <c r="E408" s="248"/>
      <c r="F408" s="248"/>
      <c r="G408" s="248"/>
      <c r="H408" s="248"/>
      <c r="I408" s="249"/>
      <c r="J408" s="248"/>
      <c r="K408" s="248"/>
      <c r="L408" s="250"/>
      <c r="M408" s="250"/>
      <c r="N408" s="250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</row>
    <row r="409" ht="15.75" customHeight="1">
      <c r="A409" s="248"/>
      <c r="B409" s="248"/>
      <c r="C409" s="250"/>
      <c r="D409" s="248"/>
      <c r="E409" s="248"/>
      <c r="F409" s="248"/>
      <c r="G409" s="248"/>
      <c r="H409" s="248"/>
      <c r="I409" s="249"/>
      <c r="J409" s="248"/>
      <c r="K409" s="248"/>
      <c r="L409" s="250"/>
      <c r="M409" s="250"/>
      <c r="N409" s="250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</row>
    <row r="410" ht="15.75" customHeight="1">
      <c r="A410" s="248"/>
      <c r="B410" s="248"/>
      <c r="C410" s="250"/>
      <c r="D410" s="248"/>
      <c r="E410" s="248"/>
      <c r="F410" s="248"/>
      <c r="G410" s="248"/>
      <c r="H410" s="248"/>
      <c r="I410" s="249"/>
      <c r="J410" s="248"/>
      <c r="K410" s="248"/>
      <c r="L410" s="250"/>
      <c r="M410" s="250"/>
      <c r="N410" s="250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</row>
    <row r="411" ht="15.75" customHeight="1">
      <c r="A411" s="248"/>
      <c r="B411" s="248"/>
      <c r="C411" s="250"/>
      <c r="D411" s="248"/>
      <c r="E411" s="248"/>
      <c r="F411" s="248"/>
      <c r="G411" s="248"/>
      <c r="H411" s="248"/>
      <c r="I411" s="249"/>
      <c r="J411" s="248"/>
      <c r="K411" s="248"/>
      <c r="L411" s="250"/>
      <c r="M411" s="250"/>
      <c r="N411" s="250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</row>
    <row r="412" ht="15.75" customHeight="1">
      <c r="A412" s="248"/>
      <c r="B412" s="248"/>
      <c r="C412" s="250"/>
      <c r="D412" s="248"/>
      <c r="E412" s="248"/>
      <c r="F412" s="248"/>
      <c r="G412" s="248"/>
      <c r="H412" s="248"/>
      <c r="I412" s="249"/>
      <c r="J412" s="248"/>
      <c r="K412" s="248"/>
      <c r="L412" s="250"/>
      <c r="M412" s="250"/>
      <c r="N412" s="250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</row>
    <row r="413" ht="15.75" customHeight="1">
      <c r="A413" s="248"/>
      <c r="B413" s="248"/>
      <c r="C413" s="250"/>
      <c r="D413" s="248"/>
      <c r="E413" s="248"/>
      <c r="F413" s="248"/>
      <c r="G413" s="248"/>
      <c r="H413" s="248"/>
      <c r="I413" s="249"/>
      <c r="J413" s="248"/>
      <c r="K413" s="248"/>
      <c r="L413" s="250"/>
      <c r="M413" s="250"/>
      <c r="N413" s="250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</row>
    <row r="414" ht="15.75" customHeight="1">
      <c r="A414" s="248"/>
      <c r="B414" s="248"/>
      <c r="C414" s="250"/>
      <c r="D414" s="248"/>
      <c r="E414" s="248"/>
      <c r="F414" s="248"/>
      <c r="G414" s="248"/>
      <c r="H414" s="248"/>
      <c r="I414" s="249"/>
      <c r="J414" s="248"/>
      <c r="K414" s="248"/>
      <c r="L414" s="250"/>
      <c r="M414" s="250"/>
      <c r="N414" s="250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</row>
    <row r="415" ht="15.75" customHeight="1">
      <c r="A415" s="248"/>
      <c r="B415" s="248"/>
      <c r="C415" s="250"/>
      <c r="D415" s="248"/>
      <c r="E415" s="248"/>
      <c r="F415" s="248"/>
      <c r="G415" s="248"/>
      <c r="H415" s="248"/>
      <c r="I415" s="249"/>
      <c r="J415" s="248"/>
      <c r="K415" s="248"/>
      <c r="L415" s="250"/>
      <c r="M415" s="250"/>
      <c r="N415" s="250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</row>
    <row r="416" ht="15.75" customHeight="1">
      <c r="A416" s="248"/>
      <c r="B416" s="248"/>
      <c r="C416" s="250"/>
      <c r="D416" s="248"/>
      <c r="E416" s="248"/>
      <c r="F416" s="248"/>
      <c r="G416" s="248"/>
      <c r="H416" s="248"/>
      <c r="I416" s="249"/>
      <c r="J416" s="248"/>
      <c r="K416" s="248"/>
      <c r="L416" s="250"/>
      <c r="M416" s="250"/>
      <c r="N416" s="250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</row>
    <row r="417" ht="15.75" customHeight="1">
      <c r="A417" s="248"/>
      <c r="B417" s="248"/>
      <c r="C417" s="250"/>
      <c r="D417" s="248"/>
      <c r="E417" s="248"/>
      <c r="F417" s="248"/>
      <c r="G417" s="248"/>
      <c r="H417" s="248"/>
      <c r="I417" s="249"/>
      <c r="J417" s="248"/>
      <c r="K417" s="248"/>
      <c r="L417" s="250"/>
      <c r="M417" s="250"/>
      <c r="N417" s="250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</row>
    <row r="418" ht="15.75" customHeight="1">
      <c r="A418" s="248"/>
      <c r="B418" s="248"/>
      <c r="C418" s="250"/>
      <c r="D418" s="248"/>
      <c r="E418" s="248"/>
      <c r="F418" s="248"/>
      <c r="G418" s="248"/>
      <c r="H418" s="248"/>
      <c r="I418" s="249"/>
      <c r="J418" s="248"/>
      <c r="K418" s="248"/>
      <c r="L418" s="250"/>
      <c r="M418" s="250"/>
      <c r="N418" s="250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</row>
    <row r="419" ht="15.75" customHeight="1">
      <c r="A419" s="248"/>
      <c r="B419" s="248"/>
      <c r="C419" s="250"/>
      <c r="D419" s="248"/>
      <c r="E419" s="248"/>
      <c r="F419" s="248"/>
      <c r="G419" s="248"/>
      <c r="H419" s="248"/>
      <c r="I419" s="249"/>
      <c r="J419" s="248"/>
      <c r="K419" s="248"/>
      <c r="L419" s="250"/>
      <c r="M419" s="250"/>
      <c r="N419" s="250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</row>
    <row r="420" ht="15.75" customHeight="1">
      <c r="A420" s="248"/>
      <c r="B420" s="248"/>
      <c r="C420" s="250"/>
      <c r="D420" s="248"/>
      <c r="E420" s="248"/>
      <c r="F420" s="248"/>
      <c r="G420" s="248"/>
      <c r="H420" s="248"/>
      <c r="I420" s="249"/>
      <c r="J420" s="248"/>
      <c r="K420" s="248"/>
      <c r="L420" s="250"/>
      <c r="M420" s="250"/>
      <c r="N420" s="250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</row>
    <row r="421" ht="15.75" customHeight="1">
      <c r="A421" s="248"/>
      <c r="B421" s="248"/>
      <c r="C421" s="250"/>
      <c r="D421" s="248"/>
      <c r="E421" s="248"/>
      <c r="F421" s="248"/>
      <c r="G421" s="248"/>
      <c r="H421" s="248"/>
      <c r="I421" s="249"/>
      <c r="J421" s="248"/>
      <c r="K421" s="248"/>
      <c r="L421" s="250"/>
      <c r="M421" s="250"/>
      <c r="N421" s="250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</row>
    <row r="422" ht="15.75" customHeight="1">
      <c r="A422" s="248"/>
      <c r="B422" s="248"/>
      <c r="C422" s="250"/>
      <c r="D422" s="248"/>
      <c r="E422" s="248"/>
      <c r="F422" s="248"/>
      <c r="G422" s="248"/>
      <c r="H422" s="248"/>
      <c r="I422" s="249"/>
      <c r="J422" s="248"/>
      <c r="K422" s="248"/>
      <c r="L422" s="250"/>
      <c r="M422" s="250"/>
      <c r="N422" s="250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</row>
    <row r="423" ht="15.75" customHeight="1">
      <c r="A423" s="248"/>
      <c r="B423" s="248"/>
      <c r="C423" s="250"/>
      <c r="D423" s="248"/>
      <c r="E423" s="248"/>
      <c r="F423" s="248"/>
      <c r="G423" s="248"/>
      <c r="H423" s="248"/>
      <c r="I423" s="249"/>
      <c r="J423" s="248"/>
      <c r="K423" s="248"/>
      <c r="L423" s="250"/>
      <c r="M423" s="250"/>
      <c r="N423" s="250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</row>
    <row r="424" ht="15.75" customHeight="1">
      <c r="A424" s="248"/>
      <c r="B424" s="248"/>
      <c r="C424" s="250"/>
      <c r="D424" s="248"/>
      <c r="E424" s="248"/>
      <c r="F424" s="248"/>
      <c r="G424" s="248"/>
      <c r="H424" s="248"/>
      <c r="I424" s="249"/>
      <c r="J424" s="248"/>
      <c r="K424" s="248"/>
      <c r="L424" s="250"/>
      <c r="M424" s="250"/>
      <c r="N424" s="250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</row>
    <row r="425" ht="15.75" customHeight="1">
      <c r="A425" s="248"/>
      <c r="B425" s="248"/>
      <c r="C425" s="250"/>
      <c r="D425" s="248"/>
      <c r="E425" s="248"/>
      <c r="F425" s="248"/>
      <c r="G425" s="248"/>
      <c r="H425" s="248"/>
      <c r="I425" s="249"/>
      <c r="J425" s="248"/>
      <c r="K425" s="248"/>
      <c r="L425" s="250"/>
      <c r="M425" s="250"/>
      <c r="N425" s="250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</row>
    <row r="426" ht="15.75" customHeight="1">
      <c r="A426" s="248"/>
      <c r="B426" s="248"/>
      <c r="C426" s="250"/>
      <c r="D426" s="248"/>
      <c r="E426" s="248"/>
      <c r="F426" s="248"/>
      <c r="G426" s="248"/>
      <c r="H426" s="248"/>
      <c r="I426" s="249"/>
      <c r="J426" s="248"/>
      <c r="K426" s="248"/>
      <c r="L426" s="250"/>
      <c r="M426" s="250"/>
      <c r="N426" s="250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</row>
    <row r="427" ht="15.75" customHeight="1">
      <c r="A427" s="248"/>
      <c r="B427" s="248"/>
      <c r="C427" s="250"/>
      <c r="D427" s="248"/>
      <c r="E427" s="248"/>
      <c r="F427" s="248"/>
      <c r="G427" s="248"/>
      <c r="H427" s="248"/>
      <c r="I427" s="249"/>
      <c r="J427" s="248"/>
      <c r="K427" s="248"/>
      <c r="L427" s="250"/>
      <c r="M427" s="250"/>
      <c r="N427" s="250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</row>
    <row r="428" ht="15.75" customHeight="1">
      <c r="A428" s="248"/>
      <c r="B428" s="248"/>
      <c r="C428" s="250"/>
      <c r="D428" s="248"/>
      <c r="E428" s="248"/>
      <c r="F428" s="248"/>
      <c r="G428" s="248"/>
      <c r="H428" s="248"/>
      <c r="I428" s="249"/>
      <c r="J428" s="248"/>
      <c r="K428" s="248"/>
      <c r="L428" s="250"/>
      <c r="M428" s="250"/>
      <c r="N428" s="250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</row>
    <row r="429" ht="15.75" customHeight="1">
      <c r="A429" s="248"/>
      <c r="B429" s="248"/>
      <c r="C429" s="250"/>
      <c r="D429" s="248"/>
      <c r="E429" s="248"/>
      <c r="F429" s="248"/>
      <c r="G429" s="248"/>
      <c r="H429" s="248"/>
      <c r="I429" s="249"/>
      <c r="J429" s="248"/>
      <c r="K429" s="248"/>
      <c r="L429" s="250"/>
      <c r="M429" s="250"/>
      <c r="N429" s="250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</row>
    <row r="430" ht="15.75" customHeight="1">
      <c r="A430" s="248"/>
      <c r="B430" s="248"/>
      <c r="C430" s="250"/>
      <c r="D430" s="248"/>
      <c r="E430" s="248"/>
      <c r="F430" s="248"/>
      <c r="G430" s="248"/>
      <c r="H430" s="248"/>
      <c r="I430" s="249"/>
      <c r="J430" s="248"/>
      <c r="K430" s="248"/>
      <c r="L430" s="250"/>
      <c r="M430" s="250"/>
      <c r="N430" s="250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</row>
    <row r="431" ht="15.75" customHeight="1">
      <c r="A431" s="248"/>
      <c r="B431" s="248"/>
      <c r="C431" s="250"/>
      <c r="D431" s="248"/>
      <c r="E431" s="248"/>
      <c r="F431" s="248"/>
      <c r="G431" s="248"/>
      <c r="H431" s="248"/>
      <c r="I431" s="249"/>
      <c r="J431" s="248"/>
      <c r="K431" s="248"/>
      <c r="L431" s="250"/>
      <c r="M431" s="250"/>
      <c r="N431" s="250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</row>
    <row r="432" ht="15.75" customHeight="1">
      <c r="A432" s="248"/>
      <c r="B432" s="248"/>
      <c r="C432" s="250"/>
      <c r="D432" s="248"/>
      <c r="E432" s="248"/>
      <c r="F432" s="248"/>
      <c r="G432" s="248"/>
      <c r="H432" s="248"/>
      <c r="I432" s="249"/>
      <c r="J432" s="248"/>
      <c r="K432" s="248"/>
      <c r="L432" s="250"/>
      <c r="M432" s="250"/>
      <c r="N432" s="250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</row>
    <row r="433" ht="15.75" customHeight="1">
      <c r="A433" s="248"/>
      <c r="B433" s="248"/>
      <c r="C433" s="250"/>
      <c r="D433" s="248"/>
      <c r="E433" s="248"/>
      <c r="F433" s="248"/>
      <c r="G433" s="248"/>
      <c r="H433" s="248"/>
      <c r="I433" s="249"/>
      <c r="J433" s="248"/>
      <c r="K433" s="248"/>
      <c r="L433" s="250"/>
      <c r="M433" s="250"/>
      <c r="N433" s="250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</row>
    <row r="434" ht="15.75" customHeight="1">
      <c r="A434" s="248"/>
      <c r="B434" s="248"/>
      <c r="C434" s="250"/>
      <c r="D434" s="248"/>
      <c r="E434" s="248"/>
      <c r="F434" s="248"/>
      <c r="G434" s="248"/>
      <c r="H434" s="248"/>
      <c r="I434" s="249"/>
      <c r="J434" s="248"/>
      <c r="K434" s="248"/>
      <c r="L434" s="250"/>
      <c r="M434" s="250"/>
      <c r="N434" s="250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</row>
    <row r="435" ht="15.75" customHeight="1">
      <c r="A435" s="248"/>
      <c r="B435" s="248"/>
      <c r="C435" s="250"/>
      <c r="D435" s="248"/>
      <c r="E435" s="248"/>
      <c r="F435" s="248"/>
      <c r="G435" s="248"/>
      <c r="H435" s="248"/>
      <c r="I435" s="249"/>
      <c r="J435" s="248"/>
      <c r="K435" s="248"/>
      <c r="L435" s="250"/>
      <c r="M435" s="250"/>
      <c r="N435" s="250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</row>
    <row r="436" ht="15.75" customHeight="1">
      <c r="A436" s="248"/>
      <c r="B436" s="248"/>
      <c r="C436" s="250"/>
      <c r="D436" s="248"/>
      <c r="E436" s="248"/>
      <c r="F436" s="248"/>
      <c r="G436" s="248"/>
      <c r="H436" s="248"/>
      <c r="I436" s="249"/>
      <c r="J436" s="248"/>
      <c r="K436" s="248"/>
      <c r="L436" s="250"/>
      <c r="M436" s="250"/>
      <c r="N436" s="250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</row>
    <row r="437" ht="15.75" customHeight="1">
      <c r="A437" s="248"/>
      <c r="B437" s="248"/>
      <c r="C437" s="250"/>
      <c r="D437" s="248"/>
      <c r="E437" s="248"/>
      <c r="F437" s="248"/>
      <c r="G437" s="248"/>
      <c r="H437" s="248"/>
      <c r="I437" s="249"/>
      <c r="J437" s="248"/>
      <c r="K437" s="248"/>
      <c r="L437" s="250"/>
      <c r="M437" s="250"/>
      <c r="N437" s="250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</row>
    <row r="438" ht="15.75" customHeight="1">
      <c r="A438" s="248"/>
      <c r="B438" s="248"/>
      <c r="C438" s="250"/>
      <c r="D438" s="248"/>
      <c r="E438" s="248"/>
      <c r="F438" s="248"/>
      <c r="G438" s="248"/>
      <c r="H438" s="248"/>
      <c r="I438" s="249"/>
      <c r="J438" s="248"/>
      <c r="K438" s="248"/>
      <c r="L438" s="250"/>
      <c r="M438" s="250"/>
      <c r="N438" s="250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</row>
    <row r="439" ht="15.75" customHeight="1">
      <c r="A439" s="248"/>
      <c r="B439" s="248"/>
      <c r="C439" s="250"/>
      <c r="D439" s="248"/>
      <c r="E439" s="248"/>
      <c r="F439" s="248"/>
      <c r="G439" s="248"/>
      <c r="H439" s="248"/>
      <c r="I439" s="249"/>
      <c r="J439" s="248"/>
      <c r="K439" s="248"/>
      <c r="L439" s="250"/>
      <c r="M439" s="250"/>
      <c r="N439" s="250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</row>
    <row r="440" ht="15.75" customHeight="1">
      <c r="A440" s="248"/>
      <c r="B440" s="248"/>
      <c r="C440" s="250"/>
      <c r="D440" s="248"/>
      <c r="E440" s="248"/>
      <c r="F440" s="248"/>
      <c r="G440" s="248"/>
      <c r="H440" s="248"/>
      <c r="I440" s="249"/>
      <c r="J440" s="248"/>
      <c r="K440" s="248"/>
      <c r="L440" s="250"/>
      <c r="M440" s="250"/>
      <c r="N440" s="250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</row>
    <row r="441" ht="15.75" customHeight="1">
      <c r="A441" s="248"/>
      <c r="B441" s="248"/>
      <c r="C441" s="250"/>
      <c r="D441" s="248"/>
      <c r="E441" s="248"/>
      <c r="F441" s="248"/>
      <c r="G441" s="248"/>
      <c r="H441" s="248"/>
      <c r="I441" s="249"/>
      <c r="J441" s="248"/>
      <c r="K441" s="248"/>
      <c r="L441" s="250"/>
      <c r="M441" s="250"/>
      <c r="N441" s="250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</row>
    <row r="442" ht="15.75" customHeight="1">
      <c r="A442" s="248"/>
      <c r="B442" s="248"/>
      <c r="C442" s="250"/>
      <c r="D442" s="248"/>
      <c r="E442" s="248"/>
      <c r="F442" s="248"/>
      <c r="G442" s="248"/>
      <c r="H442" s="248"/>
      <c r="I442" s="249"/>
      <c r="J442" s="248"/>
      <c r="K442" s="248"/>
      <c r="L442" s="250"/>
      <c r="M442" s="250"/>
      <c r="N442" s="250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</row>
    <row r="443" ht="15.75" customHeight="1">
      <c r="A443" s="248"/>
      <c r="B443" s="248"/>
      <c r="C443" s="250"/>
      <c r="D443" s="248"/>
      <c r="E443" s="248"/>
      <c r="F443" s="248"/>
      <c r="G443" s="248"/>
      <c r="H443" s="248"/>
      <c r="I443" s="249"/>
      <c r="J443" s="248"/>
      <c r="K443" s="248"/>
      <c r="L443" s="250"/>
      <c r="M443" s="250"/>
      <c r="N443" s="250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</row>
    <row r="444" ht="15.75" customHeight="1">
      <c r="A444" s="248"/>
      <c r="B444" s="248"/>
      <c r="C444" s="250"/>
      <c r="D444" s="248"/>
      <c r="E444" s="248"/>
      <c r="F444" s="248"/>
      <c r="G444" s="248"/>
      <c r="H444" s="248"/>
      <c r="I444" s="249"/>
      <c r="J444" s="248"/>
      <c r="K444" s="248"/>
      <c r="L444" s="250"/>
      <c r="M444" s="250"/>
      <c r="N444" s="250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</row>
    <row r="445" ht="15.75" customHeight="1">
      <c r="A445" s="248"/>
      <c r="B445" s="248"/>
      <c r="C445" s="250"/>
      <c r="D445" s="248"/>
      <c r="E445" s="248"/>
      <c r="F445" s="248"/>
      <c r="G445" s="248"/>
      <c r="H445" s="248"/>
      <c r="I445" s="249"/>
      <c r="J445" s="248"/>
      <c r="K445" s="248"/>
      <c r="L445" s="250"/>
      <c r="M445" s="250"/>
      <c r="N445" s="250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</row>
    <row r="446" ht="15.75" customHeight="1">
      <c r="A446" s="248"/>
      <c r="B446" s="248"/>
      <c r="C446" s="250"/>
      <c r="D446" s="248"/>
      <c r="E446" s="248"/>
      <c r="F446" s="248"/>
      <c r="G446" s="248"/>
      <c r="H446" s="248"/>
      <c r="I446" s="249"/>
      <c r="J446" s="248"/>
      <c r="K446" s="248"/>
      <c r="L446" s="250"/>
      <c r="M446" s="250"/>
      <c r="N446" s="250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</row>
    <row r="447" ht="15.75" customHeight="1">
      <c r="A447" s="248"/>
      <c r="B447" s="248"/>
      <c r="C447" s="250"/>
      <c r="D447" s="248"/>
      <c r="E447" s="248"/>
      <c r="F447" s="248"/>
      <c r="G447" s="248"/>
      <c r="H447" s="248"/>
      <c r="I447" s="249"/>
      <c r="J447" s="248"/>
      <c r="K447" s="248"/>
      <c r="L447" s="250"/>
      <c r="M447" s="250"/>
      <c r="N447" s="250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</row>
    <row r="448" ht="15.75" customHeight="1">
      <c r="A448" s="248"/>
      <c r="B448" s="248"/>
      <c r="C448" s="250"/>
      <c r="D448" s="248"/>
      <c r="E448" s="248"/>
      <c r="F448" s="248"/>
      <c r="G448" s="248"/>
      <c r="H448" s="248"/>
      <c r="I448" s="249"/>
      <c r="J448" s="248"/>
      <c r="K448" s="248"/>
      <c r="L448" s="250"/>
      <c r="M448" s="250"/>
      <c r="N448" s="250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</row>
    <row r="449" ht="15.75" customHeight="1">
      <c r="A449" s="248"/>
      <c r="B449" s="248"/>
      <c r="C449" s="250"/>
      <c r="D449" s="248"/>
      <c r="E449" s="248"/>
      <c r="F449" s="248"/>
      <c r="G449" s="248"/>
      <c r="H449" s="248"/>
      <c r="I449" s="249"/>
      <c r="J449" s="248"/>
      <c r="K449" s="248"/>
      <c r="L449" s="250"/>
      <c r="M449" s="250"/>
      <c r="N449" s="250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</row>
    <row r="450" ht="15.75" customHeight="1">
      <c r="A450" s="248"/>
      <c r="B450" s="248"/>
      <c r="C450" s="250"/>
      <c r="D450" s="248"/>
      <c r="E450" s="248"/>
      <c r="F450" s="248"/>
      <c r="G450" s="248"/>
      <c r="H450" s="248"/>
      <c r="I450" s="249"/>
      <c r="J450" s="248"/>
      <c r="K450" s="248"/>
      <c r="L450" s="250"/>
      <c r="M450" s="250"/>
      <c r="N450" s="250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</row>
    <row r="451" ht="15.75" customHeight="1">
      <c r="A451" s="248"/>
      <c r="B451" s="248"/>
      <c r="C451" s="250"/>
      <c r="D451" s="248"/>
      <c r="E451" s="248"/>
      <c r="F451" s="248"/>
      <c r="G451" s="248"/>
      <c r="H451" s="248"/>
      <c r="I451" s="249"/>
      <c r="J451" s="248"/>
      <c r="K451" s="248"/>
      <c r="L451" s="250"/>
      <c r="M451" s="250"/>
      <c r="N451" s="250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</row>
    <row r="452" ht="15.75" customHeight="1">
      <c r="A452" s="248"/>
      <c r="B452" s="248"/>
      <c r="C452" s="250"/>
      <c r="D452" s="248"/>
      <c r="E452" s="248"/>
      <c r="F452" s="248"/>
      <c r="G452" s="248"/>
      <c r="H452" s="248"/>
      <c r="I452" s="249"/>
      <c r="J452" s="248"/>
      <c r="K452" s="248"/>
      <c r="L452" s="250"/>
      <c r="M452" s="250"/>
      <c r="N452" s="250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</row>
    <row r="453" ht="15.75" customHeight="1">
      <c r="A453" s="248"/>
      <c r="B453" s="248"/>
      <c r="C453" s="250"/>
      <c r="D453" s="248"/>
      <c r="E453" s="248"/>
      <c r="F453" s="248"/>
      <c r="G453" s="248"/>
      <c r="H453" s="248"/>
      <c r="I453" s="249"/>
      <c r="J453" s="248"/>
      <c r="K453" s="248"/>
      <c r="L453" s="250"/>
      <c r="M453" s="250"/>
      <c r="N453" s="250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</row>
    <row r="454" ht="15.75" customHeight="1">
      <c r="A454" s="248"/>
      <c r="B454" s="248"/>
      <c r="C454" s="250"/>
      <c r="D454" s="248"/>
      <c r="E454" s="248"/>
      <c r="F454" s="248"/>
      <c r="G454" s="248"/>
      <c r="H454" s="248"/>
      <c r="I454" s="249"/>
      <c r="J454" s="248"/>
      <c r="K454" s="248"/>
      <c r="L454" s="250"/>
      <c r="M454" s="250"/>
      <c r="N454" s="250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</row>
    <row r="455" ht="15.75" customHeight="1">
      <c r="A455" s="248"/>
      <c r="B455" s="248"/>
      <c r="C455" s="250"/>
      <c r="D455" s="248"/>
      <c r="E455" s="248"/>
      <c r="F455" s="248"/>
      <c r="G455" s="248"/>
      <c r="H455" s="248"/>
      <c r="I455" s="249"/>
      <c r="J455" s="248"/>
      <c r="K455" s="248"/>
      <c r="L455" s="250"/>
      <c r="M455" s="250"/>
      <c r="N455" s="250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</row>
    <row r="456" ht="15.75" customHeight="1">
      <c r="A456" s="248"/>
      <c r="B456" s="248"/>
      <c r="C456" s="250"/>
      <c r="D456" s="248"/>
      <c r="E456" s="248"/>
      <c r="F456" s="248"/>
      <c r="G456" s="248"/>
      <c r="H456" s="248"/>
      <c r="I456" s="249"/>
      <c r="J456" s="248"/>
      <c r="K456" s="248"/>
      <c r="L456" s="250"/>
      <c r="M456" s="250"/>
      <c r="N456" s="250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</row>
    <row r="457" ht="15.75" customHeight="1">
      <c r="A457" s="248"/>
      <c r="B457" s="248"/>
      <c r="C457" s="250"/>
      <c r="D457" s="248"/>
      <c r="E457" s="248"/>
      <c r="F457" s="248"/>
      <c r="G457" s="248"/>
      <c r="H457" s="248"/>
      <c r="I457" s="249"/>
      <c r="J457" s="248"/>
      <c r="K457" s="248"/>
      <c r="L457" s="250"/>
      <c r="M457" s="250"/>
      <c r="N457" s="250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</row>
    <row r="458" ht="15.75" customHeight="1">
      <c r="A458" s="248"/>
      <c r="B458" s="248"/>
      <c r="C458" s="250"/>
      <c r="D458" s="248"/>
      <c r="E458" s="248"/>
      <c r="F458" s="248"/>
      <c r="G458" s="248"/>
      <c r="H458" s="248"/>
      <c r="I458" s="249"/>
      <c r="J458" s="248"/>
      <c r="K458" s="248"/>
      <c r="L458" s="250"/>
      <c r="M458" s="250"/>
      <c r="N458" s="250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</row>
    <row r="459" ht="15.75" customHeight="1">
      <c r="A459" s="248"/>
      <c r="B459" s="248"/>
      <c r="C459" s="250"/>
      <c r="D459" s="248"/>
      <c r="E459" s="248"/>
      <c r="F459" s="248"/>
      <c r="G459" s="248"/>
      <c r="H459" s="248"/>
      <c r="I459" s="249"/>
      <c r="J459" s="248"/>
      <c r="K459" s="248"/>
      <c r="L459" s="250"/>
      <c r="M459" s="250"/>
      <c r="N459" s="250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</row>
    <row r="460" ht="15.75" customHeight="1">
      <c r="A460" s="248"/>
      <c r="B460" s="248"/>
      <c r="C460" s="250"/>
      <c r="D460" s="248"/>
      <c r="E460" s="248"/>
      <c r="F460" s="248"/>
      <c r="G460" s="248"/>
      <c r="H460" s="248"/>
      <c r="I460" s="249"/>
      <c r="J460" s="248"/>
      <c r="K460" s="248"/>
      <c r="L460" s="250"/>
      <c r="M460" s="250"/>
      <c r="N460" s="250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</row>
    <row r="461" ht="15.75" customHeight="1">
      <c r="A461" s="248"/>
      <c r="B461" s="248"/>
      <c r="C461" s="250"/>
      <c r="D461" s="248"/>
      <c r="E461" s="248"/>
      <c r="F461" s="248"/>
      <c r="G461" s="248"/>
      <c r="H461" s="248"/>
      <c r="I461" s="249"/>
      <c r="J461" s="248"/>
      <c r="K461" s="248"/>
      <c r="L461" s="250"/>
      <c r="M461" s="250"/>
      <c r="N461" s="250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</row>
    <row r="462" ht="15.75" customHeight="1">
      <c r="A462" s="248"/>
      <c r="B462" s="248"/>
      <c r="C462" s="250"/>
      <c r="D462" s="248"/>
      <c r="E462" s="248"/>
      <c r="F462" s="248"/>
      <c r="G462" s="248"/>
      <c r="H462" s="248"/>
      <c r="I462" s="249"/>
      <c r="J462" s="248"/>
      <c r="K462" s="248"/>
      <c r="L462" s="250"/>
      <c r="M462" s="250"/>
      <c r="N462" s="250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</row>
    <row r="463" ht="15.75" customHeight="1">
      <c r="A463" s="248"/>
      <c r="B463" s="248"/>
      <c r="C463" s="250"/>
      <c r="D463" s="248"/>
      <c r="E463" s="248"/>
      <c r="F463" s="248"/>
      <c r="G463" s="248"/>
      <c r="H463" s="248"/>
      <c r="I463" s="249"/>
      <c r="J463" s="248"/>
      <c r="K463" s="248"/>
      <c r="L463" s="250"/>
      <c r="M463" s="250"/>
      <c r="N463" s="250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</row>
    <row r="464" ht="15.75" customHeight="1">
      <c r="A464" s="248"/>
      <c r="B464" s="248"/>
      <c r="C464" s="250"/>
      <c r="D464" s="248"/>
      <c r="E464" s="248"/>
      <c r="F464" s="248"/>
      <c r="G464" s="248"/>
      <c r="H464" s="248"/>
      <c r="I464" s="249"/>
      <c r="J464" s="248"/>
      <c r="K464" s="248"/>
      <c r="L464" s="250"/>
      <c r="M464" s="250"/>
      <c r="N464" s="250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</row>
    <row r="465" ht="15.75" customHeight="1">
      <c r="A465" s="248"/>
      <c r="B465" s="248"/>
      <c r="C465" s="250"/>
      <c r="D465" s="248"/>
      <c r="E465" s="248"/>
      <c r="F465" s="248"/>
      <c r="G465" s="248"/>
      <c r="H465" s="248"/>
      <c r="I465" s="249"/>
      <c r="J465" s="248"/>
      <c r="K465" s="248"/>
      <c r="L465" s="250"/>
      <c r="M465" s="250"/>
      <c r="N465" s="250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</row>
    <row r="466" ht="15.75" customHeight="1">
      <c r="A466" s="248"/>
      <c r="B466" s="248"/>
      <c r="C466" s="250"/>
      <c r="D466" s="248"/>
      <c r="E466" s="248"/>
      <c r="F466" s="248"/>
      <c r="G466" s="248"/>
      <c r="H466" s="248"/>
      <c r="I466" s="249"/>
      <c r="J466" s="248"/>
      <c r="K466" s="248"/>
      <c r="L466" s="250"/>
      <c r="M466" s="250"/>
      <c r="N466" s="250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</row>
    <row r="467" ht="15.75" customHeight="1">
      <c r="A467" s="248"/>
      <c r="B467" s="248"/>
      <c r="C467" s="250"/>
      <c r="D467" s="248"/>
      <c r="E467" s="248"/>
      <c r="F467" s="248"/>
      <c r="G467" s="248"/>
      <c r="H467" s="248"/>
      <c r="I467" s="249"/>
      <c r="J467" s="248"/>
      <c r="K467" s="248"/>
      <c r="L467" s="250"/>
      <c r="M467" s="250"/>
      <c r="N467" s="250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</row>
    <row r="468" ht="15.75" customHeight="1">
      <c r="A468" s="248"/>
      <c r="B468" s="248"/>
      <c r="C468" s="250"/>
      <c r="D468" s="248"/>
      <c r="E468" s="248"/>
      <c r="F468" s="248"/>
      <c r="G468" s="248"/>
      <c r="H468" s="248"/>
      <c r="I468" s="249"/>
      <c r="J468" s="248"/>
      <c r="K468" s="248"/>
      <c r="L468" s="250"/>
      <c r="M468" s="250"/>
      <c r="N468" s="250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</row>
    <row r="469" ht="15.75" customHeight="1">
      <c r="A469" s="248"/>
      <c r="B469" s="248"/>
      <c r="C469" s="250"/>
      <c r="D469" s="248"/>
      <c r="E469" s="248"/>
      <c r="F469" s="248"/>
      <c r="G469" s="248"/>
      <c r="H469" s="248"/>
      <c r="I469" s="249"/>
      <c r="J469" s="248"/>
      <c r="K469" s="248"/>
      <c r="L469" s="250"/>
      <c r="M469" s="250"/>
      <c r="N469" s="250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</row>
    <row r="470" ht="15.75" customHeight="1">
      <c r="A470" s="248"/>
      <c r="B470" s="248"/>
      <c r="C470" s="250"/>
      <c r="D470" s="248"/>
      <c r="E470" s="248"/>
      <c r="F470" s="248"/>
      <c r="G470" s="248"/>
      <c r="H470" s="248"/>
      <c r="I470" s="249"/>
      <c r="J470" s="248"/>
      <c r="K470" s="248"/>
      <c r="L470" s="250"/>
      <c r="M470" s="250"/>
      <c r="N470" s="250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</row>
    <row r="471" ht="15.75" customHeight="1">
      <c r="A471" s="248"/>
      <c r="B471" s="248"/>
      <c r="C471" s="250"/>
      <c r="D471" s="248"/>
      <c r="E471" s="248"/>
      <c r="F471" s="248"/>
      <c r="G471" s="248"/>
      <c r="H471" s="248"/>
      <c r="I471" s="249"/>
      <c r="J471" s="248"/>
      <c r="K471" s="248"/>
      <c r="L471" s="250"/>
      <c r="M471" s="250"/>
      <c r="N471" s="250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</row>
    <row r="472" ht="15.75" customHeight="1">
      <c r="A472" s="248"/>
      <c r="B472" s="248"/>
      <c r="C472" s="250"/>
      <c r="D472" s="248"/>
      <c r="E472" s="248"/>
      <c r="F472" s="248"/>
      <c r="G472" s="248"/>
      <c r="H472" s="248"/>
      <c r="I472" s="249"/>
      <c r="J472" s="248"/>
      <c r="K472" s="248"/>
      <c r="L472" s="250"/>
      <c r="M472" s="250"/>
      <c r="N472" s="250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</row>
    <row r="473" ht="15.75" customHeight="1">
      <c r="A473" s="248"/>
      <c r="B473" s="248"/>
      <c r="C473" s="250"/>
      <c r="D473" s="248"/>
      <c r="E473" s="248"/>
      <c r="F473" s="248"/>
      <c r="G473" s="248"/>
      <c r="H473" s="248"/>
      <c r="I473" s="249"/>
      <c r="J473" s="248"/>
      <c r="K473" s="248"/>
      <c r="L473" s="250"/>
      <c r="M473" s="250"/>
      <c r="N473" s="250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</row>
    <row r="474" ht="15.75" customHeight="1">
      <c r="A474" s="248"/>
      <c r="B474" s="248"/>
      <c r="C474" s="250"/>
      <c r="D474" s="248"/>
      <c r="E474" s="248"/>
      <c r="F474" s="248"/>
      <c r="G474" s="248"/>
      <c r="H474" s="248"/>
      <c r="I474" s="249"/>
      <c r="J474" s="248"/>
      <c r="K474" s="248"/>
      <c r="L474" s="250"/>
      <c r="M474" s="250"/>
      <c r="N474" s="250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</row>
    <row r="475" ht="15.75" customHeight="1">
      <c r="A475" s="248"/>
      <c r="B475" s="248"/>
      <c r="C475" s="250"/>
      <c r="D475" s="248"/>
      <c r="E475" s="248"/>
      <c r="F475" s="248"/>
      <c r="G475" s="248"/>
      <c r="H475" s="248"/>
      <c r="I475" s="249"/>
      <c r="J475" s="248"/>
      <c r="K475" s="248"/>
      <c r="L475" s="250"/>
      <c r="M475" s="250"/>
      <c r="N475" s="250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</row>
    <row r="476" ht="15.75" customHeight="1">
      <c r="A476" s="248"/>
      <c r="B476" s="248"/>
      <c r="C476" s="250"/>
      <c r="D476" s="248"/>
      <c r="E476" s="248"/>
      <c r="F476" s="248"/>
      <c r="G476" s="248"/>
      <c r="H476" s="248"/>
      <c r="I476" s="249"/>
      <c r="J476" s="248"/>
      <c r="K476" s="248"/>
      <c r="L476" s="250"/>
      <c r="M476" s="250"/>
      <c r="N476" s="250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</row>
    <row r="477" ht="15.75" customHeight="1">
      <c r="A477" s="248"/>
      <c r="B477" s="248"/>
      <c r="C477" s="250"/>
      <c r="D477" s="248"/>
      <c r="E477" s="248"/>
      <c r="F477" s="248"/>
      <c r="G477" s="248"/>
      <c r="H477" s="248"/>
      <c r="I477" s="249"/>
      <c r="J477" s="248"/>
      <c r="K477" s="248"/>
      <c r="L477" s="250"/>
      <c r="M477" s="250"/>
      <c r="N477" s="250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</row>
    <row r="478" ht="15.75" customHeight="1">
      <c r="A478" s="248"/>
      <c r="B478" s="248"/>
      <c r="C478" s="250"/>
      <c r="D478" s="248"/>
      <c r="E478" s="248"/>
      <c r="F478" s="248"/>
      <c r="G478" s="248"/>
      <c r="H478" s="248"/>
      <c r="I478" s="249"/>
      <c r="J478" s="248"/>
      <c r="K478" s="248"/>
      <c r="L478" s="250"/>
      <c r="M478" s="250"/>
      <c r="N478" s="250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</row>
    <row r="479" ht="15.75" customHeight="1">
      <c r="A479" s="248"/>
      <c r="B479" s="248"/>
      <c r="C479" s="250"/>
      <c r="D479" s="248"/>
      <c r="E479" s="248"/>
      <c r="F479" s="248"/>
      <c r="G479" s="248"/>
      <c r="H479" s="248"/>
      <c r="I479" s="249"/>
      <c r="J479" s="248"/>
      <c r="K479" s="248"/>
      <c r="L479" s="250"/>
      <c r="M479" s="250"/>
      <c r="N479" s="250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</row>
    <row r="480" ht="15.75" customHeight="1">
      <c r="A480" s="248"/>
      <c r="B480" s="248"/>
      <c r="C480" s="250"/>
      <c r="D480" s="248"/>
      <c r="E480" s="248"/>
      <c r="F480" s="248"/>
      <c r="G480" s="248"/>
      <c r="H480" s="248"/>
      <c r="I480" s="249"/>
      <c r="J480" s="248"/>
      <c r="K480" s="248"/>
      <c r="L480" s="250"/>
      <c r="M480" s="250"/>
      <c r="N480" s="250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</row>
    <row r="481" ht="15.75" customHeight="1">
      <c r="A481" s="248"/>
      <c r="B481" s="248"/>
      <c r="C481" s="250"/>
      <c r="D481" s="248"/>
      <c r="E481" s="248"/>
      <c r="F481" s="248"/>
      <c r="G481" s="248"/>
      <c r="H481" s="248"/>
      <c r="I481" s="249"/>
      <c r="J481" s="248"/>
      <c r="K481" s="248"/>
      <c r="L481" s="250"/>
      <c r="M481" s="250"/>
      <c r="N481" s="250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</row>
    <row r="482" ht="15.75" customHeight="1">
      <c r="A482" s="248"/>
      <c r="B482" s="248"/>
      <c r="C482" s="250"/>
      <c r="D482" s="248"/>
      <c r="E482" s="248"/>
      <c r="F482" s="248"/>
      <c r="G482" s="248"/>
      <c r="H482" s="248"/>
      <c r="I482" s="249"/>
      <c r="J482" s="248"/>
      <c r="K482" s="248"/>
      <c r="L482" s="250"/>
      <c r="M482" s="250"/>
      <c r="N482" s="250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</row>
    <row r="483" ht="15.75" customHeight="1">
      <c r="A483" s="248"/>
      <c r="B483" s="248"/>
      <c r="C483" s="250"/>
      <c r="D483" s="248"/>
      <c r="E483" s="248"/>
      <c r="F483" s="248"/>
      <c r="G483" s="248"/>
      <c r="H483" s="248"/>
      <c r="I483" s="249"/>
      <c r="J483" s="248"/>
      <c r="K483" s="248"/>
      <c r="L483" s="250"/>
      <c r="M483" s="250"/>
      <c r="N483" s="250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</row>
    <row r="484" ht="15.75" customHeight="1">
      <c r="A484" s="248"/>
      <c r="B484" s="248"/>
      <c r="C484" s="250"/>
      <c r="D484" s="248"/>
      <c r="E484" s="248"/>
      <c r="F484" s="248"/>
      <c r="G484" s="248"/>
      <c r="H484" s="248"/>
      <c r="I484" s="249"/>
      <c r="J484" s="248"/>
      <c r="K484" s="248"/>
      <c r="L484" s="250"/>
      <c r="M484" s="250"/>
      <c r="N484" s="250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</row>
    <row r="485" ht="15.75" customHeight="1">
      <c r="A485" s="248"/>
      <c r="B485" s="248"/>
      <c r="C485" s="250"/>
      <c r="D485" s="248"/>
      <c r="E485" s="248"/>
      <c r="F485" s="248"/>
      <c r="G485" s="248"/>
      <c r="H485" s="248"/>
      <c r="I485" s="249"/>
      <c r="J485" s="248"/>
      <c r="K485" s="248"/>
      <c r="L485" s="250"/>
      <c r="M485" s="250"/>
      <c r="N485" s="250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</row>
    <row r="486" ht="15.75" customHeight="1">
      <c r="A486" s="248"/>
      <c r="B486" s="248"/>
      <c r="C486" s="250"/>
      <c r="D486" s="248"/>
      <c r="E486" s="248"/>
      <c r="F486" s="248"/>
      <c r="G486" s="248"/>
      <c r="H486" s="248"/>
      <c r="I486" s="249"/>
      <c r="J486" s="248"/>
      <c r="K486" s="248"/>
      <c r="L486" s="250"/>
      <c r="M486" s="250"/>
      <c r="N486" s="250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</row>
    <row r="487" ht="15.75" customHeight="1">
      <c r="A487" s="248"/>
      <c r="B487" s="248"/>
      <c r="C487" s="250"/>
      <c r="D487" s="248"/>
      <c r="E487" s="248"/>
      <c r="F487" s="248"/>
      <c r="G487" s="248"/>
      <c r="H487" s="248"/>
      <c r="I487" s="249"/>
      <c r="J487" s="248"/>
      <c r="K487" s="248"/>
      <c r="L487" s="250"/>
      <c r="M487" s="250"/>
      <c r="N487" s="250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</row>
    <row r="488" ht="15.75" customHeight="1">
      <c r="A488" s="248"/>
      <c r="B488" s="248"/>
      <c r="C488" s="250"/>
      <c r="D488" s="248"/>
      <c r="E488" s="248"/>
      <c r="F488" s="248"/>
      <c r="G488" s="248"/>
      <c r="H488" s="248"/>
      <c r="I488" s="249"/>
      <c r="J488" s="248"/>
      <c r="K488" s="248"/>
      <c r="L488" s="250"/>
      <c r="M488" s="250"/>
      <c r="N488" s="250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</row>
    <row r="489" ht="15.75" customHeight="1">
      <c r="A489" s="248"/>
      <c r="B489" s="248"/>
      <c r="C489" s="250"/>
      <c r="D489" s="248"/>
      <c r="E489" s="248"/>
      <c r="F489" s="248"/>
      <c r="G489" s="248"/>
      <c r="H489" s="248"/>
      <c r="I489" s="249"/>
      <c r="J489" s="248"/>
      <c r="K489" s="248"/>
      <c r="L489" s="250"/>
      <c r="M489" s="250"/>
      <c r="N489" s="250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</row>
    <row r="490" ht="15.75" customHeight="1">
      <c r="A490" s="248"/>
      <c r="B490" s="248"/>
      <c r="C490" s="250"/>
      <c r="D490" s="248"/>
      <c r="E490" s="248"/>
      <c r="F490" s="248"/>
      <c r="G490" s="248"/>
      <c r="H490" s="248"/>
      <c r="I490" s="249"/>
      <c r="J490" s="248"/>
      <c r="K490" s="248"/>
      <c r="L490" s="250"/>
      <c r="M490" s="250"/>
      <c r="N490" s="250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</row>
    <row r="491" ht="15.75" customHeight="1">
      <c r="A491" s="248"/>
      <c r="B491" s="248"/>
      <c r="C491" s="250"/>
      <c r="D491" s="248"/>
      <c r="E491" s="248"/>
      <c r="F491" s="248"/>
      <c r="G491" s="248"/>
      <c r="H491" s="248"/>
      <c r="I491" s="249"/>
      <c r="J491" s="248"/>
      <c r="K491" s="248"/>
      <c r="L491" s="250"/>
      <c r="M491" s="250"/>
      <c r="N491" s="250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</row>
    <row r="492" ht="15.75" customHeight="1">
      <c r="A492" s="248"/>
      <c r="B492" s="248"/>
      <c r="C492" s="250"/>
      <c r="D492" s="248"/>
      <c r="E492" s="248"/>
      <c r="F492" s="248"/>
      <c r="G492" s="248"/>
      <c r="H492" s="248"/>
      <c r="I492" s="249"/>
      <c r="J492" s="248"/>
      <c r="K492" s="248"/>
      <c r="L492" s="250"/>
      <c r="M492" s="250"/>
      <c r="N492" s="250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</row>
    <row r="493" ht="15.75" customHeight="1">
      <c r="A493" s="248"/>
      <c r="B493" s="248"/>
      <c r="C493" s="250"/>
      <c r="D493" s="248"/>
      <c r="E493" s="248"/>
      <c r="F493" s="248"/>
      <c r="G493" s="248"/>
      <c r="H493" s="248"/>
      <c r="I493" s="249"/>
      <c r="J493" s="248"/>
      <c r="K493" s="248"/>
      <c r="L493" s="250"/>
      <c r="M493" s="250"/>
      <c r="N493" s="250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</row>
    <row r="494" ht="15.75" customHeight="1">
      <c r="A494" s="248"/>
      <c r="B494" s="248"/>
      <c r="C494" s="250"/>
      <c r="D494" s="248"/>
      <c r="E494" s="248"/>
      <c r="F494" s="248"/>
      <c r="G494" s="248"/>
      <c r="H494" s="248"/>
      <c r="I494" s="249"/>
      <c r="J494" s="248"/>
      <c r="K494" s="248"/>
      <c r="L494" s="250"/>
      <c r="M494" s="250"/>
      <c r="N494" s="250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</row>
    <row r="495" ht="15.75" customHeight="1">
      <c r="A495" s="248"/>
      <c r="B495" s="248"/>
      <c r="C495" s="250"/>
      <c r="D495" s="248"/>
      <c r="E495" s="248"/>
      <c r="F495" s="248"/>
      <c r="G495" s="248"/>
      <c r="H495" s="248"/>
      <c r="I495" s="249"/>
      <c r="J495" s="248"/>
      <c r="K495" s="248"/>
      <c r="L495" s="250"/>
      <c r="M495" s="250"/>
      <c r="N495" s="250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</row>
    <row r="496" ht="15.75" customHeight="1">
      <c r="A496" s="248"/>
      <c r="B496" s="248"/>
      <c r="C496" s="250"/>
      <c r="D496" s="248"/>
      <c r="E496" s="248"/>
      <c r="F496" s="248"/>
      <c r="G496" s="248"/>
      <c r="H496" s="248"/>
      <c r="I496" s="249"/>
      <c r="J496" s="248"/>
      <c r="K496" s="248"/>
      <c r="L496" s="250"/>
      <c r="M496" s="250"/>
      <c r="N496" s="250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</row>
    <row r="497" ht="15.75" customHeight="1">
      <c r="A497" s="248"/>
      <c r="B497" s="248"/>
      <c r="C497" s="250"/>
      <c r="D497" s="248"/>
      <c r="E497" s="248"/>
      <c r="F497" s="248"/>
      <c r="G497" s="248"/>
      <c r="H497" s="248"/>
      <c r="I497" s="249"/>
      <c r="J497" s="248"/>
      <c r="K497" s="248"/>
      <c r="L497" s="250"/>
      <c r="M497" s="250"/>
      <c r="N497" s="250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</row>
    <row r="498" ht="15.75" customHeight="1">
      <c r="A498" s="248"/>
      <c r="B498" s="248"/>
      <c r="C498" s="250"/>
      <c r="D498" s="248"/>
      <c r="E498" s="248"/>
      <c r="F498" s="248"/>
      <c r="G498" s="248"/>
      <c r="H498" s="248"/>
      <c r="I498" s="249"/>
      <c r="J498" s="248"/>
      <c r="K498" s="248"/>
      <c r="L498" s="250"/>
      <c r="M498" s="250"/>
      <c r="N498" s="250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</row>
    <row r="499" ht="15.75" customHeight="1">
      <c r="A499" s="248"/>
      <c r="B499" s="248"/>
      <c r="C499" s="250"/>
      <c r="D499" s="248"/>
      <c r="E499" s="248"/>
      <c r="F499" s="248"/>
      <c r="G499" s="248"/>
      <c r="H499" s="248"/>
      <c r="I499" s="249"/>
      <c r="J499" s="248"/>
      <c r="K499" s="248"/>
      <c r="L499" s="250"/>
      <c r="M499" s="250"/>
      <c r="N499" s="250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</row>
    <row r="500" ht="15.75" customHeight="1">
      <c r="A500" s="248"/>
      <c r="B500" s="248"/>
      <c r="C500" s="250"/>
      <c r="D500" s="248"/>
      <c r="E500" s="248"/>
      <c r="F500" s="248"/>
      <c r="G500" s="248"/>
      <c r="H500" s="248"/>
      <c r="I500" s="249"/>
      <c r="J500" s="248"/>
      <c r="K500" s="248"/>
      <c r="L500" s="250"/>
      <c r="M500" s="250"/>
      <c r="N500" s="250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</row>
    <row r="501" ht="15.75" customHeight="1">
      <c r="A501" s="248"/>
      <c r="B501" s="248"/>
      <c r="C501" s="250"/>
      <c r="D501" s="248"/>
      <c r="E501" s="248"/>
      <c r="F501" s="248"/>
      <c r="G501" s="248"/>
      <c r="H501" s="248"/>
      <c r="I501" s="249"/>
      <c r="J501" s="248"/>
      <c r="K501" s="248"/>
      <c r="L501" s="250"/>
      <c r="M501" s="250"/>
      <c r="N501" s="250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</row>
    <row r="502" ht="15.75" customHeight="1">
      <c r="A502" s="248"/>
      <c r="B502" s="248"/>
      <c r="C502" s="250"/>
      <c r="D502" s="248"/>
      <c r="E502" s="248"/>
      <c r="F502" s="248"/>
      <c r="G502" s="248"/>
      <c r="H502" s="248"/>
      <c r="I502" s="249"/>
      <c r="J502" s="248"/>
      <c r="K502" s="248"/>
      <c r="L502" s="250"/>
      <c r="M502" s="250"/>
      <c r="N502" s="250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</row>
    <row r="503" ht="15.75" customHeight="1">
      <c r="A503" s="248"/>
      <c r="B503" s="248"/>
      <c r="C503" s="250"/>
      <c r="D503" s="248"/>
      <c r="E503" s="248"/>
      <c r="F503" s="248"/>
      <c r="G503" s="248"/>
      <c r="H503" s="248"/>
      <c r="I503" s="249"/>
      <c r="J503" s="248"/>
      <c r="K503" s="248"/>
      <c r="L503" s="250"/>
      <c r="M503" s="250"/>
      <c r="N503" s="250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</row>
    <row r="504" ht="15.75" customHeight="1">
      <c r="A504" s="248"/>
      <c r="B504" s="248"/>
      <c r="C504" s="250"/>
      <c r="D504" s="248"/>
      <c r="E504" s="248"/>
      <c r="F504" s="248"/>
      <c r="G504" s="248"/>
      <c r="H504" s="248"/>
      <c r="I504" s="249"/>
      <c r="J504" s="248"/>
      <c r="K504" s="248"/>
      <c r="L504" s="250"/>
      <c r="M504" s="250"/>
      <c r="N504" s="250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</row>
    <row r="505" ht="15.75" customHeight="1">
      <c r="A505" s="248"/>
      <c r="B505" s="248"/>
      <c r="C505" s="250"/>
      <c r="D505" s="248"/>
      <c r="E505" s="248"/>
      <c r="F505" s="248"/>
      <c r="G505" s="248"/>
      <c r="H505" s="248"/>
      <c r="I505" s="249"/>
      <c r="J505" s="248"/>
      <c r="K505" s="248"/>
      <c r="L505" s="250"/>
      <c r="M505" s="250"/>
      <c r="N505" s="250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</row>
    <row r="506" ht="15.75" customHeight="1">
      <c r="A506" s="248"/>
      <c r="B506" s="248"/>
      <c r="C506" s="250"/>
      <c r="D506" s="248"/>
      <c r="E506" s="248"/>
      <c r="F506" s="248"/>
      <c r="G506" s="248"/>
      <c r="H506" s="248"/>
      <c r="I506" s="249"/>
      <c r="J506" s="248"/>
      <c r="K506" s="248"/>
      <c r="L506" s="250"/>
      <c r="M506" s="250"/>
      <c r="N506" s="250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</row>
    <row r="507" ht="15.75" customHeight="1">
      <c r="A507" s="248"/>
      <c r="B507" s="248"/>
      <c r="C507" s="250"/>
      <c r="D507" s="248"/>
      <c r="E507" s="248"/>
      <c r="F507" s="248"/>
      <c r="G507" s="248"/>
      <c r="H507" s="248"/>
      <c r="I507" s="249"/>
      <c r="J507" s="248"/>
      <c r="K507" s="248"/>
      <c r="L507" s="250"/>
      <c r="M507" s="250"/>
      <c r="N507" s="250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</row>
    <row r="508" ht="15.75" customHeight="1">
      <c r="A508" s="248"/>
      <c r="B508" s="248"/>
      <c r="C508" s="250"/>
      <c r="D508" s="248"/>
      <c r="E508" s="248"/>
      <c r="F508" s="248"/>
      <c r="G508" s="248"/>
      <c r="H508" s="248"/>
      <c r="I508" s="249"/>
      <c r="J508" s="248"/>
      <c r="K508" s="248"/>
      <c r="L508" s="250"/>
      <c r="M508" s="250"/>
      <c r="N508" s="250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</row>
    <row r="509" ht="15.75" customHeight="1">
      <c r="A509" s="248"/>
      <c r="B509" s="248"/>
      <c r="C509" s="250"/>
      <c r="D509" s="248"/>
      <c r="E509" s="248"/>
      <c r="F509" s="248"/>
      <c r="G509" s="248"/>
      <c r="H509" s="248"/>
      <c r="I509" s="249"/>
      <c r="J509" s="248"/>
      <c r="K509" s="248"/>
      <c r="L509" s="250"/>
      <c r="M509" s="250"/>
      <c r="N509" s="250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</row>
    <row r="510" ht="15.75" customHeight="1">
      <c r="A510" s="248"/>
      <c r="B510" s="248"/>
      <c r="C510" s="250"/>
      <c r="D510" s="248"/>
      <c r="E510" s="248"/>
      <c r="F510" s="248"/>
      <c r="G510" s="248"/>
      <c r="H510" s="248"/>
      <c r="I510" s="249"/>
      <c r="J510" s="248"/>
      <c r="K510" s="248"/>
      <c r="L510" s="250"/>
      <c r="M510" s="250"/>
      <c r="N510" s="250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</row>
    <row r="511" ht="15.75" customHeight="1">
      <c r="A511" s="248"/>
      <c r="B511" s="248"/>
      <c r="C511" s="250"/>
      <c r="D511" s="248"/>
      <c r="E511" s="248"/>
      <c r="F511" s="248"/>
      <c r="G511" s="248"/>
      <c r="H511" s="248"/>
      <c r="I511" s="249"/>
      <c r="J511" s="248"/>
      <c r="K511" s="248"/>
      <c r="L511" s="250"/>
      <c r="M511" s="250"/>
      <c r="N511" s="250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</row>
    <row r="512" ht="15.75" customHeight="1">
      <c r="A512" s="248"/>
      <c r="B512" s="248"/>
      <c r="C512" s="250"/>
      <c r="D512" s="248"/>
      <c r="E512" s="248"/>
      <c r="F512" s="248"/>
      <c r="G512" s="248"/>
      <c r="H512" s="248"/>
      <c r="I512" s="249"/>
      <c r="J512" s="248"/>
      <c r="K512" s="248"/>
      <c r="L512" s="250"/>
      <c r="M512" s="250"/>
      <c r="N512" s="250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</row>
    <row r="513" ht="15.75" customHeight="1">
      <c r="A513" s="248"/>
      <c r="B513" s="248"/>
      <c r="C513" s="250"/>
      <c r="D513" s="248"/>
      <c r="E513" s="248"/>
      <c r="F513" s="248"/>
      <c r="G513" s="248"/>
      <c r="H513" s="248"/>
      <c r="I513" s="249"/>
      <c r="J513" s="248"/>
      <c r="K513" s="248"/>
      <c r="L513" s="250"/>
      <c r="M513" s="250"/>
      <c r="N513" s="250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</row>
    <row r="514" ht="15.75" customHeight="1">
      <c r="A514" s="248"/>
      <c r="B514" s="248"/>
      <c r="C514" s="250"/>
      <c r="D514" s="248"/>
      <c r="E514" s="248"/>
      <c r="F514" s="248"/>
      <c r="G514" s="248"/>
      <c r="H514" s="248"/>
      <c r="I514" s="249"/>
      <c r="J514" s="248"/>
      <c r="K514" s="248"/>
      <c r="L514" s="250"/>
      <c r="M514" s="250"/>
      <c r="N514" s="250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</row>
    <row r="515" ht="15.75" customHeight="1">
      <c r="A515" s="248"/>
      <c r="B515" s="248"/>
      <c r="C515" s="250"/>
      <c r="D515" s="248"/>
      <c r="E515" s="248"/>
      <c r="F515" s="248"/>
      <c r="G515" s="248"/>
      <c r="H515" s="248"/>
      <c r="I515" s="249"/>
      <c r="J515" s="248"/>
      <c r="K515" s="248"/>
      <c r="L515" s="250"/>
      <c r="M515" s="250"/>
      <c r="N515" s="250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</row>
    <row r="516" ht="15.75" customHeight="1">
      <c r="A516" s="248"/>
      <c r="B516" s="248"/>
      <c r="C516" s="250"/>
      <c r="D516" s="248"/>
      <c r="E516" s="248"/>
      <c r="F516" s="248"/>
      <c r="G516" s="248"/>
      <c r="H516" s="248"/>
      <c r="I516" s="249"/>
      <c r="J516" s="248"/>
      <c r="K516" s="248"/>
      <c r="L516" s="250"/>
      <c r="M516" s="250"/>
      <c r="N516" s="250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</row>
    <row r="517" ht="15.75" customHeight="1">
      <c r="A517" s="248"/>
      <c r="B517" s="248"/>
      <c r="C517" s="250"/>
      <c r="D517" s="248"/>
      <c r="E517" s="248"/>
      <c r="F517" s="248"/>
      <c r="G517" s="248"/>
      <c r="H517" s="248"/>
      <c r="I517" s="249"/>
      <c r="J517" s="248"/>
      <c r="K517" s="248"/>
      <c r="L517" s="250"/>
      <c r="M517" s="250"/>
      <c r="N517" s="250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</row>
    <row r="518" ht="15.75" customHeight="1">
      <c r="A518" s="248"/>
      <c r="B518" s="248"/>
      <c r="C518" s="250"/>
      <c r="D518" s="248"/>
      <c r="E518" s="248"/>
      <c r="F518" s="248"/>
      <c r="G518" s="248"/>
      <c r="H518" s="248"/>
      <c r="I518" s="249"/>
      <c r="J518" s="248"/>
      <c r="K518" s="248"/>
      <c r="L518" s="250"/>
      <c r="M518" s="250"/>
      <c r="N518" s="250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</row>
    <row r="519" ht="15.75" customHeight="1">
      <c r="A519" s="248"/>
      <c r="B519" s="248"/>
      <c r="C519" s="250"/>
      <c r="D519" s="248"/>
      <c r="E519" s="248"/>
      <c r="F519" s="248"/>
      <c r="G519" s="248"/>
      <c r="H519" s="248"/>
      <c r="I519" s="249"/>
      <c r="J519" s="248"/>
      <c r="K519" s="248"/>
      <c r="L519" s="250"/>
      <c r="M519" s="250"/>
      <c r="N519" s="250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</row>
    <row r="520" ht="15.75" customHeight="1">
      <c r="A520" s="248"/>
      <c r="B520" s="248"/>
      <c r="C520" s="250"/>
      <c r="D520" s="248"/>
      <c r="E520" s="248"/>
      <c r="F520" s="248"/>
      <c r="G520" s="248"/>
      <c r="H520" s="248"/>
      <c r="I520" s="249"/>
      <c r="J520" s="248"/>
      <c r="K520" s="248"/>
      <c r="L520" s="250"/>
      <c r="M520" s="250"/>
      <c r="N520" s="250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</row>
    <row r="521" ht="15.75" customHeight="1">
      <c r="A521" s="248"/>
      <c r="B521" s="248"/>
      <c r="C521" s="250"/>
      <c r="D521" s="248"/>
      <c r="E521" s="248"/>
      <c r="F521" s="248"/>
      <c r="G521" s="248"/>
      <c r="H521" s="248"/>
      <c r="I521" s="249"/>
      <c r="J521" s="248"/>
      <c r="K521" s="248"/>
      <c r="L521" s="250"/>
      <c r="M521" s="250"/>
      <c r="N521" s="250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</row>
    <row r="522" ht="15.75" customHeight="1">
      <c r="A522" s="248"/>
      <c r="B522" s="248"/>
      <c r="C522" s="250"/>
      <c r="D522" s="248"/>
      <c r="E522" s="248"/>
      <c r="F522" s="248"/>
      <c r="G522" s="248"/>
      <c r="H522" s="248"/>
      <c r="I522" s="249"/>
      <c r="J522" s="248"/>
      <c r="K522" s="248"/>
      <c r="L522" s="250"/>
      <c r="M522" s="250"/>
      <c r="N522" s="250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</row>
    <row r="523" ht="15.75" customHeight="1">
      <c r="A523" s="248"/>
      <c r="B523" s="248"/>
      <c r="C523" s="250"/>
      <c r="D523" s="248"/>
      <c r="E523" s="248"/>
      <c r="F523" s="248"/>
      <c r="G523" s="248"/>
      <c r="H523" s="248"/>
      <c r="I523" s="249"/>
      <c r="J523" s="248"/>
      <c r="K523" s="248"/>
      <c r="L523" s="250"/>
      <c r="M523" s="250"/>
      <c r="N523" s="250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</row>
    <row r="524" ht="15.75" customHeight="1">
      <c r="A524" s="248"/>
      <c r="B524" s="248"/>
      <c r="C524" s="250"/>
      <c r="D524" s="248"/>
      <c r="E524" s="248"/>
      <c r="F524" s="248"/>
      <c r="G524" s="248"/>
      <c r="H524" s="248"/>
      <c r="I524" s="249"/>
      <c r="J524" s="248"/>
      <c r="K524" s="248"/>
      <c r="L524" s="250"/>
      <c r="M524" s="250"/>
      <c r="N524" s="250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</row>
    <row r="525" ht="15.75" customHeight="1">
      <c r="A525" s="248"/>
      <c r="B525" s="248"/>
      <c r="C525" s="250"/>
      <c r="D525" s="248"/>
      <c r="E525" s="248"/>
      <c r="F525" s="248"/>
      <c r="G525" s="248"/>
      <c r="H525" s="248"/>
      <c r="I525" s="249"/>
      <c r="J525" s="248"/>
      <c r="K525" s="248"/>
      <c r="L525" s="250"/>
      <c r="M525" s="250"/>
      <c r="N525" s="250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</row>
    <row r="526" ht="15.75" customHeight="1">
      <c r="A526" s="248"/>
      <c r="B526" s="248"/>
      <c r="C526" s="250"/>
      <c r="D526" s="248"/>
      <c r="E526" s="248"/>
      <c r="F526" s="248"/>
      <c r="G526" s="248"/>
      <c r="H526" s="248"/>
      <c r="I526" s="249"/>
      <c r="J526" s="248"/>
      <c r="K526" s="248"/>
      <c r="L526" s="250"/>
      <c r="M526" s="250"/>
      <c r="N526" s="250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</row>
    <row r="527" ht="15.75" customHeight="1">
      <c r="A527" s="248"/>
      <c r="B527" s="248"/>
      <c r="C527" s="250"/>
      <c r="D527" s="248"/>
      <c r="E527" s="248"/>
      <c r="F527" s="248"/>
      <c r="G527" s="248"/>
      <c r="H527" s="248"/>
      <c r="I527" s="249"/>
      <c r="J527" s="248"/>
      <c r="K527" s="248"/>
      <c r="L527" s="250"/>
      <c r="M527" s="250"/>
      <c r="N527" s="250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</row>
    <row r="528" ht="15.75" customHeight="1">
      <c r="A528" s="248"/>
      <c r="B528" s="248"/>
      <c r="C528" s="250"/>
      <c r="D528" s="248"/>
      <c r="E528" s="248"/>
      <c r="F528" s="248"/>
      <c r="G528" s="248"/>
      <c r="H528" s="248"/>
      <c r="I528" s="249"/>
      <c r="J528" s="248"/>
      <c r="K528" s="248"/>
      <c r="L528" s="250"/>
      <c r="M528" s="250"/>
      <c r="N528" s="250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</row>
    <row r="529" ht="15.75" customHeight="1">
      <c r="A529" s="248"/>
      <c r="B529" s="248"/>
      <c r="C529" s="250"/>
      <c r="D529" s="248"/>
      <c r="E529" s="248"/>
      <c r="F529" s="248"/>
      <c r="G529" s="248"/>
      <c r="H529" s="248"/>
      <c r="I529" s="249"/>
      <c r="J529" s="248"/>
      <c r="K529" s="248"/>
      <c r="L529" s="250"/>
      <c r="M529" s="250"/>
      <c r="N529" s="250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</row>
    <row r="530" ht="15.75" customHeight="1">
      <c r="A530" s="248"/>
      <c r="B530" s="248"/>
      <c r="C530" s="250"/>
      <c r="D530" s="248"/>
      <c r="E530" s="248"/>
      <c r="F530" s="248"/>
      <c r="G530" s="248"/>
      <c r="H530" s="248"/>
      <c r="I530" s="249"/>
      <c r="J530" s="248"/>
      <c r="K530" s="248"/>
      <c r="L530" s="250"/>
      <c r="M530" s="250"/>
      <c r="N530" s="250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</row>
    <row r="531" ht="15.75" customHeight="1">
      <c r="A531" s="248"/>
      <c r="B531" s="248"/>
      <c r="C531" s="250"/>
      <c r="D531" s="248"/>
      <c r="E531" s="248"/>
      <c r="F531" s="248"/>
      <c r="G531" s="248"/>
      <c r="H531" s="248"/>
      <c r="I531" s="249"/>
      <c r="J531" s="248"/>
      <c r="K531" s="248"/>
      <c r="L531" s="250"/>
      <c r="M531" s="250"/>
      <c r="N531" s="250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</row>
    <row r="532" ht="15.75" customHeight="1">
      <c r="A532" s="248"/>
      <c r="B532" s="248"/>
      <c r="C532" s="250"/>
      <c r="D532" s="248"/>
      <c r="E532" s="248"/>
      <c r="F532" s="248"/>
      <c r="G532" s="248"/>
      <c r="H532" s="248"/>
      <c r="I532" s="249"/>
      <c r="J532" s="248"/>
      <c r="K532" s="248"/>
      <c r="L532" s="250"/>
      <c r="M532" s="250"/>
      <c r="N532" s="250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</row>
    <row r="533" ht="15.75" customHeight="1">
      <c r="A533" s="248"/>
      <c r="B533" s="248"/>
      <c r="C533" s="250"/>
      <c r="D533" s="248"/>
      <c r="E533" s="248"/>
      <c r="F533" s="248"/>
      <c r="G533" s="248"/>
      <c r="H533" s="248"/>
      <c r="I533" s="249"/>
      <c r="J533" s="248"/>
      <c r="K533" s="248"/>
      <c r="L533" s="250"/>
      <c r="M533" s="250"/>
      <c r="N533" s="250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</row>
    <row r="534" ht="15.75" customHeight="1">
      <c r="A534" s="248"/>
      <c r="B534" s="248"/>
      <c r="C534" s="250"/>
      <c r="D534" s="248"/>
      <c r="E534" s="248"/>
      <c r="F534" s="248"/>
      <c r="G534" s="248"/>
      <c r="H534" s="248"/>
      <c r="I534" s="249"/>
      <c r="J534" s="248"/>
      <c r="K534" s="248"/>
      <c r="L534" s="250"/>
      <c r="M534" s="250"/>
      <c r="N534" s="250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</row>
    <row r="535" ht="15.75" customHeight="1">
      <c r="A535" s="248"/>
      <c r="B535" s="248"/>
      <c r="C535" s="250"/>
      <c r="D535" s="248"/>
      <c r="E535" s="248"/>
      <c r="F535" s="248"/>
      <c r="G535" s="248"/>
      <c r="H535" s="248"/>
      <c r="I535" s="249"/>
      <c r="J535" s="248"/>
      <c r="K535" s="248"/>
      <c r="L535" s="250"/>
      <c r="M535" s="250"/>
      <c r="N535" s="250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</row>
    <row r="536" ht="15.75" customHeight="1">
      <c r="A536" s="248"/>
      <c r="B536" s="248"/>
      <c r="C536" s="250"/>
      <c r="D536" s="248"/>
      <c r="E536" s="248"/>
      <c r="F536" s="248"/>
      <c r="G536" s="248"/>
      <c r="H536" s="248"/>
      <c r="I536" s="249"/>
      <c r="J536" s="248"/>
      <c r="K536" s="248"/>
      <c r="L536" s="250"/>
      <c r="M536" s="250"/>
      <c r="N536" s="250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</row>
    <row r="537" ht="15.75" customHeight="1">
      <c r="A537" s="248"/>
      <c r="B537" s="248"/>
      <c r="C537" s="250"/>
      <c r="D537" s="248"/>
      <c r="E537" s="248"/>
      <c r="F537" s="248"/>
      <c r="G537" s="248"/>
      <c r="H537" s="248"/>
      <c r="I537" s="249"/>
      <c r="J537" s="248"/>
      <c r="K537" s="248"/>
      <c r="L537" s="250"/>
      <c r="M537" s="250"/>
      <c r="N537" s="250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</row>
    <row r="538" ht="15.75" customHeight="1">
      <c r="A538" s="248"/>
      <c r="B538" s="248"/>
      <c r="C538" s="250"/>
      <c r="D538" s="248"/>
      <c r="E538" s="248"/>
      <c r="F538" s="248"/>
      <c r="G538" s="248"/>
      <c r="H538" s="248"/>
      <c r="I538" s="249"/>
      <c r="J538" s="248"/>
      <c r="K538" s="248"/>
      <c r="L538" s="250"/>
      <c r="M538" s="250"/>
      <c r="N538" s="250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</row>
    <row r="539" ht="15.75" customHeight="1">
      <c r="A539" s="248"/>
      <c r="B539" s="248"/>
      <c r="C539" s="250"/>
      <c r="D539" s="248"/>
      <c r="E539" s="248"/>
      <c r="F539" s="248"/>
      <c r="G539" s="248"/>
      <c r="H539" s="248"/>
      <c r="I539" s="249"/>
      <c r="J539" s="248"/>
      <c r="K539" s="248"/>
      <c r="L539" s="250"/>
      <c r="M539" s="250"/>
      <c r="N539" s="250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</row>
    <row r="540" ht="15.75" customHeight="1">
      <c r="A540" s="248"/>
      <c r="B540" s="248"/>
      <c r="C540" s="250"/>
      <c r="D540" s="248"/>
      <c r="E540" s="248"/>
      <c r="F540" s="248"/>
      <c r="G540" s="248"/>
      <c r="H540" s="248"/>
      <c r="I540" s="249"/>
      <c r="J540" s="248"/>
      <c r="K540" s="248"/>
      <c r="L540" s="250"/>
      <c r="M540" s="250"/>
      <c r="N540" s="250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</row>
    <row r="541" ht="15.75" customHeight="1">
      <c r="A541" s="248"/>
      <c r="B541" s="248"/>
      <c r="C541" s="250"/>
      <c r="D541" s="248"/>
      <c r="E541" s="248"/>
      <c r="F541" s="248"/>
      <c r="G541" s="248"/>
      <c r="H541" s="248"/>
      <c r="I541" s="249"/>
      <c r="J541" s="248"/>
      <c r="K541" s="248"/>
      <c r="L541" s="250"/>
      <c r="M541" s="250"/>
      <c r="N541" s="250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</row>
    <row r="542" ht="15.75" customHeight="1">
      <c r="A542" s="248"/>
      <c r="B542" s="248"/>
      <c r="C542" s="250"/>
      <c r="D542" s="248"/>
      <c r="E542" s="248"/>
      <c r="F542" s="248"/>
      <c r="G542" s="248"/>
      <c r="H542" s="248"/>
      <c r="I542" s="249"/>
      <c r="J542" s="248"/>
      <c r="K542" s="248"/>
      <c r="L542" s="250"/>
      <c r="M542" s="250"/>
      <c r="N542" s="250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</row>
    <row r="543" ht="15.75" customHeight="1">
      <c r="A543" s="248"/>
      <c r="B543" s="248"/>
      <c r="C543" s="250"/>
      <c r="D543" s="248"/>
      <c r="E543" s="248"/>
      <c r="F543" s="248"/>
      <c r="G543" s="248"/>
      <c r="H543" s="248"/>
      <c r="I543" s="249"/>
      <c r="J543" s="248"/>
      <c r="K543" s="248"/>
      <c r="L543" s="250"/>
      <c r="M543" s="250"/>
      <c r="N543" s="250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</row>
    <row r="544" ht="15.75" customHeight="1">
      <c r="A544" s="248"/>
      <c r="B544" s="248"/>
      <c r="C544" s="250"/>
      <c r="D544" s="248"/>
      <c r="E544" s="248"/>
      <c r="F544" s="248"/>
      <c r="G544" s="248"/>
      <c r="H544" s="248"/>
      <c r="I544" s="249"/>
      <c r="J544" s="248"/>
      <c r="K544" s="248"/>
      <c r="L544" s="250"/>
      <c r="M544" s="250"/>
      <c r="N544" s="250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</row>
    <row r="545" ht="15.75" customHeight="1">
      <c r="A545" s="248"/>
      <c r="B545" s="248"/>
      <c r="C545" s="250"/>
      <c r="D545" s="248"/>
      <c r="E545" s="248"/>
      <c r="F545" s="248"/>
      <c r="G545" s="248"/>
      <c r="H545" s="248"/>
      <c r="I545" s="249"/>
      <c r="J545" s="248"/>
      <c r="K545" s="248"/>
      <c r="L545" s="250"/>
      <c r="M545" s="250"/>
      <c r="N545" s="250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</row>
    <row r="546" ht="15.75" customHeight="1">
      <c r="A546" s="248"/>
      <c r="B546" s="248"/>
      <c r="C546" s="250"/>
      <c r="D546" s="248"/>
      <c r="E546" s="248"/>
      <c r="F546" s="248"/>
      <c r="G546" s="248"/>
      <c r="H546" s="248"/>
      <c r="I546" s="249"/>
      <c r="J546" s="248"/>
      <c r="K546" s="248"/>
      <c r="L546" s="250"/>
      <c r="M546" s="250"/>
      <c r="N546" s="250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</row>
    <row r="547" ht="15.75" customHeight="1">
      <c r="A547" s="248"/>
      <c r="B547" s="248"/>
      <c r="C547" s="250"/>
      <c r="D547" s="248"/>
      <c r="E547" s="248"/>
      <c r="F547" s="248"/>
      <c r="G547" s="248"/>
      <c r="H547" s="248"/>
      <c r="I547" s="249"/>
      <c r="J547" s="248"/>
      <c r="K547" s="248"/>
      <c r="L547" s="250"/>
      <c r="M547" s="250"/>
      <c r="N547" s="250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</row>
    <row r="548" ht="15.75" customHeight="1">
      <c r="A548" s="248"/>
      <c r="B548" s="248"/>
      <c r="C548" s="250"/>
      <c r="D548" s="248"/>
      <c r="E548" s="248"/>
      <c r="F548" s="248"/>
      <c r="G548" s="248"/>
      <c r="H548" s="248"/>
      <c r="I548" s="249"/>
      <c r="J548" s="248"/>
      <c r="K548" s="248"/>
      <c r="L548" s="250"/>
      <c r="M548" s="250"/>
      <c r="N548" s="250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</row>
    <row r="549" ht="15.75" customHeight="1">
      <c r="A549" s="248"/>
      <c r="B549" s="248"/>
      <c r="C549" s="250"/>
      <c r="D549" s="248"/>
      <c r="E549" s="248"/>
      <c r="F549" s="248"/>
      <c r="G549" s="248"/>
      <c r="H549" s="248"/>
      <c r="I549" s="249"/>
      <c r="J549" s="248"/>
      <c r="K549" s="248"/>
      <c r="L549" s="250"/>
      <c r="M549" s="250"/>
      <c r="N549" s="250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</row>
    <row r="550" ht="15.75" customHeight="1">
      <c r="A550" s="248"/>
      <c r="B550" s="248"/>
      <c r="C550" s="250"/>
      <c r="D550" s="248"/>
      <c r="E550" s="248"/>
      <c r="F550" s="248"/>
      <c r="G550" s="248"/>
      <c r="H550" s="248"/>
      <c r="I550" s="249"/>
      <c r="J550" s="248"/>
      <c r="K550" s="248"/>
      <c r="L550" s="250"/>
      <c r="M550" s="250"/>
      <c r="N550" s="250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</row>
    <row r="551" ht="15.75" customHeight="1">
      <c r="A551" s="248"/>
      <c r="B551" s="248"/>
      <c r="C551" s="250"/>
      <c r="D551" s="248"/>
      <c r="E551" s="248"/>
      <c r="F551" s="248"/>
      <c r="G551" s="248"/>
      <c r="H551" s="248"/>
      <c r="I551" s="249"/>
      <c r="J551" s="248"/>
      <c r="K551" s="248"/>
      <c r="L551" s="250"/>
      <c r="M551" s="250"/>
      <c r="N551" s="250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</row>
    <row r="552" ht="15.75" customHeight="1">
      <c r="A552" s="248"/>
      <c r="B552" s="248"/>
      <c r="C552" s="250"/>
      <c r="D552" s="248"/>
      <c r="E552" s="248"/>
      <c r="F552" s="248"/>
      <c r="G552" s="248"/>
      <c r="H552" s="248"/>
      <c r="I552" s="249"/>
      <c r="J552" s="248"/>
      <c r="K552" s="248"/>
      <c r="L552" s="250"/>
      <c r="M552" s="250"/>
      <c r="N552" s="250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</row>
    <row r="553" ht="15.75" customHeight="1">
      <c r="A553" s="248"/>
      <c r="B553" s="248"/>
      <c r="C553" s="250"/>
      <c r="D553" s="248"/>
      <c r="E553" s="248"/>
      <c r="F553" s="248"/>
      <c r="G553" s="248"/>
      <c r="H553" s="248"/>
      <c r="I553" s="249"/>
      <c r="J553" s="248"/>
      <c r="K553" s="248"/>
      <c r="L553" s="250"/>
      <c r="M553" s="250"/>
      <c r="N553" s="250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</row>
    <row r="554" ht="15.75" customHeight="1">
      <c r="A554" s="248"/>
      <c r="B554" s="248"/>
      <c r="C554" s="250"/>
      <c r="D554" s="248"/>
      <c r="E554" s="248"/>
      <c r="F554" s="248"/>
      <c r="G554" s="248"/>
      <c r="H554" s="248"/>
      <c r="I554" s="249"/>
      <c r="J554" s="248"/>
      <c r="K554" s="248"/>
      <c r="L554" s="250"/>
      <c r="M554" s="250"/>
      <c r="N554" s="250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</row>
    <row r="555" ht="15.75" customHeight="1">
      <c r="A555" s="248"/>
      <c r="B555" s="248"/>
      <c r="C555" s="250"/>
      <c r="D555" s="248"/>
      <c r="E555" s="248"/>
      <c r="F555" s="248"/>
      <c r="G555" s="248"/>
      <c r="H555" s="248"/>
      <c r="I555" s="249"/>
      <c r="J555" s="248"/>
      <c r="K555" s="248"/>
      <c r="L555" s="250"/>
      <c r="M555" s="250"/>
      <c r="N555" s="250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</row>
    <row r="556" ht="15.75" customHeight="1">
      <c r="A556" s="248"/>
      <c r="B556" s="248"/>
      <c r="C556" s="250"/>
      <c r="D556" s="248"/>
      <c r="E556" s="248"/>
      <c r="F556" s="248"/>
      <c r="G556" s="248"/>
      <c r="H556" s="248"/>
      <c r="I556" s="249"/>
      <c r="J556" s="248"/>
      <c r="K556" s="248"/>
      <c r="L556" s="250"/>
      <c r="M556" s="250"/>
      <c r="N556" s="250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</row>
    <row r="557" ht="15.75" customHeight="1">
      <c r="A557" s="248"/>
      <c r="B557" s="248"/>
      <c r="C557" s="250"/>
      <c r="D557" s="248"/>
      <c r="E557" s="248"/>
      <c r="F557" s="248"/>
      <c r="G557" s="248"/>
      <c r="H557" s="248"/>
      <c r="I557" s="249"/>
      <c r="J557" s="248"/>
      <c r="K557" s="248"/>
      <c r="L557" s="250"/>
      <c r="M557" s="250"/>
      <c r="N557" s="250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</row>
    <row r="558" ht="15.75" customHeight="1">
      <c r="A558" s="248"/>
      <c r="B558" s="248"/>
      <c r="C558" s="250"/>
      <c r="D558" s="248"/>
      <c r="E558" s="248"/>
      <c r="F558" s="248"/>
      <c r="G558" s="248"/>
      <c r="H558" s="248"/>
      <c r="I558" s="249"/>
      <c r="J558" s="248"/>
      <c r="K558" s="248"/>
      <c r="L558" s="250"/>
      <c r="M558" s="250"/>
      <c r="N558" s="250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</row>
    <row r="559" ht="15.75" customHeight="1">
      <c r="A559" s="248"/>
      <c r="B559" s="248"/>
      <c r="C559" s="250"/>
      <c r="D559" s="248"/>
      <c r="E559" s="248"/>
      <c r="F559" s="248"/>
      <c r="G559" s="248"/>
      <c r="H559" s="248"/>
      <c r="I559" s="249"/>
      <c r="J559" s="248"/>
      <c r="K559" s="248"/>
      <c r="L559" s="250"/>
      <c r="M559" s="250"/>
      <c r="N559" s="250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</row>
    <row r="560" ht="15.75" customHeight="1">
      <c r="A560" s="248"/>
      <c r="B560" s="248"/>
      <c r="C560" s="250"/>
      <c r="D560" s="248"/>
      <c r="E560" s="248"/>
      <c r="F560" s="248"/>
      <c r="G560" s="248"/>
      <c r="H560" s="248"/>
      <c r="I560" s="249"/>
      <c r="J560" s="248"/>
      <c r="K560" s="248"/>
      <c r="L560" s="250"/>
      <c r="M560" s="250"/>
      <c r="N560" s="250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</row>
    <row r="561" ht="15.75" customHeight="1">
      <c r="A561" s="248"/>
      <c r="B561" s="248"/>
      <c r="C561" s="250"/>
      <c r="D561" s="248"/>
      <c r="E561" s="248"/>
      <c r="F561" s="248"/>
      <c r="G561" s="248"/>
      <c r="H561" s="248"/>
      <c r="I561" s="249"/>
      <c r="J561" s="248"/>
      <c r="K561" s="248"/>
      <c r="L561" s="250"/>
      <c r="M561" s="250"/>
      <c r="N561" s="250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</row>
    <row r="562" ht="15.75" customHeight="1">
      <c r="A562" s="248"/>
      <c r="B562" s="248"/>
      <c r="C562" s="250"/>
      <c r="D562" s="248"/>
      <c r="E562" s="248"/>
      <c r="F562" s="248"/>
      <c r="G562" s="248"/>
      <c r="H562" s="248"/>
      <c r="I562" s="249"/>
      <c r="J562" s="248"/>
      <c r="K562" s="248"/>
      <c r="L562" s="250"/>
      <c r="M562" s="250"/>
      <c r="N562" s="250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</row>
    <row r="563" ht="15.75" customHeight="1">
      <c r="A563" s="248"/>
      <c r="B563" s="248"/>
      <c r="C563" s="250"/>
      <c r="D563" s="248"/>
      <c r="E563" s="248"/>
      <c r="F563" s="248"/>
      <c r="G563" s="248"/>
      <c r="H563" s="248"/>
      <c r="I563" s="249"/>
      <c r="J563" s="248"/>
      <c r="K563" s="248"/>
      <c r="L563" s="250"/>
      <c r="M563" s="250"/>
      <c r="N563" s="250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</row>
    <row r="564" ht="15.75" customHeight="1">
      <c r="A564" s="248"/>
      <c r="B564" s="248"/>
      <c r="C564" s="250"/>
      <c r="D564" s="248"/>
      <c r="E564" s="248"/>
      <c r="F564" s="248"/>
      <c r="G564" s="248"/>
      <c r="H564" s="248"/>
      <c r="I564" s="249"/>
      <c r="J564" s="248"/>
      <c r="K564" s="248"/>
      <c r="L564" s="250"/>
      <c r="M564" s="250"/>
      <c r="N564" s="250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</row>
    <row r="565" ht="15.75" customHeight="1">
      <c r="A565" s="248"/>
      <c r="B565" s="248"/>
      <c r="C565" s="250"/>
      <c r="D565" s="248"/>
      <c r="E565" s="248"/>
      <c r="F565" s="248"/>
      <c r="G565" s="248"/>
      <c r="H565" s="248"/>
      <c r="I565" s="249"/>
      <c r="J565" s="248"/>
      <c r="K565" s="248"/>
      <c r="L565" s="250"/>
      <c r="M565" s="250"/>
      <c r="N565" s="250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</row>
    <row r="566" ht="15.75" customHeight="1">
      <c r="A566" s="248"/>
      <c r="B566" s="248"/>
      <c r="C566" s="250"/>
      <c r="D566" s="248"/>
      <c r="E566" s="248"/>
      <c r="F566" s="248"/>
      <c r="G566" s="248"/>
      <c r="H566" s="248"/>
      <c r="I566" s="249"/>
      <c r="J566" s="248"/>
      <c r="K566" s="248"/>
      <c r="L566" s="250"/>
      <c r="M566" s="250"/>
      <c r="N566" s="250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</row>
    <row r="567" ht="15.75" customHeight="1">
      <c r="A567" s="248"/>
      <c r="B567" s="248"/>
      <c r="C567" s="250"/>
      <c r="D567" s="248"/>
      <c r="E567" s="248"/>
      <c r="F567" s="248"/>
      <c r="G567" s="248"/>
      <c r="H567" s="248"/>
      <c r="I567" s="249"/>
      <c r="J567" s="248"/>
      <c r="K567" s="248"/>
      <c r="L567" s="250"/>
      <c r="M567" s="250"/>
      <c r="N567" s="250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</row>
    <row r="568" ht="15.75" customHeight="1">
      <c r="A568" s="248"/>
      <c r="B568" s="248"/>
      <c r="C568" s="250"/>
      <c r="D568" s="248"/>
      <c r="E568" s="248"/>
      <c r="F568" s="248"/>
      <c r="G568" s="248"/>
      <c r="H568" s="248"/>
      <c r="I568" s="249"/>
      <c r="J568" s="248"/>
      <c r="K568" s="248"/>
      <c r="L568" s="250"/>
      <c r="M568" s="250"/>
      <c r="N568" s="250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</row>
    <row r="569" ht="15.75" customHeight="1">
      <c r="A569" s="248"/>
      <c r="B569" s="248"/>
      <c r="C569" s="250"/>
      <c r="D569" s="248"/>
      <c r="E569" s="248"/>
      <c r="F569" s="248"/>
      <c r="G569" s="248"/>
      <c r="H569" s="248"/>
      <c r="I569" s="249"/>
      <c r="J569" s="248"/>
      <c r="K569" s="248"/>
      <c r="L569" s="250"/>
      <c r="M569" s="250"/>
      <c r="N569" s="250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</row>
    <row r="570" ht="15.75" customHeight="1">
      <c r="A570" s="248"/>
      <c r="B570" s="248"/>
      <c r="C570" s="250"/>
      <c r="D570" s="248"/>
      <c r="E570" s="248"/>
      <c r="F570" s="248"/>
      <c r="G570" s="248"/>
      <c r="H570" s="248"/>
      <c r="I570" s="249"/>
      <c r="J570" s="248"/>
      <c r="K570" s="248"/>
      <c r="L570" s="250"/>
      <c r="M570" s="250"/>
      <c r="N570" s="250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</row>
    <row r="571" ht="15.75" customHeight="1">
      <c r="A571" s="248"/>
      <c r="B571" s="248"/>
      <c r="C571" s="250"/>
      <c r="D571" s="248"/>
      <c r="E571" s="248"/>
      <c r="F571" s="248"/>
      <c r="G571" s="248"/>
      <c r="H571" s="248"/>
      <c r="I571" s="249"/>
      <c r="J571" s="248"/>
      <c r="K571" s="248"/>
      <c r="L571" s="250"/>
      <c r="M571" s="250"/>
      <c r="N571" s="250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</row>
    <row r="572" ht="15.75" customHeight="1">
      <c r="A572" s="248"/>
      <c r="B572" s="248"/>
      <c r="C572" s="250"/>
      <c r="D572" s="248"/>
      <c r="E572" s="248"/>
      <c r="F572" s="248"/>
      <c r="G572" s="248"/>
      <c r="H572" s="248"/>
      <c r="I572" s="249"/>
      <c r="J572" s="248"/>
      <c r="K572" s="248"/>
      <c r="L572" s="250"/>
      <c r="M572" s="250"/>
      <c r="N572" s="250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</row>
    <row r="573" ht="15.75" customHeight="1">
      <c r="A573" s="248"/>
      <c r="B573" s="248"/>
      <c r="C573" s="250"/>
      <c r="D573" s="248"/>
      <c r="E573" s="248"/>
      <c r="F573" s="248"/>
      <c r="G573" s="248"/>
      <c r="H573" s="248"/>
      <c r="I573" s="249"/>
      <c r="J573" s="248"/>
      <c r="K573" s="248"/>
      <c r="L573" s="250"/>
      <c r="M573" s="250"/>
      <c r="N573" s="250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</row>
    <row r="574" ht="15.75" customHeight="1">
      <c r="A574" s="248"/>
      <c r="B574" s="248"/>
      <c r="C574" s="250"/>
      <c r="D574" s="248"/>
      <c r="E574" s="248"/>
      <c r="F574" s="248"/>
      <c r="G574" s="248"/>
      <c r="H574" s="248"/>
      <c r="I574" s="249"/>
      <c r="J574" s="248"/>
      <c r="K574" s="248"/>
      <c r="L574" s="250"/>
      <c r="M574" s="250"/>
      <c r="N574" s="250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</row>
    <row r="575" ht="15.75" customHeight="1">
      <c r="A575" s="248"/>
      <c r="B575" s="248"/>
      <c r="C575" s="250"/>
      <c r="D575" s="248"/>
      <c r="E575" s="248"/>
      <c r="F575" s="248"/>
      <c r="G575" s="248"/>
      <c r="H575" s="248"/>
      <c r="I575" s="249"/>
      <c r="J575" s="248"/>
      <c r="K575" s="248"/>
      <c r="L575" s="250"/>
      <c r="M575" s="250"/>
      <c r="N575" s="250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</row>
    <row r="576" ht="15.75" customHeight="1">
      <c r="A576" s="248"/>
      <c r="B576" s="248"/>
      <c r="C576" s="250"/>
      <c r="D576" s="248"/>
      <c r="E576" s="248"/>
      <c r="F576" s="248"/>
      <c r="G576" s="248"/>
      <c r="H576" s="248"/>
      <c r="I576" s="249"/>
      <c r="J576" s="248"/>
      <c r="K576" s="248"/>
      <c r="L576" s="250"/>
      <c r="M576" s="250"/>
      <c r="N576" s="250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</row>
    <row r="577" ht="15.75" customHeight="1">
      <c r="A577" s="248"/>
      <c r="B577" s="248"/>
      <c r="C577" s="250"/>
      <c r="D577" s="248"/>
      <c r="E577" s="248"/>
      <c r="F577" s="248"/>
      <c r="G577" s="248"/>
      <c r="H577" s="248"/>
      <c r="I577" s="249"/>
      <c r="J577" s="248"/>
      <c r="K577" s="248"/>
      <c r="L577" s="250"/>
      <c r="M577" s="250"/>
      <c r="N577" s="250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</row>
    <row r="578" ht="15.75" customHeight="1">
      <c r="A578" s="248"/>
      <c r="B578" s="248"/>
      <c r="C578" s="250"/>
      <c r="D578" s="248"/>
      <c r="E578" s="248"/>
      <c r="F578" s="248"/>
      <c r="G578" s="248"/>
      <c r="H578" s="248"/>
      <c r="I578" s="249"/>
      <c r="J578" s="248"/>
      <c r="K578" s="248"/>
      <c r="L578" s="250"/>
      <c r="M578" s="250"/>
      <c r="N578" s="250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</row>
    <row r="579" ht="15.75" customHeight="1">
      <c r="A579" s="248"/>
      <c r="B579" s="248"/>
      <c r="C579" s="250"/>
      <c r="D579" s="248"/>
      <c r="E579" s="248"/>
      <c r="F579" s="248"/>
      <c r="G579" s="248"/>
      <c r="H579" s="248"/>
      <c r="I579" s="249"/>
      <c r="J579" s="248"/>
      <c r="K579" s="248"/>
      <c r="L579" s="250"/>
      <c r="M579" s="250"/>
      <c r="N579" s="250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</row>
    <row r="580" ht="15.75" customHeight="1">
      <c r="A580" s="248"/>
      <c r="B580" s="248"/>
      <c r="C580" s="250"/>
      <c r="D580" s="248"/>
      <c r="E580" s="248"/>
      <c r="F580" s="248"/>
      <c r="G580" s="248"/>
      <c r="H580" s="248"/>
      <c r="I580" s="249"/>
      <c r="J580" s="248"/>
      <c r="K580" s="248"/>
      <c r="L580" s="250"/>
      <c r="M580" s="250"/>
      <c r="N580" s="250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</row>
    <row r="581" ht="15.75" customHeight="1">
      <c r="A581" s="248"/>
      <c r="B581" s="248"/>
      <c r="C581" s="250"/>
      <c r="D581" s="248"/>
      <c r="E581" s="248"/>
      <c r="F581" s="248"/>
      <c r="G581" s="248"/>
      <c r="H581" s="248"/>
      <c r="I581" s="249"/>
      <c r="J581" s="248"/>
      <c r="K581" s="248"/>
      <c r="L581" s="250"/>
      <c r="M581" s="250"/>
      <c r="N581" s="250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</row>
    <row r="582" ht="15.75" customHeight="1">
      <c r="A582" s="248"/>
      <c r="B582" s="248"/>
      <c r="C582" s="250"/>
      <c r="D582" s="248"/>
      <c r="E582" s="248"/>
      <c r="F582" s="248"/>
      <c r="G582" s="248"/>
      <c r="H582" s="248"/>
      <c r="I582" s="249"/>
      <c r="J582" s="248"/>
      <c r="K582" s="248"/>
      <c r="L582" s="250"/>
      <c r="M582" s="250"/>
      <c r="N582" s="250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</row>
    <row r="583" ht="15.75" customHeight="1">
      <c r="A583" s="248"/>
      <c r="B583" s="248"/>
      <c r="C583" s="250"/>
      <c r="D583" s="248"/>
      <c r="E583" s="248"/>
      <c r="F583" s="248"/>
      <c r="G583" s="248"/>
      <c r="H583" s="248"/>
      <c r="I583" s="249"/>
      <c r="J583" s="248"/>
      <c r="K583" s="248"/>
      <c r="L583" s="250"/>
      <c r="M583" s="250"/>
      <c r="N583" s="250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</row>
    <row r="584" ht="15.75" customHeight="1">
      <c r="A584" s="248"/>
      <c r="B584" s="248"/>
      <c r="C584" s="250"/>
      <c r="D584" s="248"/>
      <c r="E584" s="248"/>
      <c r="F584" s="248"/>
      <c r="G584" s="248"/>
      <c r="H584" s="248"/>
      <c r="I584" s="249"/>
      <c r="J584" s="248"/>
      <c r="K584" s="248"/>
      <c r="L584" s="250"/>
      <c r="M584" s="250"/>
      <c r="N584" s="250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</row>
    <row r="585" ht="15.75" customHeight="1">
      <c r="A585" s="248"/>
      <c r="B585" s="248"/>
      <c r="C585" s="250"/>
      <c r="D585" s="248"/>
      <c r="E585" s="248"/>
      <c r="F585" s="248"/>
      <c r="G585" s="248"/>
      <c r="H585" s="248"/>
      <c r="I585" s="249"/>
      <c r="J585" s="248"/>
      <c r="K585" s="248"/>
      <c r="L585" s="250"/>
      <c r="M585" s="250"/>
      <c r="N585" s="250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</row>
    <row r="586" ht="15.75" customHeight="1">
      <c r="A586" s="248"/>
      <c r="B586" s="248"/>
      <c r="C586" s="250"/>
      <c r="D586" s="248"/>
      <c r="E586" s="248"/>
      <c r="F586" s="248"/>
      <c r="G586" s="248"/>
      <c r="H586" s="248"/>
      <c r="I586" s="249"/>
      <c r="J586" s="248"/>
      <c r="K586" s="248"/>
      <c r="L586" s="250"/>
      <c r="M586" s="250"/>
      <c r="N586" s="250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</row>
    <row r="587" ht="15.75" customHeight="1">
      <c r="A587" s="248"/>
      <c r="B587" s="248"/>
      <c r="C587" s="250"/>
      <c r="D587" s="248"/>
      <c r="E587" s="248"/>
      <c r="F587" s="248"/>
      <c r="G587" s="248"/>
      <c r="H587" s="248"/>
      <c r="I587" s="249"/>
      <c r="J587" s="248"/>
      <c r="K587" s="248"/>
      <c r="L587" s="250"/>
      <c r="M587" s="250"/>
      <c r="N587" s="250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</row>
    <row r="588" ht="15.75" customHeight="1">
      <c r="A588" s="248"/>
      <c r="B588" s="248"/>
      <c r="C588" s="250"/>
      <c r="D588" s="248"/>
      <c r="E588" s="248"/>
      <c r="F588" s="248"/>
      <c r="G588" s="248"/>
      <c r="H588" s="248"/>
      <c r="I588" s="249"/>
      <c r="J588" s="248"/>
      <c r="K588" s="248"/>
      <c r="L588" s="250"/>
      <c r="M588" s="250"/>
      <c r="N588" s="250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</row>
    <row r="589" ht="15.75" customHeight="1">
      <c r="A589" s="248"/>
      <c r="B589" s="248"/>
      <c r="C589" s="250"/>
      <c r="D589" s="248"/>
      <c r="E589" s="248"/>
      <c r="F589" s="248"/>
      <c r="G589" s="248"/>
      <c r="H589" s="248"/>
      <c r="I589" s="249"/>
      <c r="J589" s="248"/>
      <c r="K589" s="248"/>
      <c r="L589" s="250"/>
      <c r="M589" s="250"/>
      <c r="N589" s="250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</row>
    <row r="590" ht="15.75" customHeight="1">
      <c r="A590" s="248"/>
      <c r="B590" s="248"/>
      <c r="C590" s="250"/>
      <c r="D590" s="248"/>
      <c r="E590" s="248"/>
      <c r="F590" s="248"/>
      <c r="G590" s="248"/>
      <c r="H590" s="248"/>
      <c r="I590" s="249"/>
      <c r="J590" s="248"/>
      <c r="K590" s="248"/>
      <c r="L590" s="250"/>
      <c r="M590" s="250"/>
      <c r="N590" s="250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</row>
    <row r="591" ht="15.75" customHeight="1">
      <c r="A591" s="248"/>
      <c r="B591" s="248"/>
      <c r="C591" s="250"/>
      <c r="D591" s="248"/>
      <c r="E591" s="248"/>
      <c r="F591" s="248"/>
      <c r="G591" s="248"/>
      <c r="H591" s="248"/>
      <c r="I591" s="249"/>
      <c r="J591" s="248"/>
      <c r="K591" s="248"/>
      <c r="L591" s="250"/>
      <c r="M591" s="250"/>
      <c r="N591" s="250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</row>
    <row r="592" ht="15.75" customHeight="1">
      <c r="A592" s="248"/>
      <c r="B592" s="248"/>
      <c r="C592" s="250"/>
      <c r="D592" s="248"/>
      <c r="E592" s="248"/>
      <c r="F592" s="248"/>
      <c r="G592" s="248"/>
      <c r="H592" s="248"/>
      <c r="I592" s="249"/>
      <c r="J592" s="248"/>
      <c r="K592" s="248"/>
      <c r="L592" s="250"/>
      <c r="M592" s="250"/>
      <c r="N592" s="250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</row>
    <row r="593" ht="15.75" customHeight="1">
      <c r="A593" s="248"/>
      <c r="B593" s="248"/>
      <c r="C593" s="250"/>
      <c r="D593" s="248"/>
      <c r="E593" s="248"/>
      <c r="F593" s="248"/>
      <c r="G593" s="248"/>
      <c r="H593" s="248"/>
      <c r="I593" s="249"/>
      <c r="J593" s="248"/>
      <c r="K593" s="248"/>
      <c r="L593" s="250"/>
      <c r="M593" s="250"/>
      <c r="N593" s="250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</row>
    <row r="594" ht="15.75" customHeight="1">
      <c r="A594" s="248"/>
      <c r="B594" s="248"/>
      <c r="C594" s="250"/>
      <c r="D594" s="248"/>
      <c r="E594" s="248"/>
      <c r="F594" s="248"/>
      <c r="G594" s="248"/>
      <c r="H594" s="248"/>
      <c r="I594" s="249"/>
      <c r="J594" s="248"/>
      <c r="K594" s="248"/>
      <c r="L594" s="250"/>
      <c r="M594" s="250"/>
      <c r="N594" s="250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</row>
    <row r="595" ht="15.75" customHeight="1">
      <c r="A595" s="248"/>
      <c r="B595" s="248"/>
      <c r="C595" s="250"/>
      <c r="D595" s="248"/>
      <c r="E595" s="248"/>
      <c r="F595" s="248"/>
      <c r="G595" s="248"/>
      <c r="H595" s="248"/>
      <c r="I595" s="249"/>
      <c r="J595" s="248"/>
      <c r="K595" s="248"/>
      <c r="L595" s="250"/>
      <c r="M595" s="250"/>
      <c r="N595" s="250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</row>
    <row r="596" ht="15.75" customHeight="1">
      <c r="A596" s="248"/>
      <c r="B596" s="248"/>
      <c r="C596" s="250"/>
      <c r="D596" s="248"/>
      <c r="E596" s="248"/>
      <c r="F596" s="248"/>
      <c r="G596" s="248"/>
      <c r="H596" s="248"/>
      <c r="I596" s="249"/>
      <c r="J596" s="248"/>
      <c r="K596" s="248"/>
      <c r="L596" s="250"/>
      <c r="M596" s="250"/>
      <c r="N596" s="250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</row>
    <row r="597" ht="15.75" customHeight="1">
      <c r="A597" s="248"/>
      <c r="B597" s="248"/>
      <c r="C597" s="250"/>
      <c r="D597" s="248"/>
      <c r="E597" s="248"/>
      <c r="F597" s="248"/>
      <c r="G597" s="248"/>
      <c r="H597" s="248"/>
      <c r="I597" s="249"/>
      <c r="J597" s="248"/>
      <c r="K597" s="248"/>
      <c r="L597" s="250"/>
      <c r="M597" s="250"/>
      <c r="N597" s="250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</row>
    <row r="598" ht="15.75" customHeight="1">
      <c r="A598" s="248"/>
      <c r="B598" s="248"/>
      <c r="C598" s="250"/>
      <c r="D598" s="248"/>
      <c r="E598" s="248"/>
      <c r="F598" s="248"/>
      <c r="G598" s="248"/>
      <c r="H598" s="248"/>
      <c r="I598" s="249"/>
      <c r="J598" s="248"/>
      <c r="K598" s="248"/>
      <c r="L598" s="250"/>
      <c r="M598" s="250"/>
      <c r="N598" s="250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</row>
    <row r="599" ht="15.75" customHeight="1">
      <c r="A599" s="248"/>
      <c r="B599" s="248"/>
      <c r="C599" s="250"/>
      <c r="D599" s="248"/>
      <c r="E599" s="248"/>
      <c r="F599" s="248"/>
      <c r="G599" s="248"/>
      <c r="H599" s="248"/>
      <c r="I599" s="249"/>
      <c r="J599" s="248"/>
      <c r="K599" s="248"/>
      <c r="L599" s="250"/>
      <c r="M599" s="250"/>
      <c r="N599" s="250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</row>
    <row r="600" ht="15.75" customHeight="1">
      <c r="A600" s="248"/>
      <c r="B600" s="248"/>
      <c r="C600" s="250"/>
      <c r="D600" s="248"/>
      <c r="E600" s="248"/>
      <c r="F600" s="248"/>
      <c r="G600" s="248"/>
      <c r="H600" s="248"/>
      <c r="I600" s="249"/>
      <c r="J600" s="248"/>
      <c r="K600" s="248"/>
      <c r="L600" s="250"/>
      <c r="M600" s="250"/>
      <c r="N600" s="250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</row>
    <row r="601" ht="15.75" customHeight="1">
      <c r="A601" s="248"/>
      <c r="B601" s="248"/>
      <c r="C601" s="250"/>
      <c r="D601" s="248"/>
      <c r="E601" s="248"/>
      <c r="F601" s="248"/>
      <c r="G601" s="248"/>
      <c r="H601" s="248"/>
      <c r="I601" s="249"/>
      <c r="J601" s="248"/>
      <c r="K601" s="248"/>
      <c r="L601" s="250"/>
      <c r="M601" s="250"/>
      <c r="N601" s="250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</row>
    <row r="602" ht="15.75" customHeight="1">
      <c r="A602" s="248"/>
      <c r="B602" s="248"/>
      <c r="C602" s="250"/>
      <c r="D602" s="248"/>
      <c r="E602" s="248"/>
      <c r="F602" s="248"/>
      <c r="G602" s="248"/>
      <c r="H602" s="248"/>
      <c r="I602" s="249"/>
      <c r="J602" s="248"/>
      <c r="K602" s="248"/>
      <c r="L602" s="250"/>
      <c r="M602" s="250"/>
      <c r="N602" s="250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</row>
    <row r="603" ht="15.75" customHeight="1">
      <c r="A603" s="248"/>
      <c r="B603" s="248"/>
      <c r="C603" s="250"/>
      <c r="D603" s="248"/>
      <c r="E603" s="248"/>
      <c r="F603" s="248"/>
      <c r="G603" s="248"/>
      <c r="H603" s="248"/>
      <c r="I603" s="249"/>
      <c r="J603" s="248"/>
      <c r="K603" s="248"/>
      <c r="L603" s="250"/>
      <c r="M603" s="250"/>
      <c r="N603" s="250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</row>
    <row r="604" ht="15.75" customHeight="1">
      <c r="A604" s="248"/>
      <c r="B604" s="248"/>
      <c r="C604" s="250"/>
      <c r="D604" s="248"/>
      <c r="E604" s="248"/>
      <c r="F604" s="248"/>
      <c r="G604" s="248"/>
      <c r="H604" s="248"/>
      <c r="I604" s="249"/>
      <c r="J604" s="248"/>
      <c r="K604" s="248"/>
      <c r="L604" s="250"/>
      <c r="M604" s="250"/>
      <c r="N604" s="250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</row>
    <row r="605" ht="15.75" customHeight="1">
      <c r="A605" s="248"/>
      <c r="B605" s="248"/>
      <c r="C605" s="250"/>
      <c r="D605" s="248"/>
      <c r="E605" s="248"/>
      <c r="F605" s="248"/>
      <c r="G605" s="248"/>
      <c r="H605" s="248"/>
      <c r="I605" s="249"/>
      <c r="J605" s="248"/>
      <c r="K605" s="248"/>
      <c r="L605" s="250"/>
      <c r="M605" s="250"/>
      <c r="N605" s="250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</row>
    <row r="606" ht="15.75" customHeight="1">
      <c r="A606" s="248"/>
      <c r="B606" s="248"/>
      <c r="C606" s="250"/>
      <c r="D606" s="248"/>
      <c r="E606" s="248"/>
      <c r="F606" s="248"/>
      <c r="G606" s="248"/>
      <c r="H606" s="248"/>
      <c r="I606" s="249"/>
      <c r="J606" s="248"/>
      <c r="K606" s="248"/>
      <c r="L606" s="250"/>
      <c r="M606" s="250"/>
      <c r="N606" s="250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</row>
    <row r="607" ht="15.75" customHeight="1">
      <c r="A607" s="248"/>
      <c r="B607" s="248"/>
      <c r="C607" s="250"/>
      <c r="D607" s="248"/>
      <c r="E607" s="248"/>
      <c r="F607" s="248"/>
      <c r="G607" s="248"/>
      <c r="H607" s="248"/>
      <c r="I607" s="249"/>
      <c r="J607" s="248"/>
      <c r="K607" s="248"/>
      <c r="L607" s="250"/>
      <c r="M607" s="250"/>
      <c r="N607" s="250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</row>
    <row r="608" ht="15.75" customHeight="1">
      <c r="A608" s="248"/>
      <c r="B608" s="248"/>
      <c r="C608" s="250"/>
      <c r="D608" s="248"/>
      <c r="E608" s="248"/>
      <c r="F608" s="248"/>
      <c r="G608" s="248"/>
      <c r="H608" s="248"/>
      <c r="I608" s="249"/>
      <c r="J608" s="248"/>
      <c r="K608" s="248"/>
      <c r="L608" s="250"/>
      <c r="M608" s="250"/>
      <c r="N608" s="250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</row>
    <row r="609" ht="15.75" customHeight="1">
      <c r="A609" s="248"/>
      <c r="B609" s="248"/>
      <c r="C609" s="250"/>
      <c r="D609" s="248"/>
      <c r="E609" s="248"/>
      <c r="F609" s="248"/>
      <c r="G609" s="248"/>
      <c r="H609" s="248"/>
      <c r="I609" s="249"/>
      <c r="J609" s="248"/>
      <c r="K609" s="248"/>
      <c r="L609" s="250"/>
      <c r="M609" s="250"/>
      <c r="N609" s="250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</row>
    <row r="610" ht="15.75" customHeight="1">
      <c r="A610" s="248"/>
      <c r="B610" s="248"/>
      <c r="C610" s="250"/>
      <c r="D610" s="248"/>
      <c r="E610" s="248"/>
      <c r="F610" s="248"/>
      <c r="G610" s="248"/>
      <c r="H610" s="248"/>
      <c r="I610" s="249"/>
      <c r="J610" s="248"/>
      <c r="K610" s="248"/>
      <c r="L610" s="250"/>
      <c r="M610" s="250"/>
      <c r="N610" s="250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</row>
    <row r="611" ht="15.75" customHeight="1">
      <c r="A611" s="248"/>
      <c r="B611" s="248"/>
      <c r="C611" s="250"/>
      <c r="D611" s="248"/>
      <c r="E611" s="248"/>
      <c r="F611" s="248"/>
      <c r="G611" s="248"/>
      <c r="H611" s="248"/>
      <c r="I611" s="249"/>
      <c r="J611" s="248"/>
      <c r="K611" s="248"/>
      <c r="L611" s="250"/>
      <c r="M611" s="250"/>
      <c r="N611" s="250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</row>
    <row r="612" ht="15.75" customHeight="1">
      <c r="A612" s="248"/>
      <c r="B612" s="248"/>
      <c r="C612" s="250"/>
      <c r="D612" s="248"/>
      <c r="E612" s="248"/>
      <c r="F612" s="248"/>
      <c r="G612" s="248"/>
      <c r="H612" s="248"/>
      <c r="I612" s="249"/>
      <c r="J612" s="248"/>
      <c r="K612" s="248"/>
      <c r="L612" s="250"/>
      <c r="M612" s="250"/>
      <c r="N612" s="250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</row>
    <row r="613" ht="15.75" customHeight="1">
      <c r="A613" s="248"/>
      <c r="B613" s="248"/>
      <c r="C613" s="250"/>
      <c r="D613" s="248"/>
      <c r="E613" s="248"/>
      <c r="F613" s="248"/>
      <c r="G613" s="248"/>
      <c r="H613" s="248"/>
      <c r="I613" s="249"/>
      <c r="J613" s="248"/>
      <c r="K613" s="248"/>
      <c r="L613" s="250"/>
      <c r="M613" s="250"/>
      <c r="N613" s="250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</row>
    <row r="614" ht="15.75" customHeight="1">
      <c r="A614" s="248"/>
      <c r="B614" s="248"/>
      <c r="C614" s="250"/>
      <c r="D614" s="248"/>
      <c r="E614" s="248"/>
      <c r="F614" s="248"/>
      <c r="G614" s="248"/>
      <c r="H614" s="248"/>
      <c r="I614" s="249"/>
      <c r="J614" s="248"/>
      <c r="K614" s="248"/>
      <c r="L614" s="250"/>
      <c r="M614" s="250"/>
      <c r="N614" s="250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</row>
    <row r="615" ht="15.75" customHeight="1">
      <c r="A615" s="248"/>
      <c r="B615" s="248"/>
      <c r="C615" s="250"/>
      <c r="D615" s="248"/>
      <c r="E615" s="248"/>
      <c r="F615" s="248"/>
      <c r="G615" s="248"/>
      <c r="H615" s="248"/>
      <c r="I615" s="249"/>
      <c r="J615" s="248"/>
      <c r="K615" s="248"/>
      <c r="L615" s="250"/>
      <c r="M615" s="250"/>
      <c r="N615" s="250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</row>
    <row r="616" ht="15.75" customHeight="1">
      <c r="A616" s="248"/>
      <c r="B616" s="248"/>
      <c r="C616" s="250"/>
      <c r="D616" s="248"/>
      <c r="E616" s="248"/>
      <c r="F616" s="248"/>
      <c r="G616" s="248"/>
      <c r="H616" s="248"/>
      <c r="I616" s="249"/>
      <c r="J616" s="248"/>
      <c r="K616" s="248"/>
      <c r="L616" s="250"/>
      <c r="M616" s="250"/>
      <c r="N616" s="250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</row>
    <row r="617" ht="15.75" customHeight="1">
      <c r="A617" s="248"/>
      <c r="B617" s="248"/>
      <c r="C617" s="250"/>
      <c r="D617" s="248"/>
      <c r="E617" s="248"/>
      <c r="F617" s="248"/>
      <c r="G617" s="248"/>
      <c r="H617" s="248"/>
      <c r="I617" s="249"/>
      <c r="J617" s="248"/>
      <c r="K617" s="248"/>
      <c r="L617" s="250"/>
      <c r="M617" s="250"/>
      <c r="N617" s="250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</row>
    <row r="618" ht="15.75" customHeight="1">
      <c r="A618" s="248"/>
      <c r="B618" s="248"/>
      <c r="C618" s="250"/>
      <c r="D618" s="248"/>
      <c r="E618" s="248"/>
      <c r="F618" s="248"/>
      <c r="G618" s="248"/>
      <c r="H618" s="248"/>
      <c r="I618" s="249"/>
      <c r="J618" s="248"/>
      <c r="K618" s="248"/>
      <c r="L618" s="250"/>
      <c r="M618" s="250"/>
      <c r="N618" s="250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</row>
    <row r="619" ht="15.75" customHeight="1">
      <c r="A619" s="248"/>
      <c r="B619" s="248"/>
      <c r="C619" s="250"/>
      <c r="D619" s="248"/>
      <c r="E619" s="248"/>
      <c r="F619" s="248"/>
      <c r="G619" s="248"/>
      <c r="H619" s="248"/>
      <c r="I619" s="249"/>
      <c r="J619" s="248"/>
      <c r="K619" s="248"/>
      <c r="L619" s="250"/>
      <c r="M619" s="250"/>
      <c r="N619" s="250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</row>
    <row r="620" ht="15.75" customHeight="1">
      <c r="A620" s="248"/>
      <c r="B620" s="248"/>
      <c r="C620" s="250"/>
      <c r="D620" s="248"/>
      <c r="E620" s="248"/>
      <c r="F620" s="248"/>
      <c r="G620" s="248"/>
      <c r="H620" s="248"/>
      <c r="I620" s="249"/>
      <c r="J620" s="248"/>
      <c r="K620" s="248"/>
      <c r="L620" s="250"/>
      <c r="M620" s="250"/>
      <c r="N620" s="250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</row>
    <row r="621" ht="15.75" customHeight="1">
      <c r="A621" s="248"/>
      <c r="B621" s="248"/>
      <c r="C621" s="250"/>
      <c r="D621" s="248"/>
      <c r="E621" s="248"/>
      <c r="F621" s="248"/>
      <c r="G621" s="248"/>
      <c r="H621" s="248"/>
      <c r="I621" s="249"/>
      <c r="J621" s="248"/>
      <c r="K621" s="248"/>
      <c r="L621" s="250"/>
      <c r="M621" s="250"/>
      <c r="N621" s="250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</row>
    <row r="622" ht="15.75" customHeight="1">
      <c r="A622" s="248"/>
      <c r="B622" s="248"/>
      <c r="C622" s="250"/>
      <c r="D622" s="248"/>
      <c r="E622" s="248"/>
      <c r="F622" s="248"/>
      <c r="G622" s="248"/>
      <c r="H622" s="248"/>
      <c r="I622" s="249"/>
      <c r="J622" s="248"/>
      <c r="K622" s="248"/>
      <c r="L622" s="250"/>
      <c r="M622" s="250"/>
      <c r="N622" s="250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</row>
    <row r="623" ht="15.75" customHeight="1">
      <c r="A623" s="248"/>
      <c r="B623" s="248"/>
      <c r="C623" s="250"/>
      <c r="D623" s="248"/>
      <c r="E623" s="248"/>
      <c r="F623" s="248"/>
      <c r="G623" s="248"/>
      <c r="H623" s="248"/>
      <c r="I623" s="249"/>
      <c r="J623" s="248"/>
      <c r="K623" s="248"/>
      <c r="L623" s="250"/>
      <c r="M623" s="250"/>
      <c r="N623" s="250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</row>
    <row r="624" ht="15.75" customHeight="1">
      <c r="A624" s="248"/>
      <c r="B624" s="248"/>
      <c r="C624" s="250"/>
      <c r="D624" s="248"/>
      <c r="E624" s="248"/>
      <c r="F624" s="248"/>
      <c r="G624" s="248"/>
      <c r="H624" s="248"/>
      <c r="I624" s="249"/>
      <c r="J624" s="248"/>
      <c r="K624" s="248"/>
      <c r="L624" s="250"/>
      <c r="M624" s="250"/>
      <c r="N624" s="250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</row>
    <row r="625" ht="15.75" customHeight="1">
      <c r="A625" s="248"/>
      <c r="B625" s="248"/>
      <c r="C625" s="250"/>
      <c r="D625" s="248"/>
      <c r="E625" s="248"/>
      <c r="F625" s="248"/>
      <c r="G625" s="248"/>
      <c r="H625" s="248"/>
      <c r="I625" s="249"/>
      <c r="J625" s="248"/>
      <c r="K625" s="248"/>
      <c r="L625" s="250"/>
      <c r="M625" s="250"/>
      <c r="N625" s="250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</row>
    <row r="626" ht="15.75" customHeight="1">
      <c r="A626" s="248"/>
      <c r="B626" s="248"/>
      <c r="C626" s="250"/>
      <c r="D626" s="248"/>
      <c r="E626" s="248"/>
      <c r="F626" s="248"/>
      <c r="G626" s="248"/>
      <c r="H626" s="248"/>
      <c r="I626" s="249"/>
      <c r="J626" s="248"/>
      <c r="K626" s="248"/>
      <c r="L626" s="250"/>
      <c r="M626" s="250"/>
      <c r="N626" s="250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</row>
    <row r="627" ht="15.75" customHeight="1">
      <c r="A627" s="248"/>
      <c r="B627" s="248"/>
      <c r="C627" s="250"/>
      <c r="D627" s="248"/>
      <c r="E627" s="248"/>
      <c r="F627" s="248"/>
      <c r="G627" s="248"/>
      <c r="H627" s="248"/>
      <c r="I627" s="249"/>
      <c r="J627" s="248"/>
      <c r="K627" s="248"/>
      <c r="L627" s="250"/>
      <c r="M627" s="250"/>
      <c r="N627" s="250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</row>
    <row r="628" ht="15.75" customHeight="1">
      <c r="A628" s="248"/>
      <c r="B628" s="248"/>
      <c r="C628" s="250"/>
      <c r="D628" s="248"/>
      <c r="E628" s="248"/>
      <c r="F628" s="248"/>
      <c r="G628" s="248"/>
      <c r="H628" s="248"/>
      <c r="I628" s="249"/>
      <c r="J628" s="248"/>
      <c r="K628" s="248"/>
      <c r="L628" s="250"/>
      <c r="M628" s="250"/>
      <c r="N628" s="250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</row>
    <row r="629" ht="15.75" customHeight="1">
      <c r="A629" s="248"/>
      <c r="B629" s="248"/>
      <c r="C629" s="250"/>
      <c r="D629" s="248"/>
      <c r="E629" s="248"/>
      <c r="F629" s="248"/>
      <c r="G629" s="248"/>
      <c r="H629" s="248"/>
      <c r="I629" s="249"/>
      <c r="J629" s="248"/>
      <c r="K629" s="248"/>
      <c r="L629" s="250"/>
      <c r="M629" s="250"/>
      <c r="N629" s="250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</row>
    <row r="630" ht="15.75" customHeight="1">
      <c r="A630" s="248"/>
      <c r="B630" s="248"/>
      <c r="C630" s="250"/>
      <c r="D630" s="248"/>
      <c r="E630" s="248"/>
      <c r="F630" s="248"/>
      <c r="G630" s="248"/>
      <c r="H630" s="248"/>
      <c r="I630" s="249"/>
      <c r="J630" s="248"/>
      <c r="K630" s="248"/>
      <c r="L630" s="250"/>
      <c r="M630" s="250"/>
      <c r="N630" s="250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</row>
    <row r="631" ht="15.75" customHeight="1">
      <c r="A631" s="248"/>
      <c r="B631" s="248"/>
      <c r="C631" s="250"/>
      <c r="D631" s="248"/>
      <c r="E631" s="248"/>
      <c r="F631" s="248"/>
      <c r="G631" s="248"/>
      <c r="H631" s="248"/>
      <c r="I631" s="249"/>
      <c r="J631" s="248"/>
      <c r="K631" s="248"/>
      <c r="L631" s="250"/>
      <c r="M631" s="250"/>
      <c r="N631" s="250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</row>
    <row r="632" ht="15.75" customHeight="1">
      <c r="A632" s="248"/>
      <c r="B632" s="248"/>
      <c r="C632" s="250"/>
      <c r="D632" s="248"/>
      <c r="E632" s="248"/>
      <c r="F632" s="248"/>
      <c r="G632" s="248"/>
      <c r="H632" s="248"/>
      <c r="I632" s="249"/>
      <c r="J632" s="248"/>
      <c r="K632" s="248"/>
      <c r="L632" s="250"/>
      <c r="M632" s="250"/>
      <c r="N632" s="250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</row>
    <row r="633" ht="15.75" customHeight="1">
      <c r="A633" s="248"/>
      <c r="B633" s="248"/>
      <c r="C633" s="250"/>
      <c r="D633" s="248"/>
      <c r="E633" s="248"/>
      <c r="F633" s="248"/>
      <c r="G633" s="248"/>
      <c r="H633" s="248"/>
      <c r="I633" s="249"/>
      <c r="J633" s="248"/>
      <c r="K633" s="248"/>
      <c r="L633" s="250"/>
      <c r="M633" s="250"/>
      <c r="N633" s="250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</row>
    <row r="634" ht="15.75" customHeight="1">
      <c r="A634" s="248"/>
      <c r="B634" s="248"/>
      <c r="C634" s="250"/>
      <c r="D634" s="248"/>
      <c r="E634" s="248"/>
      <c r="F634" s="248"/>
      <c r="G634" s="248"/>
      <c r="H634" s="248"/>
      <c r="I634" s="249"/>
      <c r="J634" s="248"/>
      <c r="K634" s="248"/>
      <c r="L634" s="250"/>
      <c r="M634" s="250"/>
      <c r="N634" s="250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</row>
    <row r="635" ht="15.75" customHeight="1">
      <c r="A635" s="248"/>
      <c r="B635" s="248"/>
      <c r="C635" s="250"/>
      <c r="D635" s="248"/>
      <c r="E635" s="248"/>
      <c r="F635" s="248"/>
      <c r="G635" s="248"/>
      <c r="H635" s="248"/>
      <c r="I635" s="249"/>
      <c r="J635" s="248"/>
      <c r="K635" s="248"/>
      <c r="L635" s="250"/>
      <c r="M635" s="250"/>
      <c r="N635" s="250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</row>
    <row r="636" ht="15.75" customHeight="1">
      <c r="A636" s="248"/>
      <c r="B636" s="248"/>
      <c r="C636" s="250"/>
      <c r="D636" s="248"/>
      <c r="E636" s="248"/>
      <c r="F636" s="248"/>
      <c r="G636" s="248"/>
      <c r="H636" s="248"/>
      <c r="I636" s="249"/>
      <c r="J636" s="248"/>
      <c r="K636" s="248"/>
      <c r="L636" s="250"/>
      <c r="M636" s="250"/>
      <c r="N636" s="250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</row>
    <row r="637" ht="15.75" customHeight="1">
      <c r="A637" s="248"/>
      <c r="B637" s="248"/>
      <c r="C637" s="250"/>
      <c r="D637" s="248"/>
      <c r="E637" s="248"/>
      <c r="F637" s="248"/>
      <c r="G637" s="248"/>
      <c r="H637" s="248"/>
      <c r="I637" s="249"/>
      <c r="J637" s="248"/>
      <c r="K637" s="248"/>
      <c r="L637" s="250"/>
      <c r="M637" s="250"/>
      <c r="N637" s="250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</row>
    <row r="638" ht="15.75" customHeight="1">
      <c r="A638" s="248"/>
      <c r="B638" s="248"/>
      <c r="C638" s="250"/>
      <c r="D638" s="248"/>
      <c r="E638" s="248"/>
      <c r="F638" s="248"/>
      <c r="G638" s="248"/>
      <c r="H638" s="248"/>
      <c r="I638" s="249"/>
      <c r="J638" s="248"/>
      <c r="K638" s="248"/>
      <c r="L638" s="250"/>
      <c r="M638" s="250"/>
      <c r="N638" s="250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</row>
    <row r="639" ht="15.75" customHeight="1">
      <c r="A639" s="248"/>
      <c r="B639" s="248"/>
      <c r="C639" s="250"/>
      <c r="D639" s="248"/>
      <c r="E639" s="248"/>
      <c r="F639" s="248"/>
      <c r="G639" s="248"/>
      <c r="H639" s="248"/>
      <c r="I639" s="249"/>
      <c r="J639" s="248"/>
      <c r="K639" s="248"/>
      <c r="L639" s="250"/>
      <c r="M639" s="250"/>
      <c r="N639" s="250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</row>
    <row r="640" ht="15.75" customHeight="1">
      <c r="A640" s="248"/>
      <c r="B640" s="248"/>
      <c r="C640" s="250"/>
      <c r="D640" s="248"/>
      <c r="E640" s="248"/>
      <c r="F640" s="248"/>
      <c r="G640" s="248"/>
      <c r="H640" s="248"/>
      <c r="I640" s="249"/>
      <c r="J640" s="248"/>
      <c r="K640" s="248"/>
      <c r="L640" s="250"/>
      <c r="M640" s="250"/>
      <c r="N640" s="250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</row>
    <row r="641" ht="15.75" customHeight="1">
      <c r="A641" s="248"/>
      <c r="B641" s="248"/>
      <c r="C641" s="250"/>
      <c r="D641" s="248"/>
      <c r="E641" s="248"/>
      <c r="F641" s="248"/>
      <c r="G641" s="248"/>
      <c r="H641" s="248"/>
      <c r="I641" s="249"/>
      <c r="J641" s="248"/>
      <c r="K641" s="248"/>
      <c r="L641" s="250"/>
      <c r="M641" s="250"/>
      <c r="N641" s="250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</row>
    <row r="642" ht="15.75" customHeight="1">
      <c r="A642" s="248"/>
      <c r="B642" s="248"/>
      <c r="C642" s="250"/>
      <c r="D642" s="248"/>
      <c r="E642" s="248"/>
      <c r="F642" s="248"/>
      <c r="G642" s="248"/>
      <c r="H642" s="248"/>
      <c r="I642" s="249"/>
      <c r="J642" s="248"/>
      <c r="K642" s="248"/>
      <c r="L642" s="250"/>
      <c r="M642" s="250"/>
      <c r="N642" s="250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</row>
    <row r="643" ht="15.75" customHeight="1">
      <c r="A643" s="248"/>
      <c r="B643" s="248"/>
      <c r="C643" s="250"/>
      <c r="D643" s="248"/>
      <c r="E643" s="248"/>
      <c r="F643" s="248"/>
      <c r="G643" s="248"/>
      <c r="H643" s="248"/>
      <c r="I643" s="249"/>
      <c r="J643" s="248"/>
      <c r="K643" s="248"/>
      <c r="L643" s="250"/>
      <c r="M643" s="250"/>
      <c r="N643" s="250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</row>
    <row r="644" ht="15.75" customHeight="1">
      <c r="A644" s="248"/>
      <c r="B644" s="248"/>
      <c r="C644" s="250"/>
      <c r="D644" s="248"/>
      <c r="E644" s="248"/>
      <c r="F644" s="248"/>
      <c r="G644" s="248"/>
      <c r="H644" s="248"/>
      <c r="I644" s="249"/>
      <c r="J644" s="248"/>
      <c r="K644" s="248"/>
      <c r="L644" s="250"/>
      <c r="M644" s="250"/>
      <c r="N644" s="250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</row>
    <row r="645" ht="15.75" customHeight="1">
      <c r="A645" s="248"/>
      <c r="B645" s="248"/>
      <c r="C645" s="250"/>
      <c r="D645" s="248"/>
      <c r="E645" s="248"/>
      <c r="F645" s="248"/>
      <c r="G645" s="248"/>
      <c r="H645" s="248"/>
      <c r="I645" s="249"/>
      <c r="J645" s="248"/>
      <c r="K645" s="248"/>
      <c r="L645" s="250"/>
      <c r="M645" s="250"/>
      <c r="N645" s="250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</row>
    <row r="646" ht="15.75" customHeight="1">
      <c r="A646" s="248"/>
      <c r="B646" s="248"/>
      <c r="C646" s="250"/>
      <c r="D646" s="248"/>
      <c r="E646" s="248"/>
      <c r="F646" s="248"/>
      <c r="G646" s="248"/>
      <c r="H646" s="248"/>
      <c r="I646" s="249"/>
      <c r="J646" s="248"/>
      <c r="K646" s="248"/>
      <c r="L646" s="250"/>
      <c r="M646" s="250"/>
      <c r="N646" s="250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</row>
    <row r="647" ht="15.75" customHeight="1">
      <c r="A647" s="248"/>
      <c r="B647" s="248"/>
      <c r="C647" s="250"/>
      <c r="D647" s="248"/>
      <c r="E647" s="248"/>
      <c r="F647" s="248"/>
      <c r="G647" s="248"/>
      <c r="H647" s="248"/>
      <c r="I647" s="249"/>
      <c r="J647" s="248"/>
      <c r="K647" s="248"/>
      <c r="L647" s="250"/>
      <c r="M647" s="250"/>
      <c r="N647" s="250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</row>
    <row r="648" ht="15.75" customHeight="1">
      <c r="A648" s="248"/>
      <c r="B648" s="248"/>
      <c r="C648" s="250"/>
      <c r="D648" s="248"/>
      <c r="E648" s="248"/>
      <c r="F648" s="248"/>
      <c r="G648" s="248"/>
      <c r="H648" s="248"/>
      <c r="I648" s="249"/>
      <c r="J648" s="248"/>
      <c r="K648" s="248"/>
      <c r="L648" s="250"/>
      <c r="M648" s="250"/>
      <c r="N648" s="250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</row>
    <row r="649" ht="15.75" customHeight="1">
      <c r="A649" s="248"/>
      <c r="B649" s="248"/>
      <c r="C649" s="250"/>
      <c r="D649" s="248"/>
      <c r="E649" s="248"/>
      <c r="F649" s="248"/>
      <c r="G649" s="248"/>
      <c r="H649" s="248"/>
      <c r="I649" s="249"/>
      <c r="J649" s="248"/>
      <c r="K649" s="248"/>
      <c r="L649" s="250"/>
      <c r="M649" s="250"/>
      <c r="N649" s="250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</row>
    <row r="650" ht="15.75" customHeight="1">
      <c r="A650" s="248"/>
      <c r="B650" s="248"/>
      <c r="C650" s="250"/>
      <c r="D650" s="248"/>
      <c r="E650" s="248"/>
      <c r="F650" s="248"/>
      <c r="G650" s="248"/>
      <c r="H650" s="248"/>
      <c r="I650" s="249"/>
      <c r="J650" s="248"/>
      <c r="K650" s="248"/>
      <c r="L650" s="250"/>
      <c r="M650" s="250"/>
      <c r="N650" s="250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</row>
    <row r="651" ht="15.75" customHeight="1">
      <c r="A651" s="248"/>
      <c r="B651" s="248"/>
      <c r="C651" s="250"/>
      <c r="D651" s="248"/>
      <c r="E651" s="248"/>
      <c r="F651" s="248"/>
      <c r="G651" s="248"/>
      <c r="H651" s="248"/>
      <c r="I651" s="249"/>
      <c r="J651" s="248"/>
      <c r="K651" s="248"/>
      <c r="L651" s="250"/>
      <c r="M651" s="250"/>
      <c r="N651" s="250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</row>
    <row r="652" ht="15.75" customHeight="1">
      <c r="A652" s="248"/>
      <c r="B652" s="248"/>
      <c r="C652" s="250"/>
      <c r="D652" s="248"/>
      <c r="E652" s="248"/>
      <c r="F652" s="248"/>
      <c r="G652" s="248"/>
      <c r="H652" s="248"/>
      <c r="I652" s="249"/>
      <c r="J652" s="248"/>
      <c r="K652" s="248"/>
      <c r="L652" s="250"/>
      <c r="M652" s="250"/>
      <c r="N652" s="250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</row>
    <row r="653" ht="15.75" customHeight="1">
      <c r="A653" s="248"/>
      <c r="B653" s="248"/>
      <c r="C653" s="250"/>
      <c r="D653" s="248"/>
      <c r="E653" s="248"/>
      <c r="F653" s="248"/>
      <c r="G653" s="248"/>
      <c r="H653" s="248"/>
      <c r="I653" s="249"/>
      <c r="J653" s="248"/>
      <c r="K653" s="248"/>
      <c r="L653" s="250"/>
      <c r="M653" s="250"/>
      <c r="N653" s="250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</row>
    <row r="654" ht="15.75" customHeight="1">
      <c r="A654" s="248"/>
      <c r="B654" s="248"/>
      <c r="C654" s="250"/>
      <c r="D654" s="248"/>
      <c r="E654" s="248"/>
      <c r="F654" s="248"/>
      <c r="G654" s="248"/>
      <c r="H654" s="248"/>
      <c r="I654" s="249"/>
      <c r="J654" s="248"/>
      <c r="K654" s="248"/>
      <c r="L654" s="250"/>
      <c r="M654" s="250"/>
      <c r="N654" s="250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</row>
    <row r="655" ht="15.75" customHeight="1">
      <c r="A655" s="248"/>
      <c r="B655" s="248"/>
      <c r="C655" s="250"/>
      <c r="D655" s="248"/>
      <c r="E655" s="248"/>
      <c r="F655" s="248"/>
      <c r="G655" s="248"/>
      <c r="H655" s="248"/>
      <c r="I655" s="249"/>
      <c r="J655" s="248"/>
      <c r="K655" s="248"/>
      <c r="L655" s="250"/>
      <c r="M655" s="250"/>
      <c r="N655" s="250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</row>
    <row r="656" ht="15.75" customHeight="1">
      <c r="A656" s="248"/>
      <c r="B656" s="248"/>
      <c r="C656" s="250"/>
      <c r="D656" s="248"/>
      <c r="E656" s="248"/>
      <c r="F656" s="248"/>
      <c r="G656" s="248"/>
      <c r="H656" s="248"/>
      <c r="I656" s="249"/>
      <c r="J656" s="248"/>
      <c r="K656" s="248"/>
      <c r="L656" s="250"/>
      <c r="M656" s="250"/>
      <c r="N656" s="250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</row>
    <row r="657" ht="15.75" customHeight="1">
      <c r="A657" s="248"/>
      <c r="B657" s="248"/>
      <c r="C657" s="250"/>
      <c r="D657" s="248"/>
      <c r="E657" s="248"/>
      <c r="F657" s="248"/>
      <c r="G657" s="248"/>
      <c r="H657" s="248"/>
      <c r="I657" s="249"/>
      <c r="J657" s="248"/>
      <c r="K657" s="248"/>
      <c r="L657" s="250"/>
      <c r="M657" s="250"/>
      <c r="N657" s="250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</row>
    <row r="658" ht="15.75" customHeight="1">
      <c r="A658" s="248"/>
      <c r="B658" s="248"/>
      <c r="C658" s="250"/>
      <c r="D658" s="248"/>
      <c r="E658" s="248"/>
      <c r="F658" s="248"/>
      <c r="G658" s="248"/>
      <c r="H658" s="248"/>
      <c r="I658" s="249"/>
      <c r="J658" s="248"/>
      <c r="K658" s="248"/>
      <c r="L658" s="250"/>
      <c r="M658" s="250"/>
      <c r="N658" s="250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</row>
    <row r="659" ht="15.75" customHeight="1">
      <c r="A659" s="248"/>
      <c r="B659" s="248"/>
      <c r="C659" s="250"/>
      <c r="D659" s="248"/>
      <c r="E659" s="248"/>
      <c r="F659" s="248"/>
      <c r="G659" s="248"/>
      <c r="H659" s="248"/>
      <c r="I659" s="249"/>
      <c r="J659" s="248"/>
      <c r="K659" s="248"/>
      <c r="L659" s="250"/>
      <c r="M659" s="250"/>
      <c r="N659" s="250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</row>
    <row r="660" ht="15.75" customHeight="1">
      <c r="A660" s="248"/>
      <c r="B660" s="248"/>
      <c r="C660" s="250"/>
      <c r="D660" s="248"/>
      <c r="E660" s="248"/>
      <c r="F660" s="248"/>
      <c r="G660" s="248"/>
      <c r="H660" s="248"/>
      <c r="I660" s="249"/>
      <c r="J660" s="248"/>
      <c r="K660" s="248"/>
      <c r="L660" s="250"/>
      <c r="M660" s="250"/>
      <c r="N660" s="250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</row>
    <row r="661" ht="15.75" customHeight="1">
      <c r="A661" s="248"/>
      <c r="B661" s="248"/>
      <c r="C661" s="250"/>
      <c r="D661" s="248"/>
      <c r="E661" s="248"/>
      <c r="F661" s="248"/>
      <c r="G661" s="248"/>
      <c r="H661" s="248"/>
      <c r="I661" s="249"/>
      <c r="J661" s="248"/>
      <c r="K661" s="248"/>
      <c r="L661" s="250"/>
      <c r="M661" s="250"/>
      <c r="N661" s="250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</row>
    <row r="662" ht="15.75" customHeight="1">
      <c r="A662" s="248"/>
      <c r="B662" s="248"/>
      <c r="C662" s="250"/>
      <c r="D662" s="248"/>
      <c r="E662" s="248"/>
      <c r="F662" s="248"/>
      <c r="G662" s="248"/>
      <c r="H662" s="248"/>
      <c r="I662" s="249"/>
      <c r="J662" s="248"/>
      <c r="K662" s="248"/>
      <c r="L662" s="250"/>
      <c r="M662" s="250"/>
      <c r="N662" s="250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</row>
    <row r="663" ht="15.75" customHeight="1">
      <c r="A663" s="248"/>
      <c r="B663" s="248"/>
      <c r="C663" s="250"/>
      <c r="D663" s="248"/>
      <c r="E663" s="248"/>
      <c r="F663" s="248"/>
      <c r="G663" s="248"/>
      <c r="H663" s="248"/>
      <c r="I663" s="249"/>
      <c r="J663" s="248"/>
      <c r="K663" s="248"/>
      <c r="L663" s="250"/>
      <c r="M663" s="250"/>
      <c r="N663" s="250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</row>
    <row r="664" ht="15.75" customHeight="1">
      <c r="A664" s="248"/>
      <c r="B664" s="248"/>
      <c r="C664" s="250"/>
      <c r="D664" s="248"/>
      <c r="E664" s="248"/>
      <c r="F664" s="248"/>
      <c r="G664" s="248"/>
      <c r="H664" s="248"/>
      <c r="I664" s="249"/>
      <c r="J664" s="248"/>
      <c r="K664" s="248"/>
      <c r="L664" s="250"/>
      <c r="M664" s="250"/>
      <c r="N664" s="250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</row>
    <row r="665" ht="15.75" customHeight="1">
      <c r="A665" s="248"/>
      <c r="B665" s="248"/>
      <c r="C665" s="250"/>
      <c r="D665" s="248"/>
      <c r="E665" s="248"/>
      <c r="F665" s="248"/>
      <c r="G665" s="248"/>
      <c r="H665" s="248"/>
      <c r="I665" s="249"/>
      <c r="J665" s="248"/>
      <c r="K665" s="248"/>
      <c r="L665" s="250"/>
      <c r="M665" s="250"/>
      <c r="N665" s="250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</row>
    <row r="666" ht="15.75" customHeight="1">
      <c r="A666" s="248"/>
      <c r="B666" s="248"/>
      <c r="C666" s="250"/>
      <c r="D666" s="248"/>
      <c r="E666" s="248"/>
      <c r="F666" s="248"/>
      <c r="G666" s="248"/>
      <c r="H666" s="248"/>
      <c r="I666" s="249"/>
      <c r="J666" s="248"/>
      <c r="K666" s="248"/>
      <c r="L666" s="250"/>
      <c r="M666" s="250"/>
      <c r="N666" s="250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</row>
    <row r="667" ht="15.75" customHeight="1">
      <c r="A667" s="248"/>
      <c r="B667" s="248"/>
      <c r="C667" s="250"/>
      <c r="D667" s="248"/>
      <c r="E667" s="248"/>
      <c r="F667" s="248"/>
      <c r="G667" s="248"/>
      <c r="H667" s="248"/>
      <c r="I667" s="249"/>
      <c r="J667" s="248"/>
      <c r="K667" s="248"/>
      <c r="L667" s="250"/>
      <c r="M667" s="250"/>
      <c r="N667" s="250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</row>
    <row r="668" ht="15.75" customHeight="1">
      <c r="A668" s="248"/>
      <c r="B668" s="248"/>
      <c r="C668" s="250"/>
      <c r="D668" s="248"/>
      <c r="E668" s="248"/>
      <c r="F668" s="248"/>
      <c r="G668" s="248"/>
      <c r="H668" s="248"/>
      <c r="I668" s="249"/>
      <c r="J668" s="248"/>
      <c r="K668" s="248"/>
      <c r="L668" s="250"/>
      <c r="M668" s="250"/>
      <c r="N668" s="250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</row>
    <row r="669" ht="15.75" customHeight="1">
      <c r="A669" s="248"/>
      <c r="B669" s="248"/>
      <c r="C669" s="250"/>
      <c r="D669" s="248"/>
      <c r="E669" s="248"/>
      <c r="F669" s="248"/>
      <c r="G669" s="248"/>
      <c r="H669" s="248"/>
      <c r="I669" s="249"/>
      <c r="J669" s="248"/>
      <c r="K669" s="248"/>
      <c r="L669" s="250"/>
      <c r="M669" s="250"/>
      <c r="N669" s="250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</row>
    <row r="670" ht="15.75" customHeight="1">
      <c r="A670" s="248"/>
      <c r="B670" s="248"/>
      <c r="C670" s="250"/>
      <c r="D670" s="248"/>
      <c r="E670" s="248"/>
      <c r="F670" s="248"/>
      <c r="G670" s="248"/>
      <c r="H670" s="248"/>
      <c r="I670" s="249"/>
      <c r="J670" s="248"/>
      <c r="K670" s="248"/>
      <c r="L670" s="250"/>
      <c r="M670" s="250"/>
      <c r="N670" s="250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</row>
    <row r="671" ht="15.75" customHeight="1">
      <c r="A671" s="248"/>
      <c r="B671" s="248"/>
      <c r="C671" s="250"/>
      <c r="D671" s="248"/>
      <c r="E671" s="248"/>
      <c r="F671" s="248"/>
      <c r="G671" s="248"/>
      <c r="H671" s="248"/>
      <c r="I671" s="249"/>
      <c r="J671" s="248"/>
      <c r="K671" s="248"/>
      <c r="L671" s="250"/>
      <c r="M671" s="250"/>
      <c r="N671" s="250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</row>
    <row r="672" ht="15.75" customHeight="1">
      <c r="A672" s="248"/>
      <c r="B672" s="248"/>
      <c r="C672" s="250"/>
      <c r="D672" s="248"/>
      <c r="E672" s="248"/>
      <c r="F672" s="248"/>
      <c r="G672" s="248"/>
      <c r="H672" s="248"/>
      <c r="I672" s="249"/>
      <c r="J672" s="248"/>
      <c r="K672" s="248"/>
      <c r="L672" s="250"/>
      <c r="M672" s="250"/>
      <c r="N672" s="250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</row>
    <row r="673" ht="15.75" customHeight="1">
      <c r="A673" s="248"/>
      <c r="B673" s="248"/>
      <c r="C673" s="250"/>
      <c r="D673" s="248"/>
      <c r="E673" s="248"/>
      <c r="F673" s="248"/>
      <c r="G673" s="248"/>
      <c r="H673" s="248"/>
      <c r="I673" s="249"/>
      <c r="J673" s="248"/>
      <c r="K673" s="248"/>
      <c r="L673" s="250"/>
      <c r="M673" s="250"/>
      <c r="N673" s="250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</row>
    <row r="674" ht="15.75" customHeight="1">
      <c r="A674" s="248"/>
      <c r="B674" s="248"/>
      <c r="C674" s="250"/>
      <c r="D674" s="248"/>
      <c r="E674" s="248"/>
      <c r="F674" s="248"/>
      <c r="G674" s="248"/>
      <c r="H674" s="248"/>
      <c r="I674" s="249"/>
      <c r="J674" s="248"/>
      <c r="K674" s="248"/>
      <c r="L674" s="250"/>
      <c r="M674" s="250"/>
      <c r="N674" s="250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</row>
    <row r="675" ht="15.75" customHeight="1">
      <c r="A675" s="248"/>
      <c r="B675" s="248"/>
      <c r="C675" s="250"/>
      <c r="D675" s="248"/>
      <c r="E675" s="248"/>
      <c r="F675" s="248"/>
      <c r="G675" s="248"/>
      <c r="H675" s="248"/>
      <c r="I675" s="249"/>
      <c r="J675" s="248"/>
      <c r="K675" s="248"/>
      <c r="L675" s="250"/>
      <c r="M675" s="250"/>
      <c r="N675" s="250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</row>
    <row r="676" ht="15.75" customHeight="1">
      <c r="A676" s="248"/>
      <c r="B676" s="248"/>
      <c r="C676" s="250"/>
      <c r="D676" s="248"/>
      <c r="E676" s="248"/>
      <c r="F676" s="248"/>
      <c r="G676" s="248"/>
      <c r="H676" s="248"/>
      <c r="I676" s="249"/>
      <c r="J676" s="248"/>
      <c r="K676" s="248"/>
      <c r="L676" s="250"/>
      <c r="M676" s="250"/>
      <c r="N676" s="250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</row>
    <row r="677" ht="15.75" customHeight="1">
      <c r="A677" s="248"/>
      <c r="B677" s="248"/>
      <c r="C677" s="250"/>
      <c r="D677" s="248"/>
      <c r="E677" s="248"/>
      <c r="F677" s="248"/>
      <c r="G677" s="248"/>
      <c r="H677" s="248"/>
      <c r="I677" s="249"/>
      <c r="J677" s="248"/>
      <c r="K677" s="248"/>
      <c r="L677" s="250"/>
      <c r="M677" s="250"/>
      <c r="N677" s="250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</row>
    <row r="678" ht="15.75" customHeight="1">
      <c r="A678" s="248"/>
      <c r="B678" s="248"/>
      <c r="C678" s="250"/>
      <c r="D678" s="248"/>
      <c r="E678" s="248"/>
      <c r="F678" s="248"/>
      <c r="G678" s="248"/>
      <c r="H678" s="248"/>
      <c r="I678" s="249"/>
      <c r="J678" s="248"/>
      <c r="K678" s="248"/>
      <c r="L678" s="250"/>
      <c r="M678" s="250"/>
      <c r="N678" s="250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</row>
    <row r="679" ht="15.75" customHeight="1">
      <c r="A679" s="248"/>
      <c r="B679" s="248"/>
      <c r="C679" s="250"/>
      <c r="D679" s="248"/>
      <c r="E679" s="248"/>
      <c r="F679" s="248"/>
      <c r="G679" s="248"/>
      <c r="H679" s="248"/>
      <c r="I679" s="249"/>
      <c r="J679" s="248"/>
      <c r="K679" s="248"/>
      <c r="L679" s="250"/>
      <c r="M679" s="250"/>
      <c r="N679" s="250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</row>
    <row r="680" ht="15.75" customHeight="1">
      <c r="A680" s="248"/>
      <c r="B680" s="248"/>
      <c r="C680" s="250"/>
      <c r="D680" s="248"/>
      <c r="E680" s="248"/>
      <c r="F680" s="248"/>
      <c r="G680" s="248"/>
      <c r="H680" s="248"/>
      <c r="I680" s="249"/>
      <c r="J680" s="248"/>
      <c r="K680" s="248"/>
      <c r="L680" s="250"/>
      <c r="M680" s="250"/>
      <c r="N680" s="250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</row>
    <row r="681" ht="15.75" customHeight="1">
      <c r="A681" s="248"/>
      <c r="B681" s="248"/>
      <c r="C681" s="250"/>
      <c r="D681" s="248"/>
      <c r="E681" s="248"/>
      <c r="F681" s="248"/>
      <c r="G681" s="248"/>
      <c r="H681" s="248"/>
      <c r="I681" s="249"/>
      <c r="J681" s="248"/>
      <c r="K681" s="248"/>
      <c r="L681" s="250"/>
      <c r="M681" s="250"/>
      <c r="N681" s="250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</row>
    <row r="682" ht="15.75" customHeight="1">
      <c r="A682" s="248"/>
      <c r="B682" s="248"/>
      <c r="C682" s="250"/>
      <c r="D682" s="248"/>
      <c r="E682" s="248"/>
      <c r="F682" s="248"/>
      <c r="G682" s="248"/>
      <c r="H682" s="248"/>
      <c r="I682" s="249"/>
      <c r="J682" s="248"/>
      <c r="K682" s="248"/>
      <c r="L682" s="250"/>
      <c r="M682" s="250"/>
      <c r="N682" s="250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</row>
    <row r="683" ht="15.75" customHeight="1">
      <c r="A683" s="248"/>
      <c r="B683" s="248"/>
      <c r="C683" s="250"/>
      <c r="D683" s="248"/>
      <c r="E683" s="248"/>
      <c r="F683" s="248"/>
      <c r="G683" s="248"/>
      <c r="H683" s="248"/>
      <c r="I683" s="249"/>
      <c r="J683" s="248"/>
      <c r="K683" s="248"/>
      <c r="L683" s="250"/>
      <c r="M683" s="250"/>
      <c r="N683" s="250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</row>
    <row r="684" ht="15.75" customHeight="1">
      <c r="A684" s="248"/>
      <c r="B684" s="248"/>
      <c r="C684" s="250"/>
      <c r="D684" s="248"/>
      <c r="E684" s="248"/>
      <c r="F684" s="248"/>
      <c r="G684" s="248"/>
      <c r="H684" s="248"/>
      <c r="I684" s="249"/>
      <c r="J684" s="248"/>
      <c r="K684" s="248"/>
      <c r="L684" s="250"/>
      <c r="M684" s="250"/>
      <c r="N684" s="250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</row>
    <row r="685" ht="15.75" customHeight="1">
      <c r="A685" s="248"/>
      <c r="B685" s="248"/>
      <c r="C685" s="250"/>
      <c r="D685" s="248"/>
      <c r="E685" s="248"/>
      <c r="F685" s="248"/>
      <c r="G685" s="248"/>
      <c r="H685" s="248"/>
      <c r="I685" s="249"/>
      <c r="J685" s="248"/>
      <c r="K685" s="248"/>
      <c r="L685" s="250"/>
      <c r="M685" s="250"/>
      <c r="N685" s="250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</row>
    <row r="686" ht="15.75" customHeight="1">
      <c r="A686" s="248"/>
      <c r="B686" s="248"/>
      <c r="C686" s="250"/>
      <c r="D686" s="248"/>
      <c r="E686" s="248"/>
      <c r="F686" s="248"/>
      <c r="G686" s="248"/>
      <c r="H686" s="248"/>
      <c r="I686" s="249"/>
      <c r="J686" s="248"/>
      <c r="K686" s="248"/>
      <c r="L686" s="250"/>
      <c r="M686" s="250"/>
      <c r="N686" s="250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</row>
    <row r="687" ht="15.75" customHeight="1">
      <c r="A687" s="248"/>
      <c r="B687" s="248"/>
      <c r="C687" s="250"/>
      <c r="D687" s="248"/>
      <c r="E687" s="248"/>
      <c r="F687" s="248"/>
      <c r="G687" s="248"/>
      <c r="H687" s="248"/>
      <c r="I687" s="249"/>
      <c r="J687" s="248"/>
      <c r="K687" s="248"/>
      <c r="L687" s="250"/>
      <c r="M687" s="250"/>
      <c r="N687" s="250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</row>
    <row r="688" ht="15.75" customHeight="1">
      <c r="A688" s="248"/>
      <c r="B688" s="248"/>
      <c r="C688" s="250"/>
      <c r="D688" s="248"/>
      <c r="E688" s="248"/>
      <c r="F688" s="248"/>
      <c r="G688" s="248"/>
      <c r="H688" s="248"/>
      <c r="I688" s="249"/>
      <c r="J688" s="248"/>
      <c r="K688" s="248"/>
      <c r="L688" s="250"/>
      <c r="M688" s="250"/>
      <c r="N688" s="250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</row>
    <row r="689" ht="15.75" customHeight="1">
      <c r="A689" s="248"/>
      <c r="B689" s="248"/>
      <c r="C689" s="250"/>
      <c r="D689" s="248"/>
      <c r="E689" s="248"/>
      <c r="F689" s="248"/>
      <c r="G689" s="248"/>
      <c r="H689" s="248"/>
      <c r="I689" s="249"/>
      <c r="J689" s="248"/>
      <c r="K689" s="248"/>
      <c r="L689" s="250"/>
      <c r="M689" s="250"/>
      <c r="N689" s="250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</row>
    <row r="690" ht="15.75" customHeight="1">
      <c r="A690" s="248"/>
      <c r="B690" s="248"/>
      <c r="C690" s="250"/>
      <c r="D690" s="248"/>
      <c r="E690" s="248"/>
      <c r="F690" s="248"/>
      <c r="G690" s="248"/>
      <c r="H690" s="248"/>
      <c r="I690" s="249"/>
      <c r="J690" s="248"/>
      <c r="K690" s="248"/>
      <c r="L690" s="250"/>
      <c r="M690" s="250"/>
      <c r="N690" s="250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</row>
    <row r="691" ht="15.75" customHeight="1">
      <c r="A691" s="248"/>
      <c r="B691" s="248"/>
      <c r="C691" s="250"/>
      <c r="D691" s="248"/>
      <c r="E691" s="248"/>
      <c r="F691" s="248"/>
      <c r="G691" s="248"/>
      <c r="H691" s="248"/>
      <c r="I691" s="249"/>
      <c r="J691" s="248"/>
      <c r="K691" s="248"/>
      <c r="L691" s="250"/>
      <c r="M691" s="250"/>
      <c r="N691" s="250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</row>
    <row r="692" ht="15.75" customHeight="1">
      <c r="A692" s="248"/>
      <c r="B692" s="248"/>
      <c r="C692" s="250"/>
      <c r="D692" s="248"/>
      <c r="E692" s="248"/>
      <c r="F692" s="248"/>
      <c r="G692" s="248"/>
      <c r="H692" s="248"/>
      <c r="I692" s="249"/>
      <c r="J692" s="248"/>
      <c r="K692" s="248"/>
      <c r="L692" s="250"/>
      <c r="M692" s="250"/>
      <c r="N692" s="250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</row>
    <row r="693" ht="15.75" customHeight="1">
      <c r="A693" s="248"/>
      <c r="B693" s="248"/>
      <c r="C693" s="250"/>
      <c r="D693" s="248"/>
      <c r="E693" s="248"/>
      <c r="F693" s="248"/>
      <c r="G693" s="248"/>
      <c r="H693" s="248"/>
      <c r="I693" s="249"/>
      <c r="J693" s="248"/>
      <c r="K693" s="248"/>
      <c r="L693" s="250"/>
      <c r="M693" s="250"/>
      <c r="N693" s="250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</row>
    <row r="694" ht="15.75" customHeight="1">
      <c r="A694" s="248"/>
      <c r="B694" s="248"/>
      <c r="C694" s="250"/>
      <c r="D694" s="248"/>
      <c r="E694" s="248"/>
      <c r="F694" s="248"/>
      <c r="G694" s="248"/>
      <c r="H694" s="248"/>
      <c r="I694" s="249"/>
      <c r="J694" s="248"/>
      <c r="K694" s="248"/>
      <c r="L694" s="250"/>
      <c r="M694" s="250"/>
      <c r="N694" s="250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</row>
    <row r="695" ht="15.75" customHeight="1">
      <c r="A695" s="248"/>
      <c r="B695" s="248"/>
      <c r="C695" s="250"/>
      <c r="D695" s="248"/>
      <c r="E695" s="248"/>
      <c r="F695" s="248"/>
      <c r="G695" s="248"/>
      <c r="H695" s="248"/>
      <c r="I695" s="249"/>
      <c r="J695" s="248"/>
      <c r="K695" s="248"/>
      <c r="L695" s="250"/>
      <c r="M695" s="250"/>
      <c r="N695" s="250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</row>
    <row r="696" ht="15.75" customHeight="1">
      <c r="A696" s="248"/>
      <c r="B696" s="248"/>
      <c r="C696" s="250"/>
      <c r="D696" s="248"/>
      <c r="E696" s="248"/>
      <c r="F696" s="248"/>
      <c r="G696" s="248"/>
      <c r="H696" s="248"/>
      <c r="I696" s="249"/>
      <c r="J696" s="248"/>
      <c r="K696" s="248"/>
      <c r="L696" s="250"/>
      <c r="M696" s="250"/>
      <c r="N696" s="250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</row>
    <row r="697" ht="15.75" customHeight="1">
      <c r="A697" s="248"/>
      <c r="B697" s="248"/>
      <c r="C697" s="250"/>
      <c r="D697" s="248"/>
      <c r="E697" s="248"/>
      <c r="F697" s="248"/>
      <c r="G697" s="248"/>
      <c r="H697" s="248"/>
      <c r="I697" s="249"/>
      <c r="J697" s="248"/>
      <c r="K697" s="248"/>
      <c r="L697" s="250"/>
      <c r="M697" s="250"/>
      <c r="N697" s="250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</row>
    <row r="698" ht="15.75" customHeight="1">
      <c r="A698" s="248"/>
      <c r="B698" s="248"/>
      <c r="C698" s="250"/>
      <c r="D698" s="248"/>
      <c r="E698" s="248"/>
      <c r="F698" s="248"/>
      <c r="G698" s="248"/>
      <c r="H698" s="248"/>
      <c r="I698" s="249"/>
      <c r="J698" s="248"/>
      <c r="K698" s="248"/>
      <c r="L698" s="250"/>
      <c r="M698" s="250"/>
      <c r="N698" s="250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</row>
    <row r="699" ht="15.75" customHeight="1">
      <c r="A699" s="248"/>
      <c r="B699" s="248"/>
      <c r="C699" s="250"/>
      <c r="D699" s="248"/>
      <c r="E699" s="248"/>
      <c r="F699" s="248"/>
      <c r="G699" s="248"/>
      <c r="H699" s="248"/>
      <c r="I699" s="249"/>
      <c r="J699" s="248"/>
      <c r="K699" s="248"/>
      <c r="L699" s="250"/>
      <c r="M699" s="250"/>
      <c r="N699" s="250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</row>
    <row r="700" ht="15.75" customHeight="1">
      <c r="A700" s="248"/>
      <c r="B700" s="248"/>
      <c r="C700" s="250"/>
      <c r="D700" s="248"/>
      <c r="E700" s="248"/>
      <c r="F700" s="248"/>
      <c r="G700" s="248"/>
      <c r="H700" s="248"/>
      <c r="I700" s="249"/>
      <c r="J700" s="248"/>
      <c r="K700" s="248"/>
      <c r="L700" s="250"/>
      <c r="M700" s="250"/>
      <c r="N700" s="250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</row>
    <row r="701" ht="15.75" customHeight="1">
      <c r="A701" s="248"/>
      <c r="B701" s="248"/>
      <c r="C701" s="250"/>
      <c r="D701" s="248"/>
      <c r="E701" s="248"/>
      <c r="F701" s="248"/>
      <c r="G701" s="248"/>
      <c r="H701" s="248"/>
      <c r="I701" s="249"/>
      <c r="J701" s="248"/>
      <c r="K701" s="248"/>
      <c r="L701" s="250"/>
      <c r="M701" s="250"/>
      <c r="N701" s="250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</row>
    <row r="702" ht="15.75" customHeight="1">
      <c r="A702" s="248"/>
      <c r="B702" s="248"/>
      <c r="C702" s="250"/>
      <c r="D702" s="248"/>
      <c r="E702" s="248"/>
      <c r="F702" s="248"/>
      <c r="G702" s="248"/>
      <c r="H702" s="248"/>
      <c r="I702" s="249"/>
      <c r="J702" s="248"/>
      <c r="K702" s="248"/>
      <c r="L702" s="250"/>
      <c r="M702" s="250"/>
      <c r="N702" s="250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</row>
    <row r="703" ht="15.75" customHeight="1">
      <c r="A703" s="248"/>
      <c r="B703" s="248"/>
      <c r="C703" s="250"/>
      <c r="D703" s="248"/>
      <c r="E703" s="248"/>
      <c r="F703" s="248"/>
      <c r="G703" s="248"/>
      <c r="H703" s="248"/>
      <c r="I703" s="249"/>
      <c r="J703" s="248"/>
      <c r="K703" s="248"/>
      <c r="L703" s="250"/>
      <c r="M703" s="250"/>
      <c r="N703" s="250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</row>
    <row r="704" ht="15.75" customHeight="1">
      <c r="A704" s="248"/>
      <c r="B704" s="248"/>
      <c r="C704" s="250"/>
      <c r="D704" s="248"/>
      <c r="E704" s="248"/>
      <c r="F704" s="248"/>
      <c r="G704" s="248"/>
      <c r="H704" s="248"/>
      <c r="I704" s="249"/>
      <c r="J704" s="248"/>
      <c r="K704" s="248"/>
      <c r="L704" s="250"/>
      <c r="M704" s="250"/>
      <c r="N704" s="250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</row>
    <row r="705" ht="15.75" customHeight="1">
      <c r="A705" s="248"/>
      <c r="B705" s="248"/>
      <c r="C705" s="250"/>
      <c r="D705" s="248"/>
      <c r="E705" s="248"/>
      <c r="F705" s="248"/>
      <c r="G705" s="248"/>
      <c r="H705" s="248"/>
      <c r="I705" s="249"/>
      <c r="J705" s="248"/>
      <c r="K705" s="248"/>
      <c r="L705" s="250"/>
      <c r="M705" s="250"/>
      <c r="N705" s="250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</row>
    <row r="706" ht="15.75" customHeight="1">
      <c r="A706" s="248"/>
      <c r="B706" s="248"/>
      <c r="C706" s="250"/>
      <c r="D706" s="248"/>
      <c r="E706" s="248"/>
      <c r="F706" s="248"/>
      <c r="G706" s="248"/>
      <c r="H706" s="248"/>
      <c r="I706" s="249"/>
      <c r="J706" s="248"/>
      <c r="K706" s="248"/>
      <c r="L706" s="250"/>
      <c r="M706" s="250"/>
      <c r="N706" s="250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</row>
    <row r="707" ht="15.75" customHeight="1">
      <c r="A707" s="248"/>
      <c r="B707" s="248"/>
      <c r="C707" s="250"/>
      <c r="D707" s="248"/>
      <c r="E707" s="248"/>
      <c r="F707" s="248"/>
      <c r="G707" s="248"/>
      <c r="H707" s="248"/>
      <c r="I707" s="249"/>
      <c r="J707" s="248"/>
      <c r="K707" s="248"/>
      <c r="L707" s="250"/>
      <c r="M707" s="250"/>
      <c r="N707" s="250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</row>
    <row r="708" ht="15.75" customHeight="1">
      <c r="A708" s="248"/>
      <c r="B708" s="248"/>
      <c r="C708" s="250"/>
      <c r="D708" s="248"/>
      <c r="E708" s="248"/>
      <c r="F708" s="248"/>
      <c r="G708" s="248"/>
      <c r="H708" s="248"/>
      <c r="I708" s="249"/>
      <c r="J708" s="248"/>
      <c r="K708" s="248"/>
      <c r="L708" s="250"/>
      <c r="M708" s="250"/>
      <c r="N708" s="250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</row>
    <row r="709" ht="15.75" customHeight="1">
      <c r="A709" s="248"/>
      <c r="B709" s="248"/>
      <c r="C709" s="250"/>
      <c r="D709" s="248"/>
      <c r="E709" s="248"/>
      <c r="F709" s="248"/>
      <c r="G709" s="248"/>
      <c r="H709" s="248"/>
      <c r="I709" s="249"/>
      <c r="J709" s="248"/>
      <c r="K709" s="248"/>
      <c r="L709" s="250"/>
      <c r="M709" s="250"/>
      <c r="N709" s="250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</row>
    <row r="710" ht="15.75" customHeight="1">
      <c r="A710" s="248"/>
      <c r="B710" s="248"/>
      <c r="C710" s="250"/>
      <c r="D710" s="248"/>
      <c r="E710" s="248"/>
      <c r="F710" s="248"/>
      <c r="G710" s="248"/>
      <c r="H710" s="248"/>
      <c r="I710" s="249"/>
      <c r="J710" s="248"/>
      <c r="K710" s="248"/>
      <c r="L710" s="250"/>
      <c r="M710" s="250"/>
      <c r="N710" s="250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</row>
    <row r="711" ht="15.75" customHeight="1">
      <c r="A711" s="248"/>
      <c r="B711" s="248"/>
      <c r="C711" s="250"/>
      <c r="D711" s="248"/>
      <c r="E711" s="248"/>
      <c r="F711" s="248"/>
      <c r="G711" s="248"/>
      <c r="H711" s="248"/>
      <c r="I711" s="249"/>
      <c r="J711" s="248"/>
      <c r="K711" s="248"/>
      <c r="L711" s="250"/>
      <c r="M711" s="250"/>
      <c r="N711" s="250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</row>
    <row r="712" ht="15.75" customHeight="1">
      <c r="A712" s="248"/>
      <c r="B712" s="248"/>
      <c r="C712" s="250"/>
      <c r="D712" s="248"/>
      <c r="E712" s="248"/>
      <c r="F712" s="248"/>
      <c r="G712" s="248"/>
      <c r="H712" s="248"/>
      <c r="I712" s="249"/>
      <c r="J712" s="248"/>
      <c r="K712" s="248"/>
      <c r="L712" s="250"/>
      <c r="M712" s="250"/>
      <c r="N712" s="250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</row>
    <row r="713" ht="15.75" customHeight="1">
      <c r="A713" s="248"/>
      <c r="B713" s="248"/>
      <c r="C713" s="250"/>
      <c r="D713" s="248"/>
      <c r="E713" s="248"/>
      <c r="F713" s="248"/>
      <c r="G713" s="248"/>
      <c r="H713" s="248"/>
      <c r="I713" s="249"/>
      <c r="J713" s="248"/>
      <c r="K713" s="248"/>
      <c r="L713" s="250"/>
      <c r="M713" s="250"/>
      <c r="N713" s="250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</row>
    <row r="714" ht="15.75" customHeight="1">
      <c r="A714" s="248"/>
      <c r="B714" s="248"/>
      <c r="C714" s="250"/>
      <c r="D714" s="248"/>
      <c r="E714" s="248"/>
      <c r="F714" s="248"/>
      <c r="G714" s="248"/>
      <c r="H714" s="248"/>
      <c r="I714" s="249"/>
      <c r="J714" s="248"/>
      <c r="K714" s="248"/>
      <c r="L714" s="250"/>
      <c r="M714" s="250"/>
      <c r="N714" s="250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</row>
    <row r="715" ht="15.75" customHeight="1">
      <c r="A715" s="248"/>
      <c r="B715" s="248"/>
      <c r="C715" s="250"/>
      <c r="D715" s="248"/>
      <c r="E715" s="248"/>
      <c r="F715" s="248"/>
      <c r="G715" s="248"/>
      <c r="H715" s="248"/>
      <c r="I715" s="249"/>
      <c r="J715" s="248"/>
      <c r="K715" s="248"/>
      <c r="L715" s="250"/>
      <c r="M715" s="250"/>
      <c r="N715" s="250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</row>
    <row r="716" ht="15.75" customHeight="1">
      <c r="A716" s="248"/>
      <c r="B716" s="248"/>
      <c r="C716" s="250"/>
      <c r="D716" s="248"/>
      <c r="E716" s="248"/>
      <c r="F716" s="248"/>
      <c r="G716" s="248"/>
      <c r="H716" s="248"/>
      <c r="I716" s="249"/>
      <c r="J716" s="248"/>
      <c r="K716" s="248"/>
      <c r="L716" s="250"/>
      <c r="M716" s="250"/>
      <c r="N716" s="250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</row>
    <row r="717" ht="15.75" customHeight="1">
      <c r="A717" s="248"/>
      <c r="B717" s="248"/>
      <c r="C717" s="250"/>
      <c r="D717" s="248"/>
      <c r="E717" s="248"/>
      <c r="F717" s="248"/>
      <c r="G717" s="248"/>
      <c r="H717" s="248"/>
      <c r="I717" s="249"/>
      <c r="J717" s="248"/>
      <c r="K717" s="248"/>
      <c r="L717" s="250"/>
      <c r="M717" s="250"/>
      <c r="N717" s="250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</row>
    <row r="718" ht="15.75" customHeight="1">
      <c r="A718" s="248"/>
      <c r="B718" s="248"/>
      <c r="C718" s="250"/>
      <c r="D718" s="248"/>
      <c r="E718" s="248"/>
      <c r="F718" s="248"/>
      <c r="G718" s="248"/>
      <c r="H718" s="248"/>
      <c r="I718" s="249"/>
      <c r="J718" s="248"/>
      <c r="K718" s="248"/>
      <c r="L718" s="250"/>
      <c r="M718" s="250"/>
      <c r="N718" s="250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</row>
    <row r="719" ht="15.75" customHeight="1">
      <c r="A719" s="248"/>
      <c r="B719" s="248"/>
      <c r="C719" s="250"/>
      <c r="D719" s="248"/>
      <c r="E719" s="248"/>
      <c r="F719" s="248"/>
      <c r="G719" s="248"/>
      <c r="H719" s="248"/>
      <c r="I719" s="249"/>
      <c r="J719" s="248"/>
      <c r="K719" s="248"/>
      <c r="L719" s="250"/>
      <c r="M719" s="250"/>
      <c r="N719" s="250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</row>
    <row r="720" ht="15.75" customHeight="1">
      <c r="A720" s="248"/>
      <c r="B720" s="248"/>
      <c r="C720" s="250"/>
      <c r="D720" s="248"/>
      <c r="E720" s="248"/>
      <c r="F720" s="248"/>
      <c r="G720" s="248"/>
      <c r="H720" s="248"/>
      <c r="I720" s="249"/>
      <c r="J720" s="248"/>
      <c r="K720" s="248"/>
      <c r="L720" s="250"/>
      <c r="M720" s="250"/>
      <c r="N720" s="250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</row>
    <row r="721" ht="15.75" customHeight="1">
      <c r="A721" s="248"/>
      <c r="B721" s="248"/>
      <c r="C721" s="250"/>
      <c r="D721" s="248"/>
      <c r="E721" s="248"/>
      <c r="F721" s="248"/>
      <c r="G721" s="248"/>
      <c r="H721" s="248"/>
      <c r="I721" s="249"/>
      <c r="J721" s="248"/>
      <c r="K721" s="248"/>
      <c r="L721" s="250"/>
      <c r="M721" s="250"/>
      <c r="N721" s="250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</row>
    <row r="722" ht="15.75" customHeight="1">
      <c r="A722" s="248"/>
      <c r="B722" s="248"/>
      <c r="C722" s="250"/>
      <c r="D722" s="248"/>
      <c r="E722" s="248"/>
      <c r="F722" s="248"/>
      <c r="G722" s="248"/>
      <c r="H722" s="248"/>
      <c r="I722" s="249"/>
      <c r="J722" s="248"/>
      <c r="K722" s="248"/>
      <c r="L722" s="250"/>
      <c r="M722" s="250"/>
      <c r="N722" s="250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</row>
    <row r="723" ht="15.75" customHeight="1">
      <c r="A723" s="248"/>
      <c r="B723" s="248"/>
      <c r="C723" s="250"/>
      <c r="D723" s="248"/>
      <c r="E723" s="248"/>
      <c r="F723" s="248"/>
      <c r="G723" s="248"/>
      <c r="H723" s="248"/>
      <c r="I723" s="249"/>
      <c r="J723" s="248"/>
      <c r="K723" s="248"/>
      <c r="L723" s="250"/>
      <c r="M723" s="250"/>
      <c r="N723" s="250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</row>
    <row r="724" ht="15.75" customHeight="1">
      <c r="A724" s="248"/>
      <c r="B724" s="248"/>
      <c r="C724" s="250"/>
      <c r="D724" s="248"/>
      <c r="E724" s="248"/>
      <c r="F724" s="248"/>
      <c r="G724" s="248"/>
      <c r="H724" s="248"/>
      <c r="I724" s="249"/>
      <c r="J724" s="248"/>
      <c r="K724" s="248"/>
      <c r="L724" s="250"/>
      <c r="M724" s="250"/>
      <c r="N724" s="250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</row>
    <row r="725" ht="15.75" customHeight="1">
      <c r="A725" s="248"/>
      <c r="B725" s="248"/>
      <c r="C725" s="250"/>
      <c r="D725" s="248"/>
      <c r="E725" s="248"/>
      <c r="F725" s="248"/>
      <c r="G725" s="248"/>
      <c r="H725" s="248"/>
      <c r="I725" s="249"/>
      <c r="J725" s="248"/>
      <c r="K725" s="248"/>
      <c r="L725" s="250"/>
      <c r="M725" s="250"/>
      <c r="N725" s="250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</row>
    <row r="726" ht="15.75" customHeight="1">
      <c r="A726" s="248"/>
      <c r="B726" s="248"/>
      <c r="C726" s="250"/>
      <c r="D726" s="248"/>
      <c r="E726" s="248"/>
      <c r="F726" s="248"/>
      <c r="G726" s="248"/>
      <c r="H726" s="248"/>
      <c r="I726" s="249"/>
      <c r="J726" s="248"/>
      <c r="K726" s="248"/>
      <c r="L726" s="250"/>
      <c r="M726" s="250"/>
      <c r="N726" s="250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</row>
    <row r="727" ht="15.75" customHeight="1">
      <c r="A727" s="248"/>
      <c r="B727" s="248"/>
      <c r="C727" s="250"/>
      <c r="D727" s="248"/>
      <c r="E727" s="248"/>
      <c r="F727" s="248"/>
      <c r="G727" s="248"/>
      <c r="H727" s="248"/>
      <c r="I727" s="249"/>
      <c r="J727" s="248"/>
      <c r="K727" s="248"/>
      <c r="L727" s="250"/>
      <c r="M727" s="250"/>
      <c r="N727" s="250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</row>
    <row r="728" ht="15.75" customHeight="1">
      <c r="A728" s="248"/>
      <c r="B728" s="248"/>
      <c r="C728" s="250"/>
      <c r="D728" s="248"/>
      <c r="E728" s="248"/>
      <c r="F728" s="248"/>
      <c r="G728" s="248"/>
      <c r="H728" s="248"/>
      <c r="I728" s="249"/>
      <c r="J728" s="248"/>
      <c r="K728" s="248"/>
      <c r="L728" s="250"/>
      <c r="M728" s="250"/>
      <c r="N728" s="250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</row>
    <row r="729" ht="15.75" customHeight="1">
      <c r="A729" s="248"/>
      <c r="B729" s="248"/>
      <c r="C729" s="250"/>
      <c r="D729" s="248"/>
      <c r="E729" s="248"/>
      <c r="F729" s="248"/>
      <c r="G729" s="248"/>
      <c r="H729" s="248"/>
      <c r="I729" s="249"/>
      <c r="J729" s="248"/>
      <c r="K729" s="248"/>
      <c r="L729" s="250"/>
      <c r="M729" s="250"/>
      <c r="N729" s="250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</row>
    <row r="730" ht="15.75" customHeight="1">
      <c r="A730" s="248"/>
      <c r="B730" s="248"/>
      <c r="C730" s="250"/>
      <c r="D730" s="248"/>
      <c r="E730" s="248"/>
      <c r="F730" s="248"/>
      <c r="G730" s="248"/>
      <c r="H730" s="248"/>
      <c r="I730" s="249"/>
      <c r="J730" s="248"/>
      <c r="K730" s="248"/>
      <c r="L730" s="250"/>
      <c r="M730" s="250"/>
      <c r="N730" s="250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</row>
    <row r="731" ht="15.75" customHeight="1">
      <c r="A731" s="248"/>
      <c r="B731" s="248"/>
      <c r="C731" s="250"/>
      <c r="D731" s="248"/>
      <c r="E731" s="248"/>
      <c r="F731" s="248"/>
      <c r="G731" s="248"/>
      <c r="H731" s="248"/>
      <c r="I731" s="249"/>
      <c r="J731" s="248"/>
      <c r="K731" s="248"/>
      <c r="L731" s="250"/>
      <c r="M731" s="250"/>
      <c r="N731" s="250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</row>
    <row r="732" ht="15.75" customHeight="1">
      <c r="A732" s="248"/>
      <c r="B732" s="248"/>
      <c r="C732" s="250"/>
      <c r="D732" s="248"/>
      <c r="E732" s="248"/>
      <c r="F732" s="248"/>
      <c r="G732" s="248"/>
      <c r="H732" s="248"/>
      <c r="I732" s="249"/>
      <c r="J732" s="248"/>
      <c r="K732" s="248"/>
      <c r="L732" s="250"/>
      <c r="M732" s="250"/>
      <c r="N732" s="250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</row>
    <row r="733" ht="15.75" customHeight="1">
      <c r="A733" s="248"/>
      <c r="B733" s="248"/>
      <c r="C733" s="250"/>
      <c r="D733" s="248"/>
      <c r="E733" s="248"/>
      <c r="F733" s="248"/>
      <c r="G733" s="248"/>
      <c r="H733" s="248"/>
      <c r="I733" s="249"/>
      <c r="J733" s="248"/>
      <c r="K733" s="248"/>
      <c r="L733" s="250"/>
      <c r="M733" s="250"/>
      <c r="N733" s="250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</row>
    <row r="734" ht="15.75" customHeight="1">
      <c r="A734" s="248"/>
      <c r="B734" s="248"/>
      <c r="C734" s="250"/>
      <c r="D734" s="248"/>
      <c r="E734" s="248"/>
      <c r="F734" s="248"/>
      <c r="G734" s="248"/>
      <c r="H734" s="248"/>
      <c r="I734" s="249"/>
      <c r="J734" s="248"/>
      <c r="K734" s="248"/>
      <c r="L734" s="250"/>
      <c r="M734" s="250"/>
      <c r="N734" s="250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</row>
    <row r="735" ht="15.75" customHeight="1">
      <c r="A735" s="248"/>
      <c r="B735" s="248"/>
      <c r="C735" s="250"/>
      <c r="D735" s="248"/>
      <c r="E735" s="248"/>
      <c r="F735" s="248"/>
      <c r="G735" s="248"/>
      <c r="H735" s="248"/>
      <c r="I735" s="249"/>
      <c r="J735" s="248"/>
      <c r="K735" s="248"/>
      <c r="L735" s="250"/>
      <c r="M735" s="250"/>
      <c r="N735" s="250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</row>
    <row r="736" ht="15.75" customHeight="1">
      <c r="A736" s="248"/>
      <c r="B736" s="248"/>
      <c r="C736" s="250"/>
      <c r="D736" s="248"/>
      <c r="E736" s="248"/>
      <c r="F736" s="248"/>
      <c r="G736" s="248"/>
      <c r="H736" s="248"/>
      <c r="I736" s="249"/>
      <c r="J736" s="248"/>
      <c r="K736" s="248"/>
      <c r="L736" s="250"/>
      <c r="M736" s="250"/>
      <c r="N736" s="250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</row>
    <row r="737" ht="15.75" customHeight="1">
      <c r="A737" s="248"/>
      <c r="B737" s="248"/>
      <c r="C737" s="250"/>
      <c r="D737" s="248"/>
      <c r="E737" s="248"/>
      <c r="F737" s="248"/>
      <c r="G737" s="248"/>
      <c r="H737" s="248"/>
      <c r="I737" s="249"/>
      <c r="J737" s="248"/>
      <c r="K737" s="248"/>
      <c r="L737" s="250"/>
      <c r="M737" s="250"/>
      <c r="N737" s="250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</row>
    <row r="738" ht="15.75" customHeight="1">
      <c r="A738" s="248"/>
      <c r="B738" s="248"/>
      <c r="C738" s="250"/>
      <c r="D738" s="248"/>
      <c r="E738" s="248"/>
      <c r="F738" s="248"/>
      <c r="G738" s="248"/>
      <c r="H738" s="248"/>
      <c r="I738" s="249"/>
      <c r="J738" s="248"/>
      <c r="K738" s="248"/>
      <c r="L738" s="250"/>
      <c r="M738" s="250"/>
      <c r="N738" s="250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</row>
    <row r="739" ht="15.75" customHeight="1">
      <c r="A739" s="248"/>
      <c r="B739" s="248"/>
      <c r="C739" s="250"/>
      <c r="D739" s="248"/>
      <c r="E739" s="248"/>
      <c r="F739" s="248"/>
      <c r="G739" s="248"/>
      <c r="H739" s="248"/>
      <c r="I739" s="249"/>
      <c r="J739" s="248"/>
      <c r="K739" s="248"/>
      <c r="L739" s="250"/>
      <c r="M739" s="250"/>
      <c r="N739" s="250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</row>
    <row r="740" ht="15.75" customHeight="1">
      <c r="A740" s="248"/>
      <c r="B740" s="248"/>
      <c r="C740" s="250"/>
      <c r="D740" s="248"/>
      <c r="E740" s="248"/>
      <c r="F740" s="248"/>
      <c r="G740" s="248"/>
      <c r="H740" s="248"/>
      <c r="I740" s="249"/>
      <c r="J740" s="248"/>
      <c r="K740" s="248"/>
      <c r="L740" s="250"/>
      <c r="M740" s="250"/>
      <c r="N740" s="250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</row>
    <row r="741" ht="15.75" customHeight="1">
      <c r="A741" s="248"/>
      <c r="B741" s="248"/>
      <c r="C741" s="250"/>
      <c r="D741" s="248"/>
      <c r="E741" s="248"/>
      <c r="F741" s="248"/>
      <c r="G741" s="248"/>
      <c r="H741" s="248"/>
      <c r="I741" s="249"/>
      <c r="J741" s="248"/>
      <c r="K741" s="248"/>
      <c r="L741" s="250"/>
      <c r="M741" s="250"/>
      <c r="N741" s="250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</row>
    <row r="742" ht="15.75" customHeight="1">
      <c r="A742" s="248"/>
      <c r="B742" s="248"/>
      <c r="C742" s="250"/>
      <c r="D742" s="248"/>
      <c r="E742" s="248"/>
      <c r="F742" s="248"/>
      <c r="G742" s="248"/>
      <c r="H742" s="248"/>
      <c r="I742" s="249"/>
      <c r="J742" s="248"/>
      <c r="K742" s="248"/>
      <c r="L742" s="250"/>
      <c r="M742" s="250"/>
      <c r="N742" s="250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</row>
    <row r="743" ht="15.75" customHeight="1">
      <c r="A743" s="248"/>
      <c r="B743" s="248"/>
      <c r="C743" s="250"/>
      <c r="D743" s="248"/>
      <c r="E743" s="248"/>
      <c r="F743" s="248"/>
      <c r="G743" s="248"/>
      <c r="H743" s="248"/>
      <c r="I743" s="249"/>
      <c r="J743" s="248"/>
      <c r="K743" s="248"/>
      <c r="L743" s="250"/>
      <c r="M743" s="250"/>
      <c r="N743" s="250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</row>
    <row r="744" ht="15.75" customHeight="1">
      <c r="A744" s="248"/>
      <c r="B744" s="248"/>
      <c r="C744" s="250"/>
      <c r="D744" s="248"/>
      <c r="E744" s="248"/>
      <c r="F744" s="248"/>
      <c r="G744" s="248"/>
      <c r="H744" s="248"/>
      <c r="I744" s="249"/>
      <c r="J744" s="248"/>
      <c r="K744" s="248"/>
      <c r="L744" s="250"/>
      <c r="M744" s="250"/>
      <c r="N744" s="250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</row>
    <row r="745" ht="15.75" customHeight="1">
      <c r="A745" s="248"/>
      <c r="B745" s="248"/>
      <c r="C745" s="250"/>
      <c r="D745" s="248"/>
      <c r="E745" s="248"/>
      <c r="F745" s="248"/>
      <c r="G745" s="248"/>
      <c r="H745" s="248"/>
      <c r="I745" s="249"/>
      <c r="J745" s="248"/>
      <c r="K745" s="248"/>
      <c r="L745" s="250"/>
      <c r="M745" s="250"/>
      <c r="N745" s="250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</row>
    <row r="746" ht="15.75" customHeight="1">
      <c r="A746" s="248"/>
      <c r="B746" s="248"/>
      <c r="C746" s="250"/>
      <c r="D746" s="248"/>
      <c r="E746" s="248"/>
      <c r="F746" s="248"/>
      <c r="G746" s="248"/>
      <c r="H746" s="248"/>
      <c r="I746" s="249"/>
      <c r="J746" s="248"/>
      <c r="K746" s="248"/>
      <c r="L746" s="250"/>
      <c r="M746" s="250"/>
      <c r="N746" s="250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</row>
    <row r="747" ht="15.75" customHeight="1">
      <c r="A747" s="248"/>
      <c r="B747" s="248"/>
      <c r="C747" s="250"/>
      <c r="D747" s="248"/>
      <c r="E747" s="248"/>
      <c r="F747" s="248"/>
      <c r="G747" s="248"/>
      <c r="H747" s="248"/>
      <c r="I747" s="249"/>
      <c r="J747" s="248"/>
      <c r="K747" s="248"/>
      <c r="L747" s="250"/>
      <c r="M747" s="250"/>
      <c r="N747" s="250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</row>
    <row r="748" ht="15.75" customHeight="1">
      <c r="A748" s="248"/>
      <c r="B748" s="248"/>
      <c r="C748" s="250"/>
      <c r="D748" s="248"/>
      <c r="E748" s="248"/>
      <c r="F748" s="248"/>
      <c r="G748" s="248"/>
      <c r="H748" s="248"/>
      <c r="I748" s="249"/>
      <c r="J748" s="248"/>
      <c r="K748" s="248"/>
      <c r="L748" s="250"/>
      <c r="M748" s="250"/>
      <c r="N748" s="250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</row>
    <row r="749" ht="15.75" customHeight="1">
      <c r="A749" s="248"/>
      <c r="B749" s="248"/>
      <c r="C749" s="250"/>
      <c r="D749" s="248"/>
      <c r="E749" s="248"/>
      <c r="F749" s="248"/>
      <c r="G749" s="248"/>
      <c r="H749" s="248"/>
      <c r="I749" s="249"/>
      <c r="J749" s="248"/>
      <c r="K749" s="248"/>
      <c r="L749" s="250"/>
      <c r="M749" s="250"/>
      <c r="N749" s="250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</row>
    <row r="750" ht="15.75" customHeight="1">
      <c r="A750" s="248"/>
      <c r="B750" s="248"/>
      <c r="C750" s="250"/>
      <c r="D750" s="248"/>
      <c r="E750" s="248"/>
      <c r="F750" s="248"/>
      <c r="G750" s="248"/>
      <c r="H750" s="248"/>
      <c r="I750" s="249"/>
      <c r="J750" s="248"/>
      <c r="K750" s="248"/>
      <c r="L750" s="250"/>
      <c r="M750" s="250"/>
      <c r="N750" s="250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</row>
    <row r="751" ht="15.75" customHeight="1">
      <c r="A751" s="248"/>
      <c r="B751" s="248"/>
      <c r="C751" s="250"/>
      <c r="D751" s="248"/>
      <c r="E751" s="248"/>
      <c r="F751" s="248"/>
      <c r="G751" s="248"/>
      <c r="H751" s="248"/>
      <c r="I751" s="249"/>
      <c r="J751" s="248"/>
      <c r="K751" s="248"/>
      <c r="L751" s="250"/>
      <c r="M751" s="250"/>
      <c r="N751" s="250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</row>
    <row r="752" ht="15.75" customHeight="1">
      <c r="A752" s="248"/>
      <c r="B752" s="248"/>
      <c r="C752" s="250"/>
      <c r="D752" s="248"/>
      <c r="E752" s="248"/>
      <c r="F752" s="248"/>
      <c r="G752" s="248"/>
      <c r="H752" s="248"/>
      <c r="I752" s="249"/>
      <c r="J752" s="248"/>
      <c r="K752" s="248"/>
      <c r="L752" s="250"/>
      <c r="M752" s="250"/>
      <c r="N752" s="250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</row>
    <row r="753" ht="15.75" customHeight="1">
      <c r="A753" s="248"/>
      <c r="B753" s="248"/>
      <c r="C753" s="250"/>
      <c r="D753" s="248"/>
      <c r="E753" s="248"/>
      <c r="F753" s="248"/>
      <c r="G753" s="248"/>
      <c r="H753" s="248"/>
      <c r="I753" s="249"/>
      <c r="J753" s="248"/>
      <c r="K753" s="248"/>
      <c r="L753" s="250"/>
      <c r="M753" s="250"/>
      <c r="N753" s="250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</row>
    <row r="754" ht="15.75" customHeight="1">
      <c r="A754" s="248"/>
      <c r="B754" s="248"/>
      <c r="C754" s="250"/>
      <c r="D754" s="248"/>
      <c r="E754" s="248"/>
      <c r="F754" s="248"/>
      <c r="G754" s="248"/>
      <c r="H754" s="248"/>
      <c r="I754" s="249"/>
      <c r="J754" s="248"/>
      <c r="K754" s="248"/>
      <c r="L754" s="250"/>
      <c r="M754" s="250"/>
      <c r="N754" s="250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</row>
    <row r="755" ht="15.75" customHeight="1">
      <c r="A755" s="248"/>
      <c r="B755" s="248"/>
      <c r="C755" s="250"/>
      <c r="D755" s="248"/>
      <c r="E755" s="248"/>
      <c r="F755" s="248"/>
      <c r="G755" s="248"/>
      <c r="H755" s="248"/>
      <c r="I755" s="249"/>
      <c r="J755" s="248"/>
      <c r="K755" s="248"/>
      <c r="L755" s="250"/>
      <c r="M755" s="250"/>
      <c r="N755" s="250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</row>
    <row r="756" ht="15.75" customHeight="1">
      <c r="A756" s="248"/>
      <c r="B756" s="248"/>
      <c r="C756" s="250"/>
      <c r="D756" s="248"/>
      <c r="E756" s="248"/>
      <c r="F756" s="248"/>
      <c r="G756" s="248"/>
      <c r="H756" s="248"/>
      <c r="I756" s="249"/>
      <c r="J756" s="248"/>
      <c r="K756" s="248"/>
      <c r="L756" s="250"/>
      <c r="M756" s="250"/>
      <c r="N756" s="250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</row>
    <row r="757" ht="15.75" customHeight="1">
      <c r="A757" s="248"/>
      <c r="B757" s="248"/>
      <c r="C757" s="250"/>
      <c r="D757" s="248"/>
      <c r="E757" s="248"/>
      <c r="F757" s="248"/>
      <c r="G757" s="248"/>
      <c r="H757" s="248"/>
      <c r="I757" s="249"/>
      <c r="J757" s="248"/>
      <c r="K757" s="248"/>
      <c r="L757" s="250"/>
      <c r="M757" s="250"/>
      <c r="N757" s="250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</row>
    <row r="758" ht="15.75" customHeight="1">
      <c r="A758" s="248"/>
      <c r="B758" s="248"/>
      <c r="C758" s="250"/>
      <c r="D758" s="248"/>
      <c r="E758" s="248"/>
      <c r="F758" s="248"/>
      <c r="G758" s="248"/>
      <c r="H758" s="248"/>
      <c r="I758" s="249"/>
      <c r="J758" s="248"/>
      <c r="K758" s="248"/>
      <c r="L758" s="250"/>
      <c r="M758" s="250"/>
      <c r="N758" s="250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</row>
    <row r="759" ht="15.75" customHeight="1">
      <c r="A759" s="248"/>
      <c r="B759" s="248"/>
      <c r="C759" s="250"/>
      <c r="D759" s="248"/>
      <c r="E759" s="248"/>
      <c r="F759" s="248"/>
      <c r="G759" s="248"/>
      <c r="H759" s="248"/>
      <c r="I759" s="249"/>
      <c r="J759" s="248"/>
      <c r="K759" s="248"/>
      <c r="L759" s="250"/>
      <c r="M759" s="250"/>
      <c r="N759" s="250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</row>
    <row r="760" ht="15.75" customHeight="1">
      <c r="A760" s="248"/>
      <c r="B760" s="248"/>
      <c r="C760" s="250"/>
      <c r="D760" s="248"/>
      <c r="E760" s="248"/>
      <c r="F760" s="248"/>
      <c r="G760" s="248"/>
      <c r="H760" s="248"/>
      <c r="I760" s="249"/>
      <c r="J760" s="248"/>
      <c r="K760" s="248"/>
      <c r="L760" s="250"/>
      <c r="M760" s="250"/>
      <c r="N760" s="250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</row>
    <row r="761" ht="15.75" customHeight="1">
      <c r="A761" s="248"/>
      <c r="B761" s="248"/>
      <c r="C761" s="250"/>
      <c r="D761" s="248"/>
      <c r="E761" s="248"/>
      <c r="F761" s="248"/>
      <c r="G761" s="248"/>
      <c r="H761" s="248"/>
      <c r="I761" s="249"/>
      <c r="J761" s="248"/>
      <c r="K761" s="248"/>
      <c r="L761" s="250"/>
      <c r="M761" s="250"/>
      <c r="N761" s="250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</row>
    <row r="762" ht="15.75" customHeight="1">
      <c r="A762" s="248"/>
      <c r="B762" s="248"/>
      <c r="C762" s="250"/>
      <c r="D762" s="248"/>
      <c r="E762" s="248"/>
      <c r="F762" s="248"/>
      <c r="G762" s="248"/>
      <c r="H762" s="248"/>
      <c r="I762" s="249"/>
      <c r="J762" s="248"/>
      <c r="K762" s="248"/>
      <c r="L762" s="250"/>
      <c r="M762" s="250"/>
      <c r="N762" s="250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</row>
    <row r="763" ht="15.75" customHeight="1">
      <c r="A763" s="248"/>
      <c r="B763" s="248"/>
      <c r="C763" s="250"/>
      <c r="D763" s="248"/>
      <c r="E763" s="248"/>
      <c r="F763" s="248"/>
      <c r="G763" s="248"/>
      <c r="H763" s="248"/>
      <c r="I763" s="249"/>
      <c r="J763" s="248"/>
      <c r="K763" s="248"/>
      <c r="L763" s="250"/>
      <c r="M763" s="250"/>
      <c r="N763" s="250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</row>
    <row r="764" ht="15.75" customHeight="1">
      <c r="A764" s="248"/>
      <c r="B764" s="248"/>
      <c r="C764" s="250"/>
      <c r="D764" s="248"/>
      <c r="E764" s="248"/>
      <c r="F764" s="248"/>
      <c r="G764" s="248"/>
      <c r="H764" s="248"/>
      <c r="I764" s="249"/>
      <c r="J764" s="248"/>
      <c r="K764" s="248"/>
      <c r="L764" s="250"/>
      <c r="M764" s="250"/>
      <c r="N764" s="250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</row>
    <row r="765" ht="15.75" customHeight="1">
      <c r="A765" s="248"/>
      <c r="B765" s="248"/>
      <c r="C765" s="250"/>
      <c r="D765" s="248"/>
      <c r="E765" s="248"/>
      <c r="F765" s="248"/>
      <c r="G765" s="248"/>
      <c r="H765" s="248"/>
      <c r="I765" s="249"/>
      <c r="J765" s="248"/>
      <c r="K765" s="248"/>
      <c r="L765" s="250"/>
      <c r="M765" s="250"/>
      <c r="N765" s="250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</row>
    <row r="766" ht="15.75" customHeight="1">
      <c r="A766" s="248"/>
      <c r="B766" s="248"/>
      <c r="C766" s="250"/>
      <c r="D766" s="248"/>
      <c r="E766" s="248"/>
      <c r="F766" s="248"/>
      <c r="G766" s="248"/>
      <c r="H766" s="248"/>
      <c r="I766" s="249"/>
      <c r="J766" s="248"/>
      <c r="K766" s="248"/>
      <c r="L766" s="250"/>
      <c r="M766" s="250"/>
      <c r="N766" s="250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</row>
    <row r="767" ht="15.75" customHeight="1">
      <c r="A767" s="248"/>
      <c r="B767" s="248"/>
      <c r="C767" s="250"/>
      <c r="D767" s="248"/>
      <c r="E767" s="248"/>
      <c r="F767" s="248"/>
      <c r="G767" s="248"/>
      <c r="H767" s="248"/>
      <c r="I767" s="249"/>
      <c r="J767" s="248"/>
      <c r="K767" s="248"/>
      <c r="L767" s="250"/>
      <c r="M767" s="250"/>
      <c r="N767" s="250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</row>
    <row r="768" ht="15.75" customHeight="1">
      <c r="A768" s="248"/>
      <c r="B768" s="248"/>
      <c r="C768" s="250"/>
      <c r="D768" s="248"/>
      <c r="E768" s="248"/>
      <c r="F768" s="248"/>
      <c r="G768" s="248"/>
      <c r="H768" s="248"/>
      <c r="I768" s="249"/>
      <c r="J768" s="248"/>
      <c r="K768" s="248"/>
      <c r="L768" s="250"/>
      <c r="M768" s="250"/>
      <c r="N768" s="250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</row>
    <row r="769" ht="15.75" customHeight="1">
      <c r="A769" s="248"/>
      <c r="B769" s="248"/>
      <c r="C769" s="250"/>
      <c r="D769" s="248"/>
      <c r="E769" s="248"/>
      <c r="F769" s="248"/>
      <c r="G769" s="248"/>
      <c r="H769" s="248"/>
      <c r="I769" s="249"/>
      <c r="J769" s="248"/>
      <c r="K769" s="248"/>
      <c r="L769" s="250"/>
      <c r="M769" s="250"/>
      <c r="N769" s="250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</row>
    <row r="770" ht="15.75" customHeight="1">
      <c r="A770" s="248"/>
      <c r="B770" s="248"/>
      <c r="C770" s="250"/>
      <c r="D770" s="248"/>
      <c r="E770" s="248"/>
      <c r="F770" s="248"/>
      <c r="G770" s="248"/>
      <c r="H770" s="248"/>
      <c r="I770" s="249"/>
      <c r="J770" s="248"/>
      <c r="K770" s="248"/>
      <c r="L770" s="250"/>
      <c r="M770" s="250"/>
      <c r="N770" s="250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</row>
    <row r="771" ht="15.75" customHeight="1">
      <c r="A771" s="248"/>
      <c r="B771" s="248"/>
      <c r="C771" s="250"/>
      <c r="D771" s="248"/>
      <c r="E771" s="248"/>
      <c r="F771" s="248"/>
      <c r="G771" s="248"/>
      <c r="H771" s="248"/>
      <c r="I771" s="249"/>
      <c r="J771" s="248"/>
      <c r="K771" s="248"/>
      <c r="L771" s="250"/>
      <c r="M771" s="250"/>
      <c r="N771" s="250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</row>
    <row r="772" ht="15.75" customHeight="1">
      <c r="A772" s="248"/>
      <c r="B772" s="248"/>
      <c r="C772" s="250"/>
      <c r="D772" s="248"/>
      <c r="E772" s="248"/>
      <c r="F772" s="248"/>
      <c r="G772" s="248"/>
      <c r="H772" s="248"/>
      <c r="I772" s="249"/>
      <c r="J772" s="248"/>
      <c r="K772" s="248"/>
      <c r="L772" s="250"/>
      <c r="M772" s="250"/>
      <c r="N772" s="250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</row>
    <row r="773" ht="15.75" customHeight="1">
      <c r="A773" s="248"/>
      <c r="B773" s="248"/>
      <c r="C773" s="250"/>
      <c r="D773" s="248"/>
      <c r="E773" s="248"/>
      <c r="F773" s="248"/>
      <c r="G773" s="248"/>
      <c r="H773" s="248"/>
      <c r="I773" s="249"/>
      <c r="J773" s="248"/>
      <c r="K773" s="248"/>
      <c r="L773" s="250"/>
      <c r="M773" s="250"/>
      <c r="N773" s="250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</row>
    <row r="774" ht="15.75" customHeight="1">
      <c r="A774" s="248"/>
      <c r="B774" s="248"/>
      <c r="C774" s="250"/>
      <c r="D774" s="248"/>
      <c r="E774" s="248"/>
      <c r="F774" s="248"/>
      <c r="G774" s="248"/>
      <c r="H774" s="248"/>
      <c r="I774" s="249"/>
      <c r="J774" s="248"/>
      <c r="K774" s="248"/>
      <c r="L774" s="250"/>
      <c r="M774" s="250"/>
      <c r="N774" s="250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</row>
    <row r="775" ht="15.75" customHeight="1">
      <c r="A775" s="248"/>
      <c r="B775" s="248"/>
      <c r="C775" s="250"/>
      <c r="D775" s="248"/>
      <c r="E775" s="248"/>
      <c r="F775" s="248"/>
      <c r="G775" s="248"/>
      <c r="H775" s="248"/>
      <c r="I775" s="249"/>
      <c r="J775" s="248"/>
      <c r="K775" s="248"/>
      <c r="L775" s="250"/>
      <c r="M775" s="250"/>
      <c r="N775" s="250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</row>
    <row r="776" ht="15.75" customHeight="1">
      <c r="A776" s="248"/>
      <c r="B776" s="248"/>
      <c r="C776" s="250"/>
      <c r="D776" s="248"/>
      <c r="E776" s="248"/>
      <c r="F776" s="248"/>
      <c r="G776" s="248"/>
      <c r="H776" s="248"/>
      <c r="I776" s="249"/>
      <c r="J776" s="248"/>
      <c r="K776" s="248"/>
      <c r="L776" s="250"/>
      <c r="M776" s="250"/>
      <c r="N776" s="250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</row>
    <row r="777" ht="15.75" customHeight="1">
      <c r="A777" s="248"/>
      <c r="B777" s="248"/>
      <c r="C777" s="250"/>
      <c r="D777" s="248"/>
      <c r="E777" s="248"/>
      <c r="F777" s="248"/>
      <c r="G777" s="248"/>
      <c r="H777" s="248"/>
      <c r="I777" s="249"/>
      <c r="J777" s="248"/>
      <c r="K777" s="248"/>
      <c r="L777" s="250"/>
      <c r="M777" s="250"/>
      <c r="N777" s="250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</row>
    <row r="778" ht="15.75" customHeight="1">
      <c r="A778" s="248"/>
      <c r="B778" s="248"/>
      <c r="C778" s="250"/>
      <c r="D778" s="248"/>
      <c r="E778" s="248"/>
      <c r="F778" s="248"/>
      <c r="G778" s="248"/>
      <c r="H778" s="248"/>
      <c r="I778" s="249"/>
      <c r="J778" s="248"/>
      <c r="K778" s="248"/>
      <c r="L778" s="250"/>
      <c r="M778" s="250"/>
      <c r="N778" s="250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</row>
    <row r="779" ht="15.75" customHeight="1">
      <c r="A779" s="248"/>
      <c r="B779" s="248"/>
      <c r="C779" s="250"/>
      <c r="D779" s="248"/>
      <c r="E779" s="248"/>
      <c r="F779" s="248"/>
      <c r="G779" s="248"/>
      <c r="H779" s="248"/>
      <c r="I779" s="249"/>
      <c r="J779" s="248"/>
      <c r="K779" s="248"/>
      <c r="L779" s="250"/>
      <c r="M779" s="250"/>
      <c r="N779" s="250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</row>
    <row r="780" ht="15.75" customHeight="1">
      <c r="A780" s="248"/>
      <c r="B780" s="248"/>
      <c r="C780" s="250"/>
      <c r="D780" s="248"/>
      <c r="E780" s="248"/>
      <c r="F780" s="248"/>
      <c r="G780" s="248"/>
      <c r="H780" s="248"/>
      <c r="I780" s="249"/>
      <c r="J780" s="248"/>
      <c r="K780" s="248"/>
      <c r="L780" s="250"/>
      <c r="M780" s="250"/>
      <c r="N780" s="250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</row>
    <row r="781" ht="15.75" customHeight="1">
      <c r="A781" s="248"/>
      <c r="B781" s="248"/>
      <c r="C781" s="250"/>
      <c r="D781" s="248"/>
      <c r="E781" s="248"/>
      <c r="F781" s="248"/>
      <c r="G781" s="248"/>
      <c r="H781" s="248"/>
      <c r="I781" s="249"/>
      <c r="J781" s="248"/>
      <c r="K781" s="248"/>
      <c r="L781" s="250"/>
      <c r="M781" s="250"/>
      <c r="N781" s="250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</row>
    <row r="782" ht="15.75" customHeight="1">
      <c r="A782" s="248"/>
      <c r="B782" s="248"/>
      <c r="C782" s="250"/>
      <c r="D782" s="248"/>
      <c r="E782" s="248"/>
      <c r="F782" s="248"/>
      <c r="G782" s="248"/>
      <c r="H782" s="248"/>
      <c r="I782" s="249"/>
      <c r="J782" s="248"/>
      <c r="K782" s="248"/>
      <c r="L782" s="250"/>
      <c r="M782" s="250"/>
      <c r="N782" s="250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</row>
    <row r="783" ht="15.75" customHeight="1">
      <c r="A783" s="248"/>
      <c r="B783" s="248"/>
      <c r="C783" s="250"/>
      <c r="D783" s="248"/>
      <c r="E783" s="248"/>
      <c r="F783" s="248"/>
      <c r="G783" s="248"/>
      <c r="H783" s="248"/>
      <c r="I783" s="249"/>
      <c r="J783" s="248"/>
      <c r="K783" s="248"/>
      <c r="L783" s="250"/>
      <c r="M783" s="250"/>
      <c r="N783" s="250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</row>
    <row r="784" ht="15.75" customHeight="1">
      <c r="A784" s="248"/>
      <c r="B784" s="248"/>
      <c r="C784" s="250"/>
      <c r="D784" s="248"/>
      <c r="E784" s="248"/>
      <c r="F784" s="248"/>
      <c r="G784" s="248"/>
      <c r="H784" s="248"/>
      <c r="I784" s="249"/>
      <c r="J784" s="248"/>
      <c r="K784" s="248"/>
      <c r="L784" s="250"/>
      <c r="M784" s="250"/>
      <c r="N784" s="250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</row>
    <row r="785" ht="15.75" customHeight="1">
      <c r="A785" s="248"/>
      <c r="B785" s="248"/>
      <c r="C785" s="250"/>
      <c r="D785" s="248"/>
      <c r="E785" s="248"/>
      <c r="F785" s="248"/>
      <c r="G785" s="248"/>
      <c r="H785" s="248"/>
      <c r="I785" s="249"/>
      <c r="J785" s="248"/>
      <c r="K785" s="248"/>
      <c r="L785" s="250"/>
      <c r="M785" s="250"/>
      <c r="N785" s="250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</row>
    <row r="786" ht="15.75" customHeight="1">
      <c r="A786" s="248"/>
      <c r="B786" s="248"/>
      <c r="C786" s="250"/>
      <c r="D786" s="248"/>
      <c r="E786" s="248"/>
      <c r="F786" s="248"/>
      <c r="G786" s="248"/>
      <c r="H786" s="248"/>
      <c r="I786" s="249"/>
      <c r="J786" s="248"/>
      <c r="K786" s="248"/>
      <c r="L786" s="250"/>
      <c r="M786" s="250"/>
      <c r="N786" s="250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</row>
    <row r="787" ht="15.75" customHeight="1">
      <c r="A787" s="248"/>
      <c r="B787" s="248"/>
      <c r="C787" s="250"/>
      <c r="D787" s="248"/>
      <c r="E787" s="248"/>
      <c r="F787" s="248"/>
      <c r="G787" s="248"/>
      <c r="H787" s="248"/>
      <c r="I787" s="249"/>
      <c r="J787" s="248"/>
      <c r="K787" s="248"/>
      <c r="L787" s="250"/>
      <c r="M787" s="250"/>
      <c r="N787" s="250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</row>
    <row r="788" ht="15.75" customHeight="1">
      <c r="A788" s="248"/>
      <c r="B788" s="248"/>
      <c r="C788" s="250"/>
      <c r="D788" s="248"/>
      <c r="E788" s="248"/>
      <c r="F788" s="248"/>
      <c r="G788" s="248"/>
      <c r="H788" s="248"/>
      <c r="I788" s="249"/>
      <c r="J788" s="248"/>
      <c r="K788" s="248"/>
      <c r="L788" s="250"/>
      <c r="M788" s="250"/>
      <c r="N788" s="250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</row>
    <row r="789" ht="15.75" customHeight="1">
      <c r="A789" s="248"/>
      <c r="B789" s="248"/>
      <c r="C789" s="250"/>
      <c r="D789" s="248"/>
      <c r="E789" s="248"/>
      <c r="F789" s="248"/>
      <c r="G789" s="248"/>
      <c r="H789" s="248"/>
      <c r="I789" s="249"/>
      <c r="J789" s="248"/>
      <c r="K789" s="248"/>
      <c r="L789" s="250"/>
      <c r="M789" s="250"/>
      <c r="N789" s="250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</row>
    <row r="790" ht="15.75" customHeight="1">
      <c r="A790" s="248"/>
      <c r="B790" s="248"/>
      <c r="C790" s="250"/>
      <c r="D790" s="248"/>
      <c r="E790" s="248"/>
      <c r="F790" s="248"/>
      <c r="G790" s="248"/>
      <c r="H790" s="248"/>
      <c r="I790" s="249"/>
      <c r="J790" s="248"/>
      <c r="K790" s="248"/>
      <c r="L790" s="250"/>
      <c r="M790" s="250"/>
      <c r="N790" s="250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</row>
    <row r="791" ht="15.75" customHeight="1">
      <c r="A791" s="248"/>
      <c r="B791" s="248"/>
      <c r="C791" s="250"/>
      <c r="D791" s="248"/>
      <c r="E791" s="248"/>
      <c r="F791" s="248"/>
      <c r="G791" s="248"/>
      <c r="H791" s="248"/>
      <c r="I791" s="249"/>
      <c r="J791" s="248"/>
      <c r="K791" s="248"/>
      <c r="L791" s="250"/>
      <c r="M791" s="250"/>
      <c r="N791" s="250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</row>
    <row r="792" ht="15.75" customHeight="1">
      <c r="A792" s="248"/>
      <c r="B792" s="248"/>
      <c r="C792" s="250"/>
      <c r="D792" s="248"/>
      <c r="E792" s="248"/>
      <c r="F792" s="248"/>
      <c r="G792" s="248"/>
      <c r="H792" s="248"/>
      <c r="I792" s="249"/>
      <c r="J792" s="248"/>
      <c r="K792" s="248"/>
      <c r="L792" s="250"/>
      <c r="M792" s="250"/>
      <c r="N792" s="250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</row>
    <row r="793" ht="15.75" customHeight="1">
      <c r="A793" s="248"/>
      <c r="B793" s="248"/>
      <c r="C793" s="250"/>
      <c r="D793" s="248"/>
      <c r="E793" s="248"/>
      <c r="F793" s="248"/>
      <c r="G793" s="248"/>
      <c r="H793" s="248"/>
      <c r="I793" s="249"/>
      <c r="J793" s="248"/>
      <c r="K793" s="248"/>
      <c r="L793" s="250"/>
      <c r="M793" s="250"/>
      <c r="N793" s="250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</row>
    <row r="794" ht="15.75" customHeight="1">
      <c r="A794" s="248"/>
      <c r="B794" s="248"/>
      <c r="C794" s="250"/>
      <c r="D794" s="248"/>
      <c r="E794" s="248"/>
      <c r="F794" s="248"/>
      <c r="G794" s="248"/>
      <c r="H794" s="248"/>
      <c r="I794" s="249"/>
      <c r="J794" s="248"/>
      <c r="K794" s="248"/>
      <c r="L794" s="250"/>
      <c r="M794" s="250"/>
      <c r="N794" s="250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</row>
    <row r="795" ht="15.75" customHeight="1">
      <c r="A795" s="248"/>
      <c r="B795" s="248"/>
      <c r="C795" s="250"/>
      <c r="D795" s="248"/>
      <c r="E795" s="248"/>
      <c r="F795" s="248"/>
      <c r="G795" s="248"/>
      <c r="H795" s="248"/>
      <c r="I795" s="249"/>
      <c r="J795" s="248"/>
      <c r="K795" s="248"/>
      <c r="L795" s="250"/>
      <c r="M795" s="250"/>
      <c r="N795" s="250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</row>
    <row r="796" ht="15.75" customHeight="1">
      <c r="A796" s="248"/>
      <c r="B796" s="248"/>
      <c r="C796" s="250"/>
      <c r="D796" s="248"/>
      <c r="E796" s="248"/>
      <c r="F796" s="248"/>
      <c r="G796" s="248"/>
      <c r="H796" s="248"/>
      <c r="I796" s="249"/>
      <c r="J796" s="248"/>
      <c r="K796" s="248"/>
      <c r="L796" s="250"/>
      <c r="M796" s="250"/>
      <c r="N796" s="250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</row>
    <row r="797" ht="15.75" customHeight="1">
      <c r="A797" s="248"/>
      <c r="B797" s="248"/>
      <c r="C797" s="250"/>
      <c r="D797" s="248"/>
      <c r="E797" s="248"/>
      <c r="F797" s="248"/>
      <c r="G797" s="248"/>
      <c r="H797" s="248"/>
      <c r="I797" s="249"/>
      <c r="J797" s="248"/>
      <c r="K797" s="248"/>
      <c r="L797" s="250"/>
      <c r="M797" s="250"/>
      <c r="N797" s="250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</row>
    <row r="798" ht="15.75" customHeight="1">
      <c r="A798" s="248"/>
      <c r="B798" s="248"/>
      <c r="C798" s="250"/>
      <c r="D798" s="248"/>
      <c r="E798" s="248"/>
      <c r="F798" s="248"/>
      <c r="G798" s="248"/>
      <c r="H798" s="248"/>
      <c r="I798" s="249"/>
      <c r="J798" s="248"/>
      <c r="K798" s="248"/>
      <c r="L798" s="250"/>
      <c r="M798" s="250"/>
      <c r="N798" s="250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</row>
    <row r="799" ht="15.75" customHeight="1">
      <c r="A799" s="248"/>
      <c r="B799" s="248"/>
      <c r="C799" s="250"/>
      <c r="D799" s="248"/>
      <c r="E799" s="248"/>
      <c r="F799" s="248"/>
      <c r="G799" s="248"/>
      <c r="H799" s="248"/>
      <c r="I799" s="249"/>
      <c r="J799" s="248"/>
      <c r="K799" s="248"/>
      <c r="L799" s="250"/>
      <c r="M799" s="250"/>
      <c r="N799" s="250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</row>
    <row r="800" ht="15.75" customHeight="1">
      <c r="A800" s="248"/>
      <c r="B800" s="248"/>
      <c r="C800" s="250"/>
      <c r="D800" s="248"/>
      <c r="E800" s="248"/>
      <c r="F800" s="248"/>
      <c r="G800" s="248"/>
      <c r="H800" s="248"/>
      <c r="I800" s="249"/>
      <c r="J800" s="248"/>
      <c r="K800" s="248"/>
      <c r="L800" s="250"/>
      <c r="M800" s="250"/>
      <c r="N800" s="250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</row>
    <row r="801" ht="15.75" customHeight="1">
      <c r="A801" s="248"/>
      <c r="B801" s="248"/>
      <c r="C801" s="250"/>
      <c r="D801" s="248"/>
      <c r="E801" s="248"/>
      <c r="F801" s="248"/>
      <c r="G801" s="248"/>
      <c r="H801" s="248"/>
      <c r="I801" s="249"/>
      <c r="J801" s="248"/>
      <c r="K801" s="248"/>
      <c r="L801" s="250"/>
      <c r="M801" s="250"/>
      <c r="N801" s="250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</row>
    <row r="802" ht="15.75" customHeight="1">
      <c r="A802" s="248"/>
      <c r="B802" s="248"/>
      <c r="C802" s="250"/>
      <c r="D802" s="248"/>
      <c r="E802" s="248"/>
      <c r="F802" s="248"/>
      <c r="G802" s="248"/>
      <c r="H802" s="248"/>
      <c r="I802" s="249"/>
      <c r="J802" s="248"/>
      <c r="K802" s="248"/>
      <c r="L802" s="250"/>
      <c r="M802" s="250"/>
      <c r="N802" s="250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</row>
    <row r="803" ht="15.75" customHeight="1">
      <c r="A803" s="248"/>
      <c r="B803" s="248"/>
      <c r="C803" s="250"/>
      <c r="D803" s="248"/>
      <c r="E803" s="248"/>
      <c r="F803" s="248"/>
      <c r="G803" s="248"/>
      <c r="H803" s="248"/>
      <c r="I803" s="249"/>
      <c r="J803" s="248"/>
      <c r="K803" s="248"/>
      <c r="L803" s="250"/>
      <c r="M803" s="250"/>
      <c r="N803" s="250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</row>
    <row r="804" ht="15.75" customHeight="1">
      <c r="A804" s="248"/>
      <c r="B804" s="248"/>
      <c r="C804" s="250"/>
      <c r="D804" s="248"/>
      <c r="E804" s="248"/>
      <c r="F804" s="248"/>
      <c r="G804" s="248"/>
      <c r="H804" s="248"/>
      <c r="I804" s="249"/>
      <c r="J804" s="248"/>
      <c r="K804" s="248"/>
      <c r="L804" s="250"/>
      <c r="M804" s="250"/>
      <c r="N804" s="250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</row>
    <row r="805" ht="15.75" customHeight="1">
      <c r="A805" s="248"/>
      <c r="B805" s="248"/>
      <c r="C805" s="250"/>
      <c r="D805" s="248"/>
      <c r="E805" s="248"/>
      <c r="F805" s="248"/>
      <c r="G805" s="248"/>
      <c r="H805" s="248"/>
      <c r="I805" s="249"/>
      <c r="J805" s="248"/>
      <c r="K805" s="248"/>
      <c r="L805" s="250"/>
      <c r="M805" s="250"/>
      <c r="N805" s="250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</row>
    <row r="806" ht="15.75" customHeight="1">
      <c r="A806" s="248"/>
      <c r="B806" s="248"/>
      <c r="C806" s="250"/>
      <c r="D806" s="248"/>
      <c r="E806" s="248"/>
      <c r="F806" s="248"/>
      <c r="G806" s="248"/>
      <c r="H806" s="248"/>
      <c r="I806" s="249"/>
      <c r="J806" s="248"/>
      <c r="K806" s="248"/>
      <c r="L806" s="250"/>
      <c r="M806" s="250"/>
      <c r="N806" s="250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</row>
    <row r="807" ht="15.75" customHeight="1">
      <c r="A807" s="248"/>
      <c r="B807" s="248"/>
      <c r="C807" s="250"/>
      <c r="D807" s="248"/>
      <c r="E807" s="248"/>
      <c r="F807" s="248"/>
      <c r="G807" s="248"/>
      <c r="H807" s="248"/>
      <c r="I807" s="249"/>
      <c r="J807" s="248"/>
      <c r="K807" s="248"/>
      <c r="L807" s="250"/>
      <c r="M807" s="250"/>
      <c r="N807" s="250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</row>
    <row r="808" ht="15.75" customHeight="1">
      <c r="A808" s="248"/>
      <c r="B808" s="248"/>
      <c r="C808" s="250"/>
      <c r="D808" s="248"/>
      <c r="E808" s="248"/>
      <c r="F808" s="248"/>
      <c r="G808" s="248"/>
      <c r="H808" s="248"/>
      <c r="I808" s="249"/>
      <c r="J808" s="248"/>
      <c r="K808" s="248"/>
      <c r="L808" s="250"/>
      <c r="M808" s="250"/>
      <c r="N808" s="250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</row>
    <row r="809" ht="15.75" customHeight="1">
      <c r="A809" s="248"/>
      <c r="B809" s="248"/>
      <c r="C809" s="250"/>
      <c r="D809" s="248"/>
      <c r="E809" s="248"/>
      <c r="F809" s="248"/>
      <c r="G809" s="248"/>
      <c r="H809" s="248"/>
      <c r="I809" s="249"/>
      <c r="J809" s="248"/>
      <c r="K809" s="248"/>
      <c r="L809" s="250"/>
      <c r="M809" s="250"/>
      <c r="N809" s="250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</row>
    <row r="810" ht="15.75" customHeight="1">
      <c r="A810" s="248"/>
      <c r="B810" s="248"/>
      <c r="C810" s="250"/>
      <c r="D810" s="248"/>
      <c r="E810" s="248"/>
      <c r="F810" s="248"/>
      <c r="G810" s="248"/>
      <c r="H810" s="248"/>
      <c r="I810" s="249"/>
      <c r="J810" s="248"/>
      <c r="K810" s="248"/>
      <c r="L810" s="250"/>
      <c r="M810" s="250"/>
      <c r="N810" s="250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</row>
    <row r="811" ht="15.75" customHeight="1">
      <c r="A811" s="248"/>
      <c r="B811" s="248"/>
      <c r="C811" s="250"/>
      <c r="D811" s="248"/>
      <c r="E811" s="248"/>
      <c r="F811" s="248"/>
      <c r="G811" s="248"/>
      <c r="H811" s="248"/>
      <c r="I811" s="249"/>
      <c r="J811" s="248"/>
      <c r="K811" s="248"/>
      <c r="L811" s="250"/>
      <c r="M811" s="250"/>
      <c r="N811" s="250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</row>
    <row r="812" ht="15.75" customHeight="1">
      <c r="A812" s="248"/>
      <c r="B812" s="248"/>
      <c r="C812" s="250"/>
      <c r="D812" s="248"/>
      <c r="E812" s="248"/>
      <c r="F812" s="248"/>
      <c r="G812" s="248"/>
      <c r="H812" s="248"/>
      <c r="I812" s="249"/>
      <c r="J812" s="248"/>
      <c r="K812" s="248"/>
      <c r="L812" s="250"/>
      <c r="M812" s="250"/>
      <c r="N812" s="250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</row>
    <row r="813" ht="15.75" customHeight="1">
      <c r="A813" s="248"/>
      <c r="B813" s="248"/>
      <c r="C813" s="250"/>
      <c r="D813" s="248"/>
      <c r="E813" s="248"/>
      <c r="F813" s="248"/>
      <c r="G813" s="248"/>
      <c r="H813" s="248"/>
      <c r="I813" s="249"/>
      <c r="J813" s="248"/>
      <c r="K813" s="248"/>
      <c r="L813" s="250"/>
      <c r="M813" s="250"/>
      <c r="N813" s="250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</row>
    <row r="814" ht="15.75" customHeight="1">
      <c r="A814" s="248"/>
      <c r="B814" s="248"/>
      <c r="C814" s="250"/>
      <c r="D814" s="248"/>
      <c r="E814" s="248"/>
      <c r="F814" s="248"/>
      <c r="G814" s="248"/>
      <c r="H814" s="248"/>
      <c r="I814" s="249"/>
      <c r="J814" s="248"/>
      <c r="K814" s="248"/>
      <c r="L814" s="250"/>
      <c r="M814" s="250"/>
      <c r="N814" s="250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</row>
    <row r="815" ht="15.75" customHeight="1">
      <c r="A815" s="248"/>
      <c r="B815" s="248"/>
      <c r="C815" s="250"/>
      <c r="D815" s="248"/>
      <c r="E815" s="248"/>
      <c r="F815" s="248"/>
      <c r="G815" s="248"/>
      <c r="H815" s="248"/>
      <c r="I815" s="249"/>
      <c r="J815" s="248"/>
      <c r="K815" s="248"/>
      <c r="L815" s="250"/>
      <c r="M815" s="250"/>
      <c r="N815" s="250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</row>
    <row r="816" ht="15.75" customHeight="1">
      <c r="A816" s="248"/>
      <c r="B816" s="248"/>
      <c r="C816" s="250"/>
      <c r="D816" s="248"/>
      <c r="E816" s="248"/>
      <c r="F816" s="248"/>
      <c r="G816" s="248"/>
      <c r="H816" s="248"/>
      <c r="I816" s="249"/>
      <c r="J816" s="248"/>
      <c r="K816" s="248"/>
      <c r="L816" s="250"/>
      <c r="M816" s="250"/>
      <c r="N816" s="250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</row>
    <row r="817" ht="15.75" customHeight="1">
      <c r="A817" s="248"/>
      <c r="B817" s="248"/>
      <c r="C817" s="250"/>
      <c r="D817" s="248"/>
      <c r="E817" s="248"/>
      <c r="F817" s="248"/>
      <c r="G817" s="248"/>
      <c r="H817" s="248"/>
      <c r="I817" s="249"/>
      <c r="J817" s="248"/>
      <c r="K817" s="248"/>
      <c r="L817" s="250"/>
      <c r="M817" s="250"/>
      <c r="N817" s="250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</row>
    <row r="818" ht="15.75" customHeight="1">
      <c r="A818" s="248"/>
      <c r="B818" s="248"/>
      <c r="C818" s="250"/>
      <c r="D818" s="248"/>
      <c r="E818" s="248"/>
      <c r="F818" s="248"/>
      <c r="G818" s="248"/>
      <c r="H818" s="248"/>
      <c r="I818" s="249"/>
      <c r="J818" s="248"/>
      <c r="K818" s="248"/>
      <c r="L818" s="250"/>
      <c r="M818" s="250"/>
      <c r="N818" s="250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</row>
    <row r="819" ht="15.75" customHeight="1">
      <c r="A819" s="248"/>
      <c r="B819" s="248"/>
      <c r="C819" s="250"/>
      <c r="D819" s="248"/>
      <c r="E819" s="248"/>
      <c r="F819" s="248"/>
      <c r="G819" s="248"/>
      <c r="H819" s="248"/>
      <c r="I819" s="249"/>
      <c r="J819" s="248"/>
      <c r="K819" s="248"/>
      <c r="L819" s="250"/>
      <c r="M819" s="250"/>
      <c r="N819" s="250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</row>
    <row r="820" ht="15.75" customHeight="1">
      <c r="A820" s="248"/>
      <c r="B820" s="248"/>
      <c r="C820" s="250"/>
      <c r="D820" s="248"/>
      <c r="E820" s="248"/>
      <c r="F820" s="248"/>
      <c r="G820" s="248"/>
      <c r="H820" s="248"/>
      <c r="I820" s="249"/>
      <c r="J820" s="248"/>
      <c r="K820" s="248"/>
      <c r="L820" s="250"/>
      <c r="M820" s="250"/>
      <c r="N820" s="250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</row>
    <row r="821" ht="15.75" customHeight="1">
      <c r="A821" s="248"/>
      <c r="B821" s="248"/>
      <c r="C821" s="250"/>
      <c r="D821" s="248"/>
      <c r="E821" s="248"/>
      <c r="F821" s="248"/>
      <c r="G821" s="248"/>
      <c r="H821" s="248"/>
      <c r="I821" s="249"/>
      <c r="J821" s="248"/>
      <c r="K821" s="248"/>
      <c r="L821" s="250"/>
      <c r="M821" s="250"/>
      <c r="N821" s="250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</row>
    <row r="822" ht="15.75" customHeight="1">
      <c r="A822" s="248"/>
      <c r="B822" s="248"/>
      <c r="C822" s="250"/>
      <c r="D822" s="248"/>
      <c r="E822" s="248"/>
      <c r="F822" s="248"/>
      <c r="G822" s="248"/>
      <c r="H822" s="248"/>
      <c r="I822" s="249"/>
      <c r="J822" s="248"/>
      <c r="K822" s="248"/>
      <c r="L822" s="250"/>
      <c r="M822" s="250"/>
      <c r="N822" s="250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</row>
    <row r="823" ht="15.75" customHeight="1">
      <c r="A823" s="248"/>
      <c r="B823" s="248"/>
      <c r="C823" s="250"/>
      <c r="D823" s="248"/>
      <c r="E823" s="248"/>
      <c r="F823" s="248"/>
      <c r="G823" s="248"/>
      <c r="H823" s="248"/>
      <c r="I823" s="249"/>
      <c r="J823" s="248"/>
      <c r="K823" s="248"/>
      <c r="L823" s="250"/>
      <c r="M823" s="250"/>
      <c r="N823" s="250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</row>
    <row r="824" ht="15.75" customHeight="1">
      <c r="A824" s="248"/>
      <c r="B824" s="248"/>
      <c r="C824" s="250"/>
      <c r="D824" s="248"/>
      <c r="E824" s="248"/>
      <c r="F824" s="248"/>
      <c r="G824" s="248"/>
      <c r="H824" s="248"/>
      <c r="I824" s="249"/>
      <c r="J824" s="248"/>
      <c r="K824" s="248"/>
      <c r="L824" s="250"/>
      <c r="M824" s="250"/>
      <c r="N824" s="250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</row>
    <row r="825" ht="15.75" customHeight="1">
      <c r="A825" s="248"/>
      <c r="B825" s="248"/>
      <c r="C825" s="250"/>
      <c r="D825" s="248"/>
      <c r="E825" s="248"/>
      <c r="F825" s="248"/>
      <c r="G825" s="248"/>
      <c r="H825" s="248"/>
      <c r="I825" s="249"/>
      <c r="J825" s="248"/>
      <c r="K825" s="248"/>
      <c r="L825" s="250"/>
      <c r="M825" s="250"/>
      <c r="N825" s="250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</row>
    <row r="826" ht="15.75" customHeight="1">
      <c r="A826" s="248"/>
      <c r="B826" s="248"/>
      <c r="C826" s="250"/>
      <c r="D826" s="248"/>
      <c r="E826" s="248"/>
      <c r="F826" s="248"/>
      <c r="G826" s="248"/>
      <c r="H826" s="248"/>
      <c r="I826" s="249"/>
      <c r="J826" s="248"/>
      <c r="K826" s="248"/>
      <c r="L826" s="250"/>
      <c r="M826" s="250"/>
      <c r="N826" s="250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</row>
    <row r="827" ht="15.75" customHeight="1">
      <c r="A827" s="248"/>
      <c r="B827" s="248"/>
      <c r="C827" s="250"/>
      <c r="D827" s="248"/>
      <c r="E827" s="248"/>
      <c r="F827" s="248"/>
      <c r="G827" s="248"/>
      <c r="H827" s="248"/>
      <c r="I827" s="249"/>
      <c r="J827" s="248"/>
      <c r="K827" s="248"/>
      <c r="L827" s="250"/>
      <c r="M827" s="250"/>
      <c r="N827" s="250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</row>
    <row r="828" ht="15.75" customHeight="1">
      <c r="A828" s="248"/>
      <c r="B828" s="248"/>
      <c r="C828" s="250"/>
      <c r="D828" s="248"/>
      <c r="E828" s="248"/>
      <c r="F828" s="248"/>
      <c r="G828" s="248"/>
      <c r="H828" s="248"/>
      <c r="I828" s="249"/>
      <c r="J828" s="248"/>
      <c r="K828" s="248"/>
      <c r="L828" s="250"/>
      <c r="M828" s="250"/>
      <c r="N828" s="250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</row>
    <row r="829" ht="15.75" customHeight="1">
      <c r="A829" s="248"/>
      <c r="B829" s="248"/>
      <c r="C829" s="250"/>
      <c r="D829" s="248"/>
      <c r="E829" s="248"/>
      <c r="F829" s="248"/>
      <c r="G829" s="248"/>
      <c r="H829" s="248"/>
      <c r="I829" s="249"/>
      <c r="J829" s="248"/>
      <c r="K829" s="248"/>
      <c r="L829" s="250"/>
      <c r="M829" s="250"/>
      <c r="N829" s="250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</row>
    <row r="830" ht="15.75" customHeight="1">
      <c r="A830" s="248"/>
      <c r="B830" s="248"/>
      <c r="C830" s="250"/>
      <c r="D830" s="248"/>
      <c r="E830" s="248"/>
      <c r="F830" s="248"/>
      <c r="G830" s="248"/>
      <c r="H830" s="248"/>
      <c r="I830" s="249"/>
      <c r="J830" s="248"/>
      <c r="K830" s="248"/>
      <c r="L830" s="250"/>
      <c r="M830" s="250"/>
      <c r="N830" s="250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</row>
    <row r="831" ht="15.75" customHeight="1">
      <c r="A831" s="248"/>
      <c r="B831" s="248"/>
      <c r="C831" s="250"/>
      <c r="D831" s="248"/>
      <c r="E831" s="248"/>
      <c r="F831" s="248"/>
      <c r="G831" s="248"/>
      <c r="H831" s="248"/>
      <c r="I831" s="249"/>
      <c r="J831" s="248"/>
      <c r="K831" s="248"/>
      <c r="L831" s="250"/>
      <c r="M831" s="250"/>
      <c r="N831" s="250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</row>
    <row r="832" ht="15.75" customHeight="1">
      <c r="A832" s="248"/>
      <c r="B832" s="248"/>
      <c r="C832" s="250"/>
      <c r="D832" s="248"/>
      <c r="E832" s="248"/>
      <c r="F832" s="248"/>
      <c r="G832" s="248"/>
      <c r="H832" s="248"/>
      <c r="I832" s="249"/>
      <c r="J832" s="248"/>
      <c r="K832" s="248"/>
      <c r="L832" s="250"/>
      <c r="M832" s="250"/>
      <c r="N832" s="250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</row>
    <row r="833" ht="15.75" customHeight="1">
      <c r="A833" s="248"/>
      <c r="B833" s="248"/>
      <c r="C833" s="250"/>
      <c r="D833" s="248"/>
      <c r="E833" s="248"/>
      <c r="F833" s="248"/>
      <c r="G833" s="248"/>
      <c r="H833" s="248"/>
      <c r="I833" s="249"/>
      <c r="J833" s="248"/>
      <c r="K833" s="248"/>
      <c r="L833" s="250"/>
      <c r="M833" s="250"/>
      <c r="N833" s="250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</row>
    <row r="834" ht="15.75" customHeight="1">
      <c r="A834" s="248"/>
      <c r="B834" s="248"/>
      <c r="C834" s="250"/>
      <c r="D834" s="248"/>
      <c r="E834" s="248"/>
      <c r="F834" s="248"/>
      <c r="G834" s="248"/>
      <c r="H834" s="248"/>
      <c r="I834" s="249"/>
      <c r="J834" s="248"/>
      <c r="K834" s="248"/>
      <c r="L834" s="250"/>
      <c r="M834" s="250"/>
      <c r="N834" s="250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</row>
    <row r="835" ht="15.75" customHeight="1">
      <c r="A835" s="248"/>
      <c r="B835" s="248"/>
      <c r="C835" s="250"/>
      <c r="D835" s="248"/>
      <c r="E835" s="248"/>
      <c r="F835" s="248"/>
      <c r="G835" s="248"/>
      <c r="H835" s="248"/>
      <c r="I835" s="249"/>
      <c r="J835" s="248"/>
      <c r="K835" s="248"/>
      <c r="L835" s="250"/>
      <c r="M835" s="250"/>
      <c r="N835" s="250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</row>
    <row r="836" ht="15.75" customHeight="1">
      <c r="A836" s="248"/>
      <c r="B836" s="248"/>
      <c r="C836" s="250"/>
      <c r="D836" s="248"/>
      <c r="E836" s="248"/>
      <c r="F836" s="248"/>
      <c r="G836" s="248"/>
      <c r="H836" s="248"/>
      <c r="I836" s="249"/>
      <c r="J836" s="248"/>
      <c r="K836" s="248"/>
      <c r="L836" s="250"/>
      <c r="M836" s="250"/>
      <c r="N836" s="250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</row>
    <row r="837" ht="15.75" customHeight="1">
      <c r="A837" s="248"/>
      <c r="B837" s="248"/>
      <c r="C837" s="250"/>
      <c r="D837" s="248"/>
      <c r="E837" s="248"/>
      <c r="F837" s="248"/>
      <c r="G837" s="248"/>
      <c r="H837" s="248"/>
      <c r="I837" s="249"/>
      <c r="J837" s="248"/>
      <c r="K837" s="248"/>
      <c r="L837" s="250"/>
      <c r="M837" s="250"/>
      <c r="N837" s="250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</row>
    <row r="838" ht="15.75" customHeight="1">
      <c r="A838" s="248"/>
      <c r="B838" s="248"/>
      <c r="C838" s="250"/>
      <c r="D838" s="248"/>
      <c r="E838" s="248"/>
      <c r="F838" s="248"/>
      <c r="G838" s="248"/>
      <c r="H838" s="248"/>
      <c r="I838" s="249"/>
      <c r="J838" s="248"/>
      <c r="K838" s="248"/>
      <c r="L838" s="250"/>
      <c r="M838" s="250"/>
      <c r="N838" s="250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</row>
    <row r="839" ht="15.75" customHeight="1">
      <c r="A839" s="248"/>
      <c r="B839" s="248"/>
      <c r="C839" s="250"/>
      <c r="D839" s="248"/>
      <c r="E839" s="248"/>
      <c r="F839" s="248"/>
      <c r="G839" s="248"/>
      <c r="H839" s="248"/>
      <c r="I839" s="249"/>
      <c r="J839" s="248"/>
      <c r="K839" s="248"/>
      <c r="L839" s="250"/>
      <c r="M839" s="250"/>
      <c r="N839" s="250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</row>
    <row r="840" ht="15.75" customHeight="1">
      <c r="A840" s="248"/>
      <c r="B840" s="248"/>
      <c r="C840" s="250"/>
      <c r="D840" s="248"/>
      <c r="E840" s="248"/>
      <c r="F840" s="248"/>
      <c r="G840" s="248"/>
      <c r="H840" s="248"/>
      <c r="I840" s="249"/>
      <c r="J840" s="248"/>
      <c r="K840" s="248"/>
      <c r="L840" s="250"/>
      <c r="M840" s="250"/>
      <c r="N840" s="250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</row>
    <row r="841" ht="15.75" customHeight="1">
      <c r="A841" s="248"/>
      <c r="B841" s="248"/>
      <c r="C841" s="250"/>
      <c r="D841" s="248"/>
      <c r="E841" s="248"/>
      <c r="F841" s="248"/>
      <c r="G841" s="248"/>
      <c r="H841" s="248"/>
      <c r="I841" s="249"/>
      <c r="J841" s="248"/>
      <c r="K841" s="248"/>
      <c r="L841" s="250"/>
      <c r="M841" s="250"/>
      <c r="N841" s="250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</row>
    <row r="842" ht="15.75" customHeight="1">
      <c r="A842" s="248"/>
      <c r="B842" s="248"/>
      <c r="C842" s="250"/>
      <c r="D842" s="248"/>
      <c r="E842" s="248"/>
      <c r="F842" s="248"/>
      <c r="G842" s="248"/>
      <c r="H842" s="248"/>
      <c r="I842" s="249"/>
      <c r="J842" s="248"/>
      <c r="K842" s="248"/>
      <c r="L842" s="250"/>
      <c r="M842" s="250"/>
      <c r="N842" s="250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</row>
    <row r="843" ht="15.75" customHeight="1">
      <c r="A843" s="248"/>
      <c r="B843" s="248"/>
      <c r="C843" s="250"/>
      <c r="D843" s="248"/>
      <c r="E843" s="248"/>
      <c r="F843" s="248"/>
      <c r="G843" s="248"/>
      <c r="H843" s="248"/>
      <c r="I843" s="249"/>
      <c r="J843" s="248"/>
      <c r="K843" s="248"/>
      <c r="L843" s="250"/>
      <c r="M843" s="250"/>
      <c r="N843" s="250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</row>
    <row r="844" ht="15.75" customHeight="1">
      <c r="A844" s="248"/>
      <c r="B844" s="248"/>
      <c r="C844" s="250"/>
      <c r="D844" s="248"/>
      <c r="E844" s="248"/>
      <c r="F844" s="248"/>
      <c r="G844" s="248"/>
      <c r="H844" s="248"/>
      <c r="I844" s="249"/>
      <c r="J844" s="248"/>
      <c r="K844" s="248"/>
      <c r="L844" s="250"/>
      <c r="M844" s="250"/>
      <c r="N844" s="250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</row>
    <row r="845" ht="15.75" customHeight="1">
      <c r="A845" s="248"/>
      <c r="B845" s="248"/>
      <c r="C845" s="250"/>
      <c r="D845" s="248"/>
      <c r="E845" s="248"/>
      <c r="F845" s="248"/>
      <c r="G845" s="248"/>
      <c r="H845" s="248"/>
      <c r="I845" s="249"/>
      <c r="J845" s="248"/>
      <c r="K845" s="248"/>
      <c r="L845" s="250"/>
      <c r="M845" s="250"/>
      <c r="N845" s="250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</row>
    <row r="846" ht="15.75" customHeight="1">
      <c r="A846" s="248"/>
      <c r="B846" s="248"/>
      <c r="C846" s="250"/>
      <c r="D846" s="248"/>
      <c r="E846" s="248"/>
      <c r="F846" s="248"/>
      <c r="G846" s="248"/>
      <c r="H846" s="248"/>
      <c r="I846" s="249"/>
      <c r="J846" s="248"/>
      <c r="K846" s="248"/>
      <c r="L846" s="250"/>
      <c r="M846" s="250"/>
      <c r="N846" s="250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</row>
    <row r="847" ht="15.75" customHeight="1">
      <c r="A847" s="248"/>
      <c r="B847" s="248"/>
      <c r="C847" s="250"/>
      <c r="D847" s="248"/>
      <c r="E847" s="248"/>
      <c r="F847" s="248"/>
      <c r="G847" s="248"/>
      <c r="H847" s="248"/>
      <c r="I847" s="249"/>
      <c r="J847" s="248"/>
      <c r="K847" s="248"/>
      <c r="L847" s="250"/>
      <c r="M847" s="250"/>
      <c r="N847" s="250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</row>
    <row r="848" ht="15.75" customHeight="1">
      <c r="A848" s="248"/>
      <c r="B848" s="248"/>
      <c r="C848" s="250"/>
      <c r="D848" s="248"/>
      <c r="E848" s="248"/>
      <c r="F848" s="248"/>
      <c r="G848" s="248"/>
      <c r="H848" s="248"/>
      <c r="I848" s="249"/>
      <c r="J848" s="248"/>
      <c r="K848" s="248"/>
      <c r="L848" s="250"/>
      <c r="M848" s="250"/>
      <c r="N848" s="250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</row>
    <row r="849" ht="15.75" customHeight="1">
      <c r="A849" s="248"/>
      <c r="B849" s="248"/>
      <c r="C849" s="250"/>
      <c r="D849" s="248"/>
      <c r="E849" s="248"/>
      <c r="F849" s="248"/>
      <c r="G849" s="248"/>
      <c r="H849" s="248"/>
      <c r="I849" s="249"/>
      <c r="J849" s="248"/>
      <c r="K849" s="248"/>
      <c r="L849" s="250"/>
      <c r="M849" s="250"/>
      <c r="N849" s="250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</row>
    <row r="850" ht="15.75" customHeight="1">
      <c r="A850" s="248"/>
      <c r="B850" s="248"/>
      <c r="C850" s="250"/>
      <c r="D850" s="248"/>
      <c r="E850" s="248"/>
      <c r="F850" s="248"/>
      <c r="G850" s="248"/>
      <c r="H850" s="248"/>
      <c r="I850" s="249"/>
      <c r="J850" s="248"/>
      <c r="K850" s="248"/>
      <c r="L850" s="250"/>
      <c r="M850" s="250"/>
      <c r="N850" s="250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</row>
    <row r="851" ht="15.75" customHeight="1">
      <c r="A851" s="248"/>
      <c r="B851" s="248"/>
      <c r="C851" s="250"/>
      <c r="D851" s="248"/>
      <c r="E851" s="248"/>
      <c r="F851" s="248"/>
      <c r="G851" s="248"/>
      <c r="H851" s="248"/>
      <c r="I851" s="249"/>
      <c r="J851" s="248"/>
      <c r="K851" s="248"/>
      <c r="L851" s="250"/>
      <c r="M851" s="250"/>
      <c r="N851" s="250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</row>
    <row r="852" ht="15.75" customHeight="1">
      <c r="A852" s="248"/>
      <c r="B852" s="248"/>
      <c r="C852" s="250"/>
      <c r="D852" s="248"/>
      <c r="E852" s="248"/>
      <c r="F852" s="248"/>
      <c r="G852" s="248"/>
      <c r="H852" s="248"/>
      <c r="I852" s="249"/>
      <c r="J852" s="248"/>
      <c r="K852" s="248"/>
      <c r="L852" s="250"/>
      <c r="M852" s="250"/>
      <c r="N852" s="250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</row>
    <row r="853" ht="15.75" customHeight="1">
      <c r="A853" s="248"/>
      <c r="B853" s="248"/>
      <c r="C853" s="250"/>
      <c r="D853" s="248"/>
      <c r="E853" s="248"/>
      <c r="F853" s="248"/>
      <c r="G853" s="248"/>
      <c r="H853" s="248"/>
      <c r="I853" s="249"/>
      <c r="J853" s="248"/>
      <c r="K853" s="248"/>
      <c r="L853" s="250"/>
      <c r="M853" s="250"/>
      <c r="N853" s="250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</row>
    <row r="854" ht="15.75" customHeight="1">
      <c r="A854" s="248"/>
      <c r="B854" s="248"/>
      <c r="C854" s="250"/>
      <c r="D854" s="248"/>
      <c r="E854" s="248"/>
      <c r="F854" s="248"/>
      <c r="G854" s="248"/>
      <c r="H854" s="248"/>
      <c r="I854" s="249"/>
      <c r="J854" s="248"/>
      <c r="K854" s="248"/>
      <c r="L854" s="250"/>
      <c r="M854" s="250"/>
      <c r="N854" s="250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</row>
    <row r="855" ht="15.75" customHeight="1">
      <c r="A855" s="248"/>
      <c r="B855" s="248"/>
      <c r="C855" s="250"/>
      <c r="D855" s="248"/>
      <c r="E855" s="248"/>
      <c r="F855" s="248"/>
      <c r="G855" s="248"/>
      <c r="H855" s="248"/>
      <c r="I855" s="249"/>
      <c r="J855" s="248"/>
      <c r="K855" s="248"/>
      <c r="L855" s="250"/>
      <c r="M855" s="250"/>
      <c r="N855" s="250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</row>
    <row r="856" ht="15.75" customHeight="1">
      <c r="A856" s="248"/>
      <c r="B856" s="248"/>
      <c r="C856" s="250"/>
      <c r="D856" s="248"/>
      <c r="E856" s="248"/>
      <c r="F856" s="248"/>
      <c r="G856" s="248"/>
      <c r="H856" s="248"/>
      <c r="I856" s="249"/>
      <c r="J856" s="248"/>
      <c r="K856" s="248"/>
      <c r="L856" s="250"/>
      <c r="M856" s="250"/>
      <c r="N856" s="250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</row>
    <row r="857" ht="15.75" customHeight="1">
      <c r="A857" s="248"/>
      <c r="B857" s="248"/>
      <c r="C857" s="250"/>
      <c r="D857" s="248"/>
      <c r="E857" s="248"/>
      <c r="F857" s="248"/>
      <c r="G857" s="248"/>
      <c r="H857" s="248"/>
      <c r="I857" s="249"/>
      <c r="J857" s="248"/>
      <c r="K857" s="248"/>
      <c r="L857" s="250"/>
      <c r="M857" s="250"/>
      <c r="N857" s="250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</row>
    <row r="858" ht="15.75" customHeight="1">
      <c r="A858" s="248"/>
      <c r="B858" s="248"/>
      <c r="C858" s="250"/>
      <c r="D858" s="248"/>
      <c r="E858" s="248"/>
      <c r="F858" s="248"/>
      <c r="G858" s="248"/>
      <c r="H858" s="248"/>
      <c r="I858" s="249"/>
      <c r="J858" s="248"/>
      <c r="K858" s="248"/>
      <c r="L858" s="250"/>
      <c r="M858" s="250"/>
      <c r="N858" s="250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</row>
    <row r="859" ht="15.75" customHeight="1">
      <c r="A859" s="248"/>
      <c r="B859" s="248"/>
      <c r="C859" s="250"/>
      <c r="D859" s="248"/>
      <c r="E859" s="248"/>
      <c r="F859" s="248"/>
      <c r="G859" s="248"/>
      <c r="H859" s="248"/>
      <c r="I859" s="249"/>
      <c r="J859" s="248"/>
      <c r="K859" s="248"/>
      <c r="L859" s="250"/>
      <c r="M859" s="250"/>
      <c r="N859" s="250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</row>
    <row r="860" ht="15.75" customHeight="1">
      <c r="A860" s="248"/>
      <c r="B860" s="248"/>
      <c r="C860" s="250"/>
      <c r="D860" s="248"/>
      <c r="E860" s="248"/>
      <c r="F860" s="248"/>
      <c r="G860" s="248"/>
      <c r="H860" s="248"/>
      <c r="I860" s="249"/>
      <c r="J860" s="248"/>
      <c r="K860" s="248"/>
      <c r="L860" s="250"/>
      <c r="M860" s="250"/>
      <c r="N860" s="250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</row>
    <row r="861" ht="15.75" customHeight="1">
      <c r="A861" s="248"/>
      <c r="B861" s="248"/>
      <c r="C861" s="250"/>
      <c r="D861" s="248"/>
      <c r="E861" s="248"/>
      <c r="F861" s="248"/>
      <c r="G861" s="248"/>
      <c r="H861" s="248"/>
      <c r="I861" s="249"/>
      <c r="J861" s="248"/>
      <c r="K861" s="248"/>
      <c r="L861" s="250"/>
      <c r="M861" s="250"/>
      <c r="N861" s="250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</row>
    <row r="862" ht="15.75" customHeight="1">
      <c r="A862" s="248"/>
      <c r="B862" s="248"/>
      <c r="C862" s="250"/>
      <c r="D862" s="248"/>
      <c r="E862" s="248"/>
      <c r="F862" s="248"/>
      <c r="G862" s="248"/>
      <c r="H862" s="248"/>
      <c r="I862" s="249"/>
      <c r="J862" s="248"/>
      <c r="K862" s="248"/>
      <c r="L862" s="250"/>
      <c r="M862" s="250"/>
      <c r="N862" s="250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</row>
    <row r="863" ht="15.75" customHeight="1">
      <c r="A863" s="248"/>
      <c r="B863" s="248"/>
      <c r="C863" s="250"/>
      <c r="D863" s="248"/>
      <c r="E863" s="248"/>
      <c r="F863" s="248"/>
      <c r="G863" s="248"/>
      <c r="H863" s="248"/>
      <c r="I863" s="249"/>
      <c r="J863" s="248"/>
      <c r="K863" s="248"/>
      <c r="L863" s="250"/>
      <c r="M863" s="250"/>
      <c r="N863" s="250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</row>
    <row r="864" ht="15.75" customHeight="1">
      <c r="A864" s="248"/>
      <c r="B864" s="248"/>
      <c r="C864" s="250"/>
      <c r="D864" s="248"/>
      <c r="E864" s="248"/>
      <c r="F864" s="248"/>
      <c r="G864" s="248"/>
      <c r="H864" s="248"/>
      <c r="I864" s="249"/>
      <c r="J864" s="248"/>
      <c r="K864" s="248"/>
      <c r="L864" s="250"/>
      <c r="M864" s="250"/>
      <c r="N864" s="250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</row>
    <row r="865" ht="15.75" customHeight="1">
      <c r="A865" s="248"/>
      <c r="B865" s="248"/>
      <c r="C865" s="250"/>
      <c r="D865" s="248"/>
      <c r="E865" s="248"/>
      <c r="F865" s="248"/>
      <c r="G865" s="248"/>
      <c r="H865" s="248"/>
      <c r="I865" s="249"/>
      <c r="J865" s="248"/>
      <c r="K865" s="248"/>
      <c r="L865" s="250"/>
      <c r="M865" s="250"/>
      <c r="N865" s="250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</row>
    <row r="866" ht="15.75" customHeight="1">
      <c r="A866" s="248"/>
      <c r="B866" s="248"/>
      <c r="C866" s="250"/>
      <c r="D866" s="248"/>
      <c r="E866" s="248"/>
      <c r="F866" s="248"/>
      <c r="G866" s="248"/>
      <c r="H866" s="248"/>
      <c r="I866" s="249"/>
      <c r="J866" s="248"/>
      <c r="K866" s="248"/>
      <c r="L866" s="250"/>
      <c r="M866" s="250"/>
      <c r="N866" s="250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</row>
    <row r="867" ht="15.75" customHeight="1">
      <c r="A867" s="248"/>
      <c r="B867" s="248"/>
      <c r="C867" s="250"/>
      <c r="D867" s="248"/>
      <c r="E867" s="248"/>
      <c r="F867" s="248"/>
      <c r="G867" s="248"/>
      <c r="H867" s="248"/>
      <c r="I867" s="249"/>
      <c r="J867" s="248"/>
      <c r="K867" s="248"/>
      <c r="L867" s="250"/>
      <c r="M867" s="250"/>
      <c r="N867" s="250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</row>
    <row r="868" ht="15.75" customHeight="1">
      <c r="A868" s="248"/>
      <c r="B868" s="248"/>
      <c r="C868" s="250"/>
      <c r="D868" s="248"/>
      <c r="E868" s="248"/>
      <c r="F868" s="248"/>
      <c r="G868" s="248"/>
      <c r="H868" s="248"/>
      <c r="I868" s="249"/>
      <c r="J868" s="248"/>
      <c r="K868" s="248"/>
      <c r="L868" s="250"/>
      <c r="M868" s="250"/>
      <c r="N868" s="250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</row>
    <row r="869" ht="15.75" customHeight="1">
      <c r="A869" s="248"/>
      <c r="B869" s="248"/>
      <c r="C869" s="250"/>
      <c r="D869" s="248"/>
      <c r="E869" s="248"/>
      <c r="F869" s="248"/>
      <c r="G869" s="248"/>
      <c r="H869" s="248"/>
      <c r="I869" s="249"/>
      <c r="J869" s="248"/>
      <c r="K869" s="248"/>
      <c r="L869" s="250"/>
      <c r="M869" s="250"/>
      <c r="N869" s="250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</row>
    <row r="870" ht="15.75" customHeight="1">
      <c r="A870" s="248"/>
      <c r="B870" s="248"/>
      <c r="C870" s="250"/>
      <c r="D870" s="248"/>
      <c r="E870" s="248"/>
      <c r="F870" s="248"/>
      <c r="G870" s="248"/>
      <c r="H870" s="248"/>
      <c r="I870" s="249"/>
      <c r="J870" s="248"/>
      <c r="K870" s="248"/>
      <c r="L870" s="250"/>
      <c r="M870" s="250"/>
      <c r="N870" s="250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</row>
    <row r="871" ht="15.75" customHeight="1">
      <c r="A871" s="248"/>
      <c r="B871" s="248"/>
      <c r="C871" s="250"/>
      <c r="D871" s="248"/>
      <c r="E871" s="248"/>
      <c r="F871" s="248"/>
      <c r="G871" s="248"/>
      <c r="H871" s="248"/>
      <c r="I871" s="249"/>
      <c r="J871" s="248"/>
      <c r="K871" s="248"/>
      <c r="L871" s="250"/>
      <c r="M871" s="250"/>
      <c r="N871" s="250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</row>
    <row r="872" ht="15.75" customHeight="1">
      <c r="A872" s="248"/>
      <c r="B872" s="248"/>
      <c r="C872" s="250"/>
      <c r="D872" s="248"/>
      <c r="E872" s="248"/>
      <c r="F872" s="248"/>
      <c r="G872" s="248"/>
      <c r="H872" s="248"/>
      <c r="I872" s="249"/>
      <c r="J872" s="248"/>
      <c r="K872" s="248"/>
      <c r="L872" s="250"/>
      <c r="M872" s="250"/>
      <c r="N872" s="250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</row>
    <row r="873" ht="15.75" customHeight="1">
      <c r="A873" s="248"/>
      <c r="B873" s="248"/>
      <c r="C873" s="250"/>
      <c r="D873" s="248"/>
      <c r="E873" s="248"/>
      <c r="F873" s="248"/>
      <c r="G873" s="248"/>
      <c r="H873" s="248"/>
      <c r="I873" s="249"/>
      <c r="J873" s="248"/>
      <c r="K873" s="248"/>
      <c r="L873" s="250"/>
      <c r="M873" s="250"/>
      <c r="N873" s="250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</row>
    <row r="874" ht="15.75" customHeight="1">
      <c r="A874" s="248"/>
      <c r="B874" s="248"/>
      <c r="C874" s="250"/>
      <c r="D874" s="248"/>
      <c r="E874" s="248"/>
      <c r="F874" s="248"/>
      <c r="G874" s="248"/>
      <c r="H874" s="248"/>
      <c r="I874" s="249"/>
      <c r="J874" s="248"/>
      <c r="K874" s="248"/>
      <c r="L874" s="250"/>
      <c r="M874" s="250"/>
      <c r="N874" s="250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</row>
    <row r="875" ht="15.75" customHeight="1">
      <c r="A875" s="248"/>
      <c r="B875" s="248"/>
      <c r="C875" s="250"/>
      <c r="D875" s="248"/>
      <c r="E875" s="248"/>
      <c r="F875" s="248"/>
      <c r="G875" s="248"/>
      <c r="H875" s="248"/>
      <c r="I875" s="249"/>
      <c r="J875" s="248"/>
      <c r="K875" s="248"/>
      <c r="L875" s="250"/>
      <c r="M875" s="250"/>
      <c r="N875" s="250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</row>
    <row r="876" ht="15.75" customHeight="1">
      <c r="A876" s="248"/>
      <c r="B876" s="248"/>
      <c r="C876" s="250"/>
      <c r="D876" s="248"/>
      <c r="E876" s="248"/>
      <c r="F876" s="248"/>
      <c r="G876" s="248"/>
      <c r="H876" s="248"/>
      <c r="I876" s="249"/>
      <c r="J876" s="248"/>
      <c r="K876" s="248"/>
      <c r="L876" s="250"/>
      <c r="M876" s="250"/>
      <c r="N876" s="250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</row>
    <row r="877" ht="15.75" customHeight="1">
      <c r="A877" s="248"/>
      <c r="B877" s="248"/>
      <c r="C877" s="250"/>
      <c r="D877" s="248"/>
      <c r="E877" s="248"/>
      <c r="F877" s="248"/>
      <c r="G877" s="248"/>
      <c r="H877" s="248"/>
      <c r="I877" s="249"/>
      <c r="J877" s="248"/>
      <c r="K877" s="248"/>
      <c r="L877" s="250"/>
      <c r="M877" s="250"/>
      <c r="N877" s="250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</row>
    <row r="878" ht="15.75" customHeight="1">
      <c r="A878" s="248"/>
      <c r="B878" s="248"/>
      <c r="C878" s="250"/>
      <c r="D878" s="248"/>
      <c r="E878" s="248"/>
      <c r="F878" s="248"/>
      <c r="G878" s="248"/>
      <c r="H878" s="248"/>
      <c r="I878" s="249"/>
      <c r="J878" s="248"/>
      <c r="K878" s="248"/>
      <c r="L878" s="250"/>
      <c r="M878" s="250"/>
      <c r="N878" s="250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</row>
    <row r="879" ht="15.75" customHeight="1">
      <c r="A879" s="248"/>
      <c r="B879" s="248"/>
      <c r="C879" s="250"/>
      <c r="D879" s="248"/>
      <c r="E879" s="248"/>
      <c r="F879" s="248"/>
      <c r="G879" s="248"/>
      <c r="H879" s="248"/>
      <c r="I879" s="249"/>
      <c r="J879" s="248"/>
      <c r="K879" s="248"/>
      <c r="L879" s="250"/>
      <c r="M879" s="250"/>
      <c r="N879" s="250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</row>
    <row r="880" ht="15.75" customHeight="1">
      <c r="A880" s="248"/>
      <c r="B880" s="248"/>
      <c r="C880" s="250"/>
      <c r="D880" s="248"/>
      <c r="E880" s="248"/>
      <c r="F880" s="248"/>
      <c r="G880" s="248"/>
      <c r="H880" s="248"/>
      <c r="I880" s="249"/>
      <c r="J880" s="248"/>
      <c r="K880" s="248"/>
      <c r="L880" s="250"/>
      <c r="M880" s="250"/>
      <c r="N880" s="250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</row>
    <row r="881" ht="15.75" customHeight="1">
      <c r="A881" s="248"/>
      <c r="B881" s="248"/>
      <c r="C881" s="250"/>
      <c r="D881" s="248"/>
      <c r="E881" s="248"/>
      <c r="F881" s="248"/>
      <c r="G881" s="248"/>
      <c r="H881" s="248"/>
      <c r="I881" s="249"/>
      <c r="J881" s="248"/>
      <c r="K881" s="248"/>
      <c r="L881" s="250"/>
      <c r="M881" s="250"/>
      <c r="N881" s="250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</row>
    <row r="882" ht="15.75" customHeight="1">
      <c r="A882" s="248"/>
      <c r="B882" s="248"/>
      <c r="C882" s="250"/>
      <c r="D882" s="248"/>
      <c r="E882" s="248"/>
      <c r="F882" s="248"/>
      <c r="G882" s="248"/>
      <c r="H882" s="248"/>
      <c r="I882" s="249"/>
      <c r="J882" s="248"/>
      <c r="K882" s="248"/>
      <c r="L882" s="250"/>
      <c r="M882" s="250"/>
      <c r="N882" s="250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</row>
    <row r="883" ht="15.75" customHeight="1">
      <c r="A883" s="248"/>
      <c r="B883" s="248"/>
      <c r="C883" s="250"/>
      <c r="D883" s="248"/>
      <c r="E883" s="248"/>
      <c r="F883" s="248"/>
      <c r="G883" s="248"/>
      <c r="H883" s="248"/>
      <c r="I883" s="249"/>
      <c r="J883" s="248"/>
      <c r="K883" s="248"/>
      <c r="L883" s="250"/>
      <c r="M883" s="250"/>
      <c r="N883" s="250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</row>
    <row r="884" ht="15.75" customHeight="1">
      <c r="A884" s="248"/>
      <c r="B884" s="248"/>
      <c r="C884" s="250"/>
      <c r="D884" s="248"/>
      <c r="E884" s="248"/>
      <c r="F884" s="248"/>
      <c r="G884" s="248"/>
      <c r="H884" s="248"/>
      <c r="I884" s="249"/>
      <c r="J884" s="248"/>
      <c r="K884" s="248"/>
      <c r="L884" s="250"/>
      <c r="M884" s="250"/>
      <c r="N884" s="250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</row>
    <row r="885" ht="15.75" customHeight="1">
      <c r="A885" s="248"/>
      <c r="B885" s="248"/>
      <c r="C885" s="250"/>
      <c r="D885" s="248"/>
      <c r="E885" s="248"/>
      <c r="F885" s="248"/>
      <c r="G885" s="248"/>
      <c r="H885" s="248"/>
      <c r="I885" s="249"/>
      <c r="J885" s="248"/>
      <c r="K885" s="248"/>
      <c r="L885" s="250"/>
      <c r="M885" s="250"/>
      <c r="N885" s="250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</row>
    <row r="886" ht="15.75" customHeight="1">
      <c r="A886" s="248"/>
      <c r="B886" s="248"/>
      <c r="C886" s="250"/>
      <c r="D886" s="248"/>
      <c r="E886" s="248"/>
      <c r="F886" s="248"/>
      <c r="G886" s="248"/>
      <c r="H886" s="248"/>
      <c r="I886" s="249"/>
      <c r="J886" s="248"/>
      <c r="K886" s="248"/>
      <c r="L886" s="250"/>
      <c r="M886" s="250"/>
      <c r="N886" s="250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</row>
    <row r="887" ht="15.75" customHeight="1">
      <c r="A887" s="248"/>
      <c r="B887" s="248"/>
      <c r="C887" s="250"/>
      <c r="D887" s="248"/>
      <c r="E887" s="248"/>
      <c r="F887" s="248"/>
      <c r="G887" s="248"/>
      <c r="H887" s="248"/>
      <c r="I887" s="249"/>
      <c r="J887" s="248"/>
      <c r="K887" s="248"/>
      <c r="L887" s="250"/>
      <c r="M887" s="250"/>
      <c r="N887" s="250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</row>
    <row r="888" ht="15.75" customHeight="1">
      <c r="A888" s="248"/>
      <c r="B888" s="248"/>
      <c r="C888" s="250"/>
      <c r="D888" s="248"/>
      <c r="E888" s="248"/>
      <c r="F888" s="248"/>
      <c r="G888" s="248"/>
      <c r="H888" s="248"/>
      <c r="I888" s="249"/>
      <c r="J888" s="248"/>
      <c r="K888" s="248"/>
      <c r="L888" s="250"/>
      <c r="M888" s="250"/>
      <c r="N888" s="250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</row>
    <row r="889" ht="15.75" customHeight="1">
      <c r="A889" s="248"/>
      <c r="B889" s="248"/>
      <c r="C889" s="250"/>
      <c r="D889" s="248"/>
      <c r="E889" s="248"/>
      <c r="F889" s="248"/>
      <c r="G889" s="248"/>
      <c r="H889" s="248"/>
      <c r="I889" s="249"/>
      <c r="J889" s="248"/>
      <c r="K889" s="248"/>
      <c r="L889" s="250"/>
      <c r="M889" s="250"/>
      <c r="N889" s="250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</row>
    <row r="890" ht="15.75" customHeight="1">
      <c r="A890" s="248"/>
      <c r="B890" s="248"/>
      <c r="C890" s="250"/>
      <c r="D890" s="248"/>
      <c r="E890" s="248"/>
      <c r="F890" s="248"/>
      <c r="G890" s="248"/>
      <c r="H890" s="248"/>
      <c r="I890" s="249"/>
      <c r="J890" s="248"/>
      <c r="K890" s="248"/>
      <c r="L890" s="250"/>
      <c r="M890" s="250"/>
      <c r="N890" s="250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</row>
    <row r="891" ht="15.75" customHeight="1">
      <c r="A891" s="248"/>
      <c r="B891" s="248"/>
      <c r="C891" s="250"/>
      <c r="D891" s="248"/>
      <c r="E891" s="248"/>
      <c r="F891" s="248"/>
      <c r="G891" s="248"/>
      <c r="H891" s="248"/>
      <c r="I891" s="249"/>
      <c r="J891" s="248"/>
      <c r="K891" s="248"/>
      <c r="L891" s="250"/>
      <c r="M891" s="250"/>
      <c r="N891" s="250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</row>
    <row r="892" ht="15.75" customHeight="1">
      <c r="A892" s="248"/>
      <c r="B892" s="248"/>
      <c r="C892" s="250"/>
      <c r="D892" s="248"/>
      <c r="E892" s="248"/>
      <c r="F892" s="248"/>
      <c r="G892" s="248"/>
      <c r="H892" s="248"/>
      <c r="I892" s="249"/>
      <c r="J892" s="248"/>
      <c r="K892" s="248"/>
      <c r="L892" s="250"/>
      <c r="M892" s="250"/>
      <c r="N892" s="250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</row>
    <row r="893" ht="15.75" customHeight="1">
      <c r="A893" s="248"/>
      <c r="B893" s="248"/>
      <c r="C893" s="250"/>
      <c r="D893" s="248"/>
      <c r="E893" s="248"/>
      <c r="F893" s="248"/>
      <c r="G893" s="248"/>
      <c r="H893" s="248"/>
      <c r="I893" s="249"/>
      <c r="J893" s="248"/>
      <c r="K893" s="248"/>
      <c r="L893" s="250"/>
      <c r="M893" s="250"/>
      <c r="N893" s="250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</row>
    <row r="894" ht="15.75" customHeight="1">
      <c r="A894" s="248"/>
      <c r="B894" s="248"/>
      <c r="C894" s="250"/>
      <c r="D894" s="248"/>
      <c r="E894" s="248"/>
      <c r="F894" s="248"/>
      <c r="G894" s="248"/>
      <c r="H894" s="248"/>
      <c r="I894" s="249"/>
      <c r="J894" s="248"/>
      <c r="K894" s="248"/>
      <c r="L894" s="250"/>
      <c r="M894" s="250"/>
      <c r="N894" s="250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</row>
    <row r="895" ht="15.75" customHeight="1">
      <c r="A895" s="248"/>
      <c r="B895" s="248"/>
      <c r="C895" s="250"/>
      <c r="D895" s="248"/>
      <c r="E895" s="248"/>
      <c r="F895" s="248"/>
      <c r="G895" s="248"/>
      <c r="H895" s="248"/>
      <c r="I895" s="249"/>
      <c r="J895" s="248"/>
      <c r="K895" s="248"/>
      <c r="L895" s="250"/>
      <c r="M895" s="250"/>
      <c r="N895" s="250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</row>
    <row r="896" ht="15.75" customHeight="1">
      <c r="A896" s="248"/>
      <c r="B896" s="248"/>
      <c r="C896" s="250"/>
      <c r="D896" s="248"/>
      <c r="E896" s="248"/>
      <c r="F896" s="248"/>
      <c r="G896" s="248"/>
      <c r="H896" s="248"/>
      <c r="I896" s="249"/>
      <c r="J896" s="248"/>
      <c r="K896" s="248"/>
      <c r="L896" s="250"/>
      <c r="M896" s="250"/>
      <c r="N896" s="250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</row>
    <row r="897" ht="15.75" customHeight="1">
      <c r="A897" s="248"/>
      <c r="B897" s="248"/>
      <c r="C897" s="250"/>
      <c r="D897" s="248"/>
      <c r="E897" s="248"/>
      <c r="F897" s="248"/>
      <c r="G897" s="248"/>
      <c r="H897" s="248"/>
      <c r="I897" s="249"/>
      <c r="J897" s="248"/>
      <c r="K897" s="248"/>
      <c r="L897" s="250"/>
      <c r="M897" s="250"/>
      <c r="N897" s="250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</row>
    <row r="898" ht="15.75" customHeight="1">
      <c r="A898" s="248"/>
      <c r="B898" s="248"/>
      <c r="C898" s="250"/>
      <c r="D898" s="248"/>
      <c r="E898" s="248"/>
      <c r="F898" s="248"/>
      <c r="G898" s="248"/>
      <c r="H898" s="248"/>
      <c r="I898" s="249"/>
      <c r="J898" s="248"/>
      <c r="K898" s="248"/>
      <c r="L898" s="250"/>
      <c r="M898" s="250"/>
      <c r="N898" s="250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</row>
    <row r="899" ht="15.75" customHeight="1">
      <c r="A899" s="248"/>
      <c r="B899" s="248"/>
      <c r="C899" s="250"/>
      <c r="D899" s="248"/>
      <c r="E899" s="248"/>
      <c r="F899" s="248"/>
      <c r="G899" s="248"/>
      <c r="H899" s="248"/>
      <c r="I899" s="249"/>
      <c r="J899" s="248"/>
      <c r="K899" s="248"/>
      <c r="L899" s="250"/>
      <c r="M899" s="250"/>
      <c r="N899" s="250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</row>
    <row r="900" ht="15.75" customHeight="1">
      <c r="A900" s="248"/>
      <c r="B900" s="248"/>
      <c r="C900" s="250"/>
      <c r="D900" s="248"/>
      <c r="E900" s="248"/>
      <c r="F900" s="248"/>
      <c r="G900" s="248"/>
      <c r="H900" s="248"/>
      <c r="I900" s="249"/>
      <c r="J900" s="248"/>
      <c r="K900" s="248"/>
      <c r="L900" s="250"/>
      <c r="M900" s="250"/>
      <c r="N900" s="250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</row>
    <row r="901" ht="15.75" customHeight="1">
      <c r="A901" s="248"/>
      <c r="B901" s="248"/>
      <c r="C901" s="250"/>
      <c r="D901" s="248"/>
      <c r="E901" s="248"/>
      <c r="F901" s="248"/>
      <c r="G901" s="248"/>
      <c r="H901" s="248"/>
      <c r="I901" s="249"/>
      <c r="J901" s="248"/>
      <c r="K901" s="248"/>
      <c r="L901" s="250"/>
      <c r="M901" s="250"/>
      <c r="N901" s="250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</row>
    <row r="902" ht="15.75" customHeight="1">
      <c r="A902" s="248"/>
      <c r="B902" s="248"/>
      <c r="C902" s="250"/>
      <c r="D902" s="248"/>
      <c r="E902" s="248"/>
      <c r="F902" s="248"/>
      <c r="G902" s="248"/>
      <c r="H902" s="248"/>
      <c r="I902" s="249"/>
      <c r="J902" s="248"/>
      <c r="K902" s="248"/>
      <c r="L902" s="250"/>
      <c r="M902" s="250"/>
      <c r="N902" s="250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</row>
    <row r="903" ht="15.75" customHeight="1">
      <c r="A903" s="248"/>
      <c r="B903" s="248"/>
      <c r="C903" s="250"/>
      <c r="D903" s="248"/>
      <c r="E903" s="248"/>
      <c r="F903" s="248"/>
      <c r="G903" s="248"/>
      <c r="H903" s="248"/>
      <c r="I903" s="249"/>
      <c r="J903" s="248"/>
      <c r="K903" s="248"/>
      <c r="L903" s="250"/>
      <c r="M903" s="250"/>
      <c r="N903" s="250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</row>
    <row r="904" ht="15.75" customHeight="1">
      <c r="A904" s="248"/>
      <c r="B904" s="248"/>
      <c r="C904" s="250"/>
      <c r="D904" s="248"/>
      <c r="E904" s="248"/>
      <c r="F904" s="248"/>
      <c r="G904" s="248"/>
      <c r="H904" s="248"/>
      <c r="I904" s="249"/>
      <c r="J904" s="248"/>
      <c r="K904" s="248"/>
      <c r="L904" s="250"/>
      <c r="M904" s="250"/>
      <c r="N904" s="250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</row>
    <row r="905" ht="15.75" customHeight="1">
      <c r="A905" s="248"/>
      <c r="B905" s="248"/>
      <c r="C905" s="250"/>
      <c r="D905" s="248"/>
      <c r="E905" s="248"/>
      <c r="F905" s="248"/>
      <c r="G905" s="248"/>
      <c r="H905" s="248"/>
      <c r="I905" s="249"/>
      <c r="J905" s="248"/>
      <c r="K905" s="248"/>
      <c r="L905" s="250"/>
      <c r="M905" s="250"/>
      <c r="N905" s="250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</row>
    <row r="906" ht="15.75" customHeight="1">
      <c r="A906" s="248"/>
      <c r="B906" s="248"/>
      <c r="C906" s="250"/>
      <c r="D906" s="248"/>
      <c r="E906" s="248"/>
      <c r="F906" s="248"/>
      <c r="G906" s="248"/>
      <c r="H906" s="248"/>
      <c r="I906" s="249"/>
      <c r="J906" s="248"/>
      <c r="K906" s="248"/>
      <c r="L906" s="250"/>
      <c r="M906" s="250"/>
      <c r="N906" s="250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</row>
    <row r="907" ht="15.75" customHeight="1">
      <c r="A907" s="248"/>
      <c r="B907" s="248"/>
      <c r="C907" s="250"/>
      <c r="D907" s="248"/>
      <c r="E907" s="248"/>
      <c r="F907" s="248"/>
      <c r="G907" s="248"/>
      <c r="H907" s="248"/>
      <c r="I907" s="249"/>
      <c r="J907" s="248"/>
      <c r="K907" s="248"/>
      <c r="L907" s="250"/>
      <c r="M907" s="250"/>
      <c r="N907" s="250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</row>
    <row r="908" ht="15.75" customHeight="1">
      <c r="A908" s="248"/>
      <c r="B908" s="248"/>
      <c r="C908" s="250"/>
      <c r="D908" s="248"/>
      <c r="E908" s="248"/>
      <c r="F908" s="248"/>
      <c r="G908" s="248"/>
      <c r="H908" s="248"/>
      <c r="I908" s="249"/>
      <c r="J908" s="248"/>
      <c r="K908" s="248"/>
      <c r="L908" s="250"/>
      <c r="M908" s="250"/>
      <c r="N908" s="250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</row>
    <row r="909" ht="15.75" customHeight="1">
      <c r="A909" s="248"/>
      <c r="B909" s="248"/>
      <c r="C909" s="250"/>
      <c r="D909" s="248"/>
      <c r="E909" s="248"/>
      <c r="F909" s="248"/>
      <c r="G909" s="248"/>
      <c r="H909" s="248"/>
      <c r="I909" s="249"/>
      <c r="J909" s="248"/>
      <c r="K909" s="248"/>
      <c r="L909" s="250"/>
      <c r="M909" s="250"/>
      <c r="N909" s="250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</row>
    <row r="910" ht="15.75" customHeight="1">
      <c r="A910" s="248"/>
      <c r="B910" s="248"/>
      <c r="C910" s="250"/>
      <c r="D910" s="248"/>
      <c r="E910" s="248"/>
      <c r="F910" s="248"/>
      <c r="G910" s="248"/>
      <c r="H910" s="248"/>
      <c r="I910" s="249"/>
      <c r="J910" s="248"/>
      <c r="K910" s="248"/>
      <c r="L910" s="250"/>
      <c r="M910" s="250"/>
      <c r="N910" s="250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</row>
    <row r="911" ht="15.75" customHeight="1">
      <c r="A911" s="248"/>
      <c r="B911" s="248"/>
      <c r="C911" s="250"/>
      <c r="D911" s="248"/>
      <c r="E911" s="248"/>
      <c r="F911" s="248"/>
      <c r="G911" s="248"/>
      <c r="H911" s="248"/>
      <c r="I911" s="249"/>
      <c r="J911" s="248"/>
      <c r="K911" s="248"/>
      <c r="L911" s="250"/>
      <c r="M911" s="250"/>
      <c r="N911" s="250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</row>
    <row r="912" ht="15.75" customHeight="1">
      <c r="A912" s="248"/>
      <c r="B912" s="248"/>
      <c r="C912" s="250"/>
      <c r="D912" s="248"/>
      <c r="E912" s="248"/>
      <c r="F912" s="248"/>
      <c r="G912" s="248"/>
      <c r="H912" s="248"/>
      <c r="I912" s="249"/>
      <c r="J912" s="248"/>
      <c r="K912" s="248"/>
      <c r="L912" s="250"/>
      <c r="M912" s="250"/>
      <c r="N912" s="250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</row>
    <row r="913" ht="15.75" customHeight="1">
      <c r="A913" s="248"/>
      <c r="B913" s="248"/>
      <c r="C913" s="250"/>
      <c r="D913" s="248"/>
      <c r="E913" s="248"/>
      <c r="F913" s="248"/>
      <c r="G913" s="248"/>
      <c r="H913" s="248"/>
      <c r="I913" s="249"/>
      <c r="J913" s="248"/>
      <c r="K913" s="248"/>
      <c r="L913" s="250"/>
      <c r="M913" s="250"/>
      <c r="N913" s="250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</row>
    <row r="914" ht="15.75" customHeight="1">
      <c r="A914" s="248"/>
      <c r="B914" s="248"/>
      <c r="C914" s="250"/>
      <c r="D914" s="248"/>
      <c r="E914" s="248"/>
      <c r="F914" s="248"/>
      <c r="G914" s="248"/>
      <c r="H914" s="248"/>
      <c r="I914" s="249"/>
      <c r="J914" s="248"/>
      <c r="K914" s="248"/>
      <c r="L914" s="250"/>
      <c r="M914" s="250"/>
      <c r="N914" s="250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</row>
    <row r="915" ht="15.75" customHeight="1">
      <c r="A915" s="248"/>
      <c r="B915" s="248"/>
      <c r="C915" s="250"/>
      <c r="D915" s="248"/>
      <c r="E915" s="248"/>
      <c r="F915" s="248"/>
      <c r="G915" s="248"/>
      <c r="H915" s="248"/>
      <c r="I915" s="249"/>
      <c r="J915" s="248"/>
      <c r="K915" s="248"/>
      <c r="L915" s="250"/>
      <c r="M915" s="250"/>
      <c r="N915" s="250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</row>
    <row r="916" ht="15.75" customHeight="1">
      <c r="A916" s="248"/>
      <c r="B916" s="248"/>
      <c r="C916" s="250"/>
      <c r="D916" s="248"/>
      <c r="E916" s="248"/>
      <c r="F916" s="248"/>
      <c r="G916" s="248"/>
      <c r="H916" s="248"/>
      <c r="I916" s="249"/>
      <c r="J916" s="248"/>
      <c r="K916" s="248"/>
      <c r="L916" s="250"/>
      <c r="M916" s="250"/>
      <c r="N916" s="250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</row>
    <row r="917" ht="15.75" customHeight="1">
      <c r="A917" s="248"/>
      <c r="B917" s="248"/>
      <c r="C917" s="250"/>
      <c r="D917" s="248"/>
      <c r="E917" s="248"/>
      <c r="F917" s="248"/>
      <c r="G917" s="248"/>
      <c r="H917" s="248"/>
      <c r="I917" s="249"/>
      <c r="J917" s="248"/>
      <c r="K917" s="248"/>
      <c r="L917" s="250"/>
      <c r="M917" s="250"/>
      <c r="N917" s="250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</row>
    <row r="918" ht="15.75" customHeight="1">
      <c r="A918" s="248"/>
      <c r="B918" s="248"/>
      <c r="C918" s="250"/>
      <c r="D918" s="248"/>
      <c r="E918" s="248"/>
      <c r="F918" s="248"/>
      <c r="G918" s="248"/>
      <c r="H918" s="248"/>
      <c r="I918" s="249"/>
      <c r="J918" s="248"/>
      <c r="K918" s="248"/>
      <c r="L918" s="250"/>
      <c r="M918" s="250"/>
      <c r="N918" s="250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</row>
    <row r="919" ht="15.75" customHeight="1">
      <c r="A919" s="248"/>
      <c r="B919" s="248"/>
      <c r="C919" s="250"/>
      <c r="D919" s="248"/>
      <c r="E919" s="248"/>
      <c r="F919" s="248"/>
      <c r="G919" s="248"/>
      <c r="H919" s="248"/>
      <c r="I919" s="249"/>
      <c r="J919" s="248"/>
      <c r="K919" s="248"/>
      <c r="L919" s="250"/>
      <c r="M919" s="250"/>
      <c r="N919" s="250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</row>
    <row r="920" ht="15.75" customHeight="1">
      <c r="A920" s="248"/>
      <c r="B920" s="248"/>
      <c r="C920" s="250"/>
      <c r="D920" s="248"/>
      <c r="E920" s="248"/>
      <c r="F920" s="248"/>
      <c r="G920" s="248"/>
      <c r="H920" s="248"/>
      <c r="I920" s="249"/>
      <c r="J920" s="248"/>
      <c r="K920" s="248"/>
      <c r="L920" s="250"/>
      <c r="M920" s="250"/>
      <c r="N920" s="250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</row>
    <row r="921" ht="15.75" customHeight="1">
      <c r="A921" s="248"/>
      <c r="B921" s="248"/>
      <c r="C921" s="250"/>
      <c r="D921" s="248"/>
      <c r="E921" s="248"/>
      <c r="F921" s="248"/>
      <c r="G921" s="248"/>
      <c r="H921" s="248"/>
      <c r="I921" s="249"/>
      <c r="J921" s="248"/>
      <c r="K921" s="248"/>
      <c r="L921" s="250"/>
      <c r="M921" s="250"/>
      <c r="N921" s="250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</row>
    <row r="922" ht="15.75" customHeight="1">
      <c r="A922" s="248"/>
      <c r="B922" s="248"/>
      <c r="C922" s="250"/>
      <c r="D922" s="248"/>
      <c r="E922" s="248"/>
      <c r="F922" s="248"/>
      <c r="G922" s="248"/>
      <c r="H922" s="248"/>
      <c r="I922" s="249"/>
      <c r="J922" s="248"/>
      <c r="K922" s="248"/>
      <c r="L922" s="250"/>
      <c r="M922" s="250"/>
      <c r="N922" s="250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</row>
    <row r="923" ht="15.75" customHeight="1">
      <c r="A923" s="248"/>
      <c r="B923" s="248"/>
      <c r="C923" s="250"/>
      <c r="D923" s="248"/>
      <c r="E923" s="248"/>
      <c r="F923" s="248"/>
      <c r="G923" s="248"/>
      <c r="H923" s="248"/>
      <c r="I923" s="249"/>
      <c r="J923" s="248"/>
      <c r="K923" s="248"/>
      <c r="L923" s="250"/>
      <c r="M923" s="250"/>
      <c r="N923" s="250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</row>
    <row r="924" ht="15.75" customHeight="1">
      <c r="A924" s="248"/>
      <c r="B924" s="248"/>
      <c r="C924" s="250"/>
      <c r="D924" s="248"/>
      <c r="E924" s="248"/>
      <c r="F924" s="248"/>
      <c r="G924" s="248"/>
      <c r="H924" s="248"/>
      <c r="I924" s="249"/>
      <c r="J924" s="248"/>
      <c r="K924" s="248"/>
      <c r="L924" s="250"/>
      <c r="M924" s="250"/>
      <c r="N924" s="250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</row>
    <row r="925" ht="15.75" customHeight="1">
      <c r="A925" s="248"/>
      <c r="B925" s="248"/>
      <c r="C925" s="250"/>
      <c r="D925" s="248"/>
      <c r="E925" s="248"/>
      <c r="F925" s="248"/>
      <c r="G925" s="248"/>
      <c r="H925" s="248"/>
      <c r="I925" s="249"/>
      <c r="J925" s="248"/>
      <c r="K925" s="248"/>
      <c r="L925" s="250"/>
      <c r="M925" s="250"/>
      <c r="N925" s="250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</row>
    <row r="926" ht="15.75" customHeight="1">
      <c r="A926" s="248"/>
      <c r="B926" s="248"/>
      <c r="C926" s="250"/>
      <c r="D926" s="248"/>
      <c r="E926" s="248"/>
      <c r="F926" s="248"/>
      <c r="G926" s="248"/>
      <c r="H926" s="248"/>
      <c r="I926" s="249"/>
      <c r="J926" s="248"/>
      <c r="K926" s="248"/>
      <c r="L926" s="250"/>
      <c r="M926" s="250"/>
      <c r="N926" s="250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</row>
    <row r="927" ht="15.75" customHeight="1">
      <c r="A927" s="248"/>
      <c r="B927" s="248"/>
      <c r="C927" s="250"/>
      <c r="D927" s="248"/>
      <c r="E927" s="248"/>
      <c r="F927" s="248"/>
      <c r="G927" s="248"/>
      <c r="H927" s="248"/>
      <c r="I927" s="249"/>
      <c r="J927" s="248"/>
      <c r="K927" s="248"/>
      <c r="L927" s="250"/>
      <c r="M927" s="250"/>
      <c r="N927" s="250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</row>
    <row r="928" ht="15.75" customHeight="1">
      <c r="A928" s="248"/>
      <c r="B928" s="248"/>
      <c r="C928" s="250"/>
      <c r="D928" s="248"/>
      <c r="E928" s="248"/>
      <c r="F928" s="248"/>
      <c r="G928" s="248"/>
      <c r="H928" s="248"/>
      <c r="I928" s="249"/>
      <c r="J928" s="248"/>
      <c r="K928" s="248"/>
      <c r="L928" s="250"/>
      <c r="M928" s="250"/>
      <c r="N928" s="250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</row>
    <row r="929" ht="15.75" customHeight="1">
      <c r="A929" s="248"/>
      <c r="B929" s="248"/>
      <c r="C929" s="250"/>
      <c r="D929" s="248"/>
      <c r="E929" s="248"/>
      <c r="F929" s="248"/>
      <c r="G929" s="248"/>
      <c r="H929" s="248"/>
      <c r="I929" s="249"/>
      <c r="J929" s="248"/>
      <c r="K929" s="248"/>
      <c r="L929" s="250"/>
      <c r="M929" s="250"/>
      <c r="N929" s="250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</row>
    <row r="930" ht="15.75" customHeight="1">
      <c r="A930" s="248"/>
      <c r="B930" s="248"/>
      <c r="C930" s="250"/>
      <c r="D930" s="248"/>
      <c r="E930" s="248"/>
      <c r="F930" s="248"/>
      <c r="G930" s="248"/>
      <c r="H930" s="248"/>
      <c r="I930" s="249"/>
      <c r="J930" s="248"/>
      <c r="K930" s="248"/>
      <c r="L930" s="250"/>
      <c r="M930" s="250"/>
      <c r="N930" s="250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</row>
    <row r="931" ht="15.75" customHeight="1">
      <c r="A931" s="248"/>
      <c r="B931" s="248"/>
      <c r="C931" s="250"/>
      <c r="D931" s="248"/>
      <c r="E931" s="248"/>
      <c r="F931" s="248"/>
      <c r="G931" s="248"/>
      <c r="H931" s="248"/>
      <c r="I931" s="249"/>
      <c r="J931" s="248"/>
      <c r="K931" s="248"/>
      <c r="L931" s="250"/>
      <c r="M931" s="250"/>
      <c r="N931" s="250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</row>
    <row r="932" ht="15.75" customHeight="1">
      <c r="A932" s="248"/>
      <c r="B932" s="248"/>
      <c r="C932" s="250"/>
      <c r="D932" s="248"/>
      <c r="E932" s="248"/>
      <c r="F932" s="248"/>
      <c r="G932" s="248"/>
      <c r="H932" s="248"/>
      <c r="I932" s="249"/>
      <c r="J932" s="248"/>
      <c r="K932" s="248"/>
      <c r="L932" s="250"/>
      <c r="M932" s="250"/>
      <c r="N932" s="250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</row>
    <row r="933" ht="15.75" customHeight="1">
      <c r="A933" s="248"/>
      <c r="B933" s="248"/>
      <c r="C933" s="250"/>
      <c r="D933" s="248"/>
      <c r="E933" s="248"/>
      <c r="F933" s="248"/>
      <c r="G933" s="248"/>
      <c r="H933" s="248"/>
      <c r="I933" s="249"/>
      <c r="J933" s="248"/>
      <c r="K933" s="248"/>
      <c r="L933" s="250"/>
      <c r="M933" s="250"/>
      <c r="N933" s="250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</row>
    <row r="934" ht="15.75" customHeight="1">
      <c r="A934" s="248"/>
      <c r="B934" s="248"/>
      <c r="C934" s="250"/>
      <c r="D934" s="248"/>
      <c r="E934" s="248"/>
      <c r="F934" s="248"/>
      <c r="G934" s="248"/>
      <c r="H934" s="248"/>
      <c r="I934" s="249"/>
      <c r="J934" s="248"/>
      <c r="K934" s="248"/>
      <c r="L934" s="250"/>
      <c r="M934" s="250"/>
      <c r="N934" s="250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</row>
    <row r="935" ht="15.75" customHeight="1">
      <c r="A935" s="248"/>
      <c r="B935" s="248"/>
      <c r="C935" s="250"/>
      <c r="D935" s="248"/>
      <c r="E935" s="248"/>
      <c r="F935" s="248"/>
      <c r="G935" s="248"/>
      <c r="H935" s="248"/>
      <c r="I935" s="249"/>
      <c r="J935" s="248"/>
      <c r="K935" s="248"/>
      <c r="L935" s="250"/>
      <c r="M935" s="250"/>
      <c r="N935" s="250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</row>
    <row r="936" ht="15.75" customHeight="1">
      <c r="A936" s="248"/>
      <c r="B936" s="248"/>
      <c r="C936" s="250"/>
      <c r="D936" s="248"/>
      <c r="E936" s="248"/>
      <c r="F936" s="248"/>
      <c r="G936" s="248"/>
      <c r="H936" s="248"/>
      <c r="I936" s="249"/>
      <c r="J936" s="248"/>
      <c r="K936" s="248"/>
      <c r="L936" s="250"/>
      <c r="M936" s="250"/>
      <c r="N936" s="250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</row>
    <row r="937" ht="15.75" customHeight="1">
      <c r="A937" s="248"/>
      <c r="B937" s="248"/>
      <c r="C937" s="250"/>
      <c r="D937" s="248"/>
      <c r="E937" s="248"/>
      <c r="F937" s="248"/>
      <c r="G937" s="248"/>
      <c r="H937" s="248"/>
      <c r="I937" s="249"/>
      <c r="J937" s="248"/>
      <c r="K937" s="248"/>
      <c r="L937" s="250"/>
      <c r="M937" s="250"/>
      <c r="N937" s="250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</row>
    <row r="938" ht="15.75" customHeight="1">
      <c r="A938" s="248"/>
      <c r="B938" s="248"/>
      <c r="C938" s="250"/>
      <c r="D938" s="248"/>
      <c r="E938" s="248"/>
      <c r="F938" s="248"/>
      <c r="G938" s="248"/>
      <c r="H938" s="248"/>
      <c r="I938" s="249"/>
      <c r="J938" s="248"/>
      <c r="K938" s="248"/>
      <c r="L938" s="250"/>
      <c r="M938" s="250"/>
      <c r="N938" s="250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</row>
    <row r="939" ht="15.75" customHeight="1">
      <c r="A939" s="248"/>
      <c r="B939" s="248"/>
      <c r="C939" s="250"/>
      <c r="D939" s="248"/>
      <c r="E939" s="248"/>
      <c r="F939" s="248"/>
      <c r="G939" s="248"/>
      <c r="H939" s="248"/>
      <c r="I939" s="249"/>
      <c r="J939" s="248"/>
      <c r="K939" s="248"/>
      <c r="L939" s="250"/>
      <c r="M939" s="250"/>
      <c r="N939" s="250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</row>
    <row r="940" ht="15.75" customHeight="1">
      <c r="A940" s="248"/>
      <c r="B940" s="248"/>
      <c r="C940" s="250"/>
      <c r="D940" s="248"/>
      <c r="E940" s="248"/>
      <c r="F940" s="248"/>
      <c r="G940" s="248"/>
      <c r="H940" s="248"/>
      <c r="I940" s="249"/>
      <c r="J940" s="248"/>
      <c r="K940" s="248"/>
      <c r="L940" s="250"/>
      <c r="M940" s="250"/>
      <c r="N940" s="250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</row>
    <row r="941" ht="15.75" customHeight="1">
      <c r="A941" s="248"/>
      <c r="B941" s="248"/>
      <c r="C941" s="250"/>
      <c r="D941" s="248"/>
      <c r="E941" s="248"/>
      <c r="F941" s="248"/>
      <c r="G941" s="248"/>
      <c r="H941" s="248"/>
      <c r="I941" s="249"/>
      <c r="J941" s="248"/>
      <c r="K941" s="248"/>
      <c r="L941" s="250"/>
      <c r="M941" s="250"/>
      <c r="N941" s="250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</row>
    <row r="942" ht="15.75" customHeight="1">
      <c r="A942" s="248"/>
      <c r="B942" s="248"/>
      <c r="C942" s="250"/>
      <c r="D942" s="248"/>
      <c r="E942" s="248"/>
      <c r="F942" s="248"/>
      <c r="G942" s="248"/>
      <c r="H942" s="248"/>
      <c r="I942" s="249"/>
      <c r="J942" s="248"/>
      <c r="K942" s="248"/>
      <c r="L942" s="250"/>
      <c r="M942" s="250"/>
      <c r="N942" s="250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</row>
    <row r="943" ht="15.75" customHeight="1">
      <c r="A943" s="248"/>
      <c r="B943" s="248"/>
      <c r="C943" s="250"/>
      <c r="D943" s="248"/>
      <c r="E943" s="248"/>
      <c r="F943" s="248"/>
      <c r="G943" s="248"/>
      <c r="H943" s="248"/>
      <c r="I943" s="249"/>
      <c r="J943" s="248"/>
      <c r="K943" s="248"/>
      <c r="L943" s="250"/>
      <c r="M943" s="250"/>
      <c r="N943" s="250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</row>
    <row r="944" ht="15.75" customHeight="1">
      <c r="A944" s="248"/>
      <c r="B944" s="248"/>
      <c r="C944" s="250"/>
      <c r="D944" s="248"/>
      <c r="E944" s="248"/>
      <c r="F944" s="248"/>
      <c r="G944" s="248"/>
      <c r="H944" s="248"/>
      <c r="I944" s="249"/>
      <c r="J944" s="248"/>
      <c r="K944" s="248"/>
      <c r="L944" s="250"/>
      <c r="M944" s="250"/>
      <c r="N944" s="250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</row>
    <row r="945" ht="15.75" customHeight="1">
      <c r="A945" s="248"/>
      <c r="B945" s="248"/>
      <c r="C945" s="250"/>
      <c r="D945" s="248"/>
      <c r="E945" s="248"/>
      <c r="F945" s="248"/>
      <c r="G945" s="248"/>
      <c r="H945" s="248"/>
      <c r="I945" s="249"/>
      <c r="J945" s="248"/>
      <c r="K945" s="248"/>
      <c r="L945" s="250"/>
      <c r="M945" s="250"/>
      <c r="N945" s="250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</row>
    <row r="946" ht="15.75" customHeight="1">
      <c r="A946" s="248"/>
      <c r="B946" s="248"/>
      <c r="C946" s="250"/>
      <c r="D946" s="248"/>
      <c r="E946" s="248"/>
      <c r="F946" s="248"/>
      <c r="G946" s="248"/>
      <c r="H946" s="248"/>
      <c r="I946" s="249"/>
      <c r="J946" s="248"/>
      <c r="K946" s="248"/>
      <c r="L946" s="250"/>
      <c r="M946" s="250"/>
      <c r="N946" s="250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</row>
    <row r="947" ht="15.75" customHeight="1">
      <c r="A947" s="248"/>
      <c r="B947" s="248"/>
      <c r="C947" s="250"/>
      <c r="D947" s="248"/>
      <c r="E947" s="248"/>
      <c r="F947" s="248"/>
      <c r="G947" s="248"/>
      <c r="H947" s="248"/>
      <c r="I947" s="249"/>
      <c r="J947" s="248"/>
      <c r="K947" s="248"/>
      <c r="L947" s="250"/>
      <c r="M947" s="250"/>
      <c r="N947" s="250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</row>
    <row r="948" ht="15.75" customHeight="1">
      <c r="A948" s="248"/>
      <c r="B948" s="248"/>
      <c r="C948" s="250"/>
      <c r="D948" s="248"/>
      <c r="E948" s="248"/>
      <c r="F948" s="248"/>
      <c r="G948" s="248"/>
      <c r="H948" s="248"/>
      <c r="I948" s="249"/>
      <c r="J948" s="248"/>
      <c r="K948" s="248"/>
      <c r="L948" s="250"/>
      <c r="M948" s="250"/>
      <c r="N948" s="250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</row>
    <row r="949" ht="15.75" customHeight="1">
      <c r="A949" s="248"/>
      <c r="B949" s="248"/>
      <c r="C949" s="250"/>
      <c r="D949" s="248"/>
      <c r="E949" s="248"/>
      <c r="F949" s="248"/>
      <c r="G949" s="248"/>
      <c r="H949" s="248"/>
      <c r="I949" s="249"/>
      <c r="J949" s="248"/>
      <c r="K949" s="248"/>
      <c r="L949" s="250"/>
      <c r="M949" s="250"/>
      <c r="N949" s="250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</row>
    <row r="950" ht="15.75" customHeight="1">
      <c r="A950" s="248"/>
      <c r="B950" s="248"/>
      <c r="C950" s="250"/>
      <c r="D950" s="248"/>
      <c r="E950" s="248"/>
      <c r="F950" s="248"/>
      <c r="G950" s="248"/>
      <c r="H950" s="248"/>
      <c r="I950" s="249"/>
      <c r="J950" s="248"/>
      <c r="K950" s="248"/>
      <c r="L950" s="250"/>
      <c r="M950" s="250"/>
      <c r="N950" s="250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</row>
    <row r="951" ht="15.75" customHeight="1">
      <c r="A951" s="248"/>
      <c r="B951" s="248"/>
      <c r="C951" s="250"/>
      <c r="D951" s="248"/>
      <c r="E951" s="248"/>
      <c r="F951" s="248"/>
      <c r="G951" s="248"/>
      <c r="H951" s="248"/>
      <c r="I951" s="249"/>
      <c r="J951" s="248"/>
      <c r="K951" s="248"/>
      <c r="L951" s="250"/>
      <c r="M951" s="250"/>
      <c r="N951" s="250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</row>
    <row r="952" ht="15.75" customHeight="1">
      <c r="A952" s="248"/>
      <c r="B952" s="248"/>
      <c r="C952" s="250"/>
      <c r="D952" s="248"/>
      <c r="E952" s="248"/>
      <c r="F952" s="248"/>
      <c r="G952" s="248"/>
      <c r="H952" s="248"/>
      <c r="I952" s="249"/>
      <c r="J952" s="248"/>
      <c r="K952" s="248"/>
      <c r="L952" s="250"/>
      <c r="M952" s="250"/>
      <c r="N952" s="250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</row>
    <row r="953" ht="15.75" customHeight="1">
      <c r="A953" s="248"/>
      <c r="B953" s="248"/>
      <c r="C953" s="250"/>
      <c r="D953" s="248"/>
      <c r="E953" s="248"/>
      <c r="F953" s="248"/>
      <c r="G953" s="248"/>
      <c r="H953" s="248"/>
      <c r="I953" s="249"/>
      <c r="J953" s="248"/>
      <c r="K953" s="248"/>
      <c r="L953" s="250"/>
      <c r="M953" s="250"/>
      <c r="N953" s="250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</row>
    <row r="954" ht="15.75" customHeight="1">
      <c r="A954" s="248"/>
      <c r="B954" s="248"/>
      <c r="C954" s="250"/>
      <c r="D954" s="248"/>
      <c r="E954" s="248"/>
      <c r="F954" s="248"/>
      <c r="G954" s="248"/>
      <c r="H954" s="248"/>
      <c r="I954" s="249"/>
      <c r="J954" s="248"/>
      <c r="K954" s="248"/>
      <c r="L954" s="250"/>
      <c r="M954" s="250"/>
      <c r="N954" s="250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</row>
    <row r="955" ht="15.75" customHeight="1">
      <c r="A955" s="248"/>
      <c r="B955" s="248"/>
      <c r="C955" s="250"/>
      <c r="D955" s="248"/>
      <c r="E955" s="248"/>
      <c r="F955" s="248"/>
      <c r="G955" s="248"/>
      <c r="H955" s="248"/>
      <c r="I955" s="249"/>
      <c r="J955" s="248"/>
      <c r="K955" s="248"/>
      <c r="L955" s="250"/>
      <c r="M955" s="250"/>
      <c r="N955" s="250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</row>
    <row r="956" ht="15.75" customHeight="1">
      <c r="A956" s="248"/>
      <c r="B956" s="248"/>
      <c r="C956" s="250"/>
      <c r="D956" s="248"/>
      <c r="E956" s="248"/>
      <c r="F956" s="248"/>
      <c r="G956" s="248"/>
      <c r="H956" s="248"/>
      <c r="I956" s="249"/>
      <c r="J956" s="248"/>
      <c r="K956" s="248"/>
      <c r="L956" s="250"/>
      <c r="M956" s="250"/>
      <c r="N956" s="250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</row>
    <row r="957" ht="15.75" customHeight="1">
      <c r="A957" s="248"/>
      <c r="B957" s="248"/>
      <c r="C957" s="250"/>
      <c r="D957" s="248"/>
      <c r="E957" s="248"/>
      <c r="F957" s="248"/>
      <c r="G957" s="248"/>
      <c r="H957" s="248"/>
      <c r="I957" s="249"/>
      <c r="J957" s="248"/>
      <c r="K957" s="248"/>
      <c r="L957" s="250"/>
      <c r="M957" s="250"/>
      <c r="N957" s="250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</row>
    <row r="958" ht="15.75" customHeight="1">
      <c r="A958" s="248"/>
      <c r="B958" s="248"/>
      <c r="C958" s="250"/>
      <c r="D958" s="248"/>
      <c r="E958" s="248"/>
      <c r="F958" s="248"/>
      <c r="G958" s="248"/>
      <c r="H958" s="248"/>
      <c r="I958" s="249"/>
      <c r="J958" s="248"/>
      <c r="K958" s="248"/>
      <c r="L958" s="250"/>
      <c r="M958" s="250"/>
      <c r="N958" s="250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</row>
    <row r="959" ht="15.75" customHeight="1">
      <c r="A959" s="248"/>
      <c r="B959" s="248"/>
      <c r="C959" s="250"/>
      <c r="D959" s="248"/>
      <c r="E959" s="248"/>
      <c r="F959" s="248"/>
      <c r="G959" s="248"/>
      <c r="H959" s="248"/>
      <c r="I959" s="249"/>
      <c r="J959" s="248"/>
      <c r="K959" s="248"/>
      <c r="L959" s="250"/>
      <c r="M959" s="250"/>
      <c r="N959" s="250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</row>
    <row r="960" ht="15.75" customHeight="1">
      <c r="A960" s="248"/>
      <c r="B960" s="248"/>
      <c r="C960" s="250"/>
      <c r="D960" s="248"/>
      <c r="E960" s="248"/>
      <c r="F960" s="248"/>
      <c r="G960" s="248"/>
      <c r="H960" s="248"/>
      <c r="I960" s="249"/>
      <c r="J960" s="248"/>
      <c r="K960" s="248"/>
      <c r="L960" s="250"/>
      <c r="M960" s="250"/>
      <c r="N960" s="250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</row>
    <row r="961" ht="15.75" customHeight="1">
      <c r="A961" s="248"/>
      <c r="B961" s="248"/>
      <c r="C961" s="250"/>
      <c r="D961" s="248"/>
      <c r="E961" s="248"/>
      <c r="F961" s="248"/>
      <c r="G961" s="248"/>
      <c r="H961" s="248"/>
      <c r="I961" s="249"/>
      <c r="J961" s="248"/>
      <c r="K961" s="248"/>
      <c r="L961" s="250"/>
      <c r="M961" s="250"/>
      <c r="N961" s="250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</row>
    <row r="962" ht="15.75" customHeight="1">
      <c r="A962" s="248"/>
      <c r="B962" s="248"/>
      <c r="C962" s="250"/>
      <c r="D962" s="248"/>
      <c r="E962" s="248"/>
      <c r="F962" s="248"/>
      <c r="G962" s="248"/>
      <c r="H962" s="248"/>
      <c r="I962" s="249"/>
      <c r="J962" s="248"/>
      <c r="K962" s="248"/>
      <c r="L962" s="250"/>
      <c r="M962" s="250"/>
      <c r="N962" s="250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</row>
    <row r="963" ht="15.75" customHeight="1">
      <c r="A963" s="248"/>
      <c r="B963" s="248"/>
      <c r="C963" s="250"/>
      <c r="D963" s="248"/>
      <c r="E963" s="248"/>
      <c r="F963" s="248"/>
      <c r="G963" s="248"/>
      <c r="H963" s="248"/>
      <c r="I963" s="249"/>
      <c r="J963" s="248"/>
      <c r="K963" s="248"/>
      <c r="L963" s="250"/>
      <c r="M963" s="250"/>
      <c r="N963" s="250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</row>
    <row r="964" ht="15.75" customHeight="1">
      <c r="A964" s="248"/>
      <c r="B964" s="248"/>
      <c r="C964" s="250"/>
      <c r="D964" s="248"/>
      <c r="E964" s="248"/>
      <c r="F964" s="248"/>
      <c r="G964" s="248"/>
      <c r="H964" s="248"/>
      <c r="I964" s="249"/>
      <c r="J964" s="248"/>
      <c r="K964" s="248"/>
      <c r="L964" s="250"/>
      <c r="M964" s="250"/>
      <c r="N964" s="250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</row>
    <row r="965" ht="15.75" customHeight="1">
      <c r="A965" s="248"/>
      <c r="B965" s="248"/>
      <c r="C965" s="250"/>
      <c r="D965" s="248"/>
      <c r="E965" s="248"/>
      <c r="F965" s="248"/>
      <c r="G965" s="248"/>
      <c r="H965" s="248"/>
      <c r="I965" s="249"/>
      <c r="J965" s="248"/>
      <c r="K965" s="248"/>
      <c r="L965" s="250"/>
      <c r="M965" s="250"/>
      <c r="N965" s="250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</row>
    <row r="966" ht="15.75" customHeight="1">
      <c r="A966" s="248"/>
      <c r="B966" s="248"/>
      <c r="C966" s="250"/>
      <c r="D966" s="248"/>
      <c r="E966" s="248"/>
      <c r="F966" s="248"/>
      <c r="G966" s="248"/>
      <c r="H966" s="248"/>
      <c r="I966" s="249"/>
      <c r="J966" s="248"/>
      <c r="K966" s="248"/>
      <c r="L966" s="250"/>
      <c r="M966" s="250"/>
      <c r="N966" s="250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</row>
    <row r="967" ht="15.75" customHeight="1">
      <c r="A967" s="248"/>
      <c r="B967" s="248"/>
      <c r="C967" s="250"/>
      <c r="D967" s="248"/>
      <c r="E967" s="248"/>
      <c r="F967" s="248"/>
      <c r="G967" s="248"/>
      <c r="H967" s="248"/>
      <c r="I967" s="249"/>
      <c r="J967" s="248"/>
      <c r="K967" s="248"/>
      <c r="L967" s="250"/>
      <c r="M967" s="250"/>
      <c r="N967" s="250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</row>
    <row r="968" ht="15.75" customHeight="1">
      <c r="A968" s="248"/>
      <c r="B968" s="248"/>
      <c r="C968" s="250"/>
      <c r="D968" s="248"/>
      <c r="E968" s="248"/>
      <c r="F968" s="248"/>
      <c r="G968" s="248"/>
      <c r="H968" s="248"/>
      <c r="I968" s="249"/>
      <c r="J968" s="248"/>
      <c r="K968" s="248"/>
      <c r="L968" s="250"/>
      <c r="M968" s="250"/>
      <c r="N968" s="250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</row>
    <row r="969" ht="15.75" customHeight="1">
      <c r="A969" s="248"/>
      <c r="B969" s="248"/>
      <c r="C969" s="250"/>
      <c r="D969" s="248"/>
      <c r="E969" s="248"/>
      <c r="F969" s="248"/>
      <c r="G969" s="248"/>
      <c r="H969" s="248"/>
      <c r="I969" s="249"/>
      <c r="J969" s="248"/>
      <c r="K969" s="248"/>
      <c r="L969" s="250"/>
      <c r="M969" s="250"/>
      <c r="N969" s="250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</row>
    <row r="970" ht="15.75" customHeight="1">
      <c r="A970" s="248"/>
      <c r="B970" s="248"/>
      <c r="C970" s="250"/>
      <c r="D970" s="248"/>
      <c r="E970" s="248"/>
      <c r="F970" s="248"/>
      <c r="G970" s="248"/>
      <c r="H970" s="248"/>
      <c r="I970" s="249"/>
      <c r="J970" s="248"/>
      <c r="K970" s="248"/>
      <c r="L970" s="250"/>
      <c r="M970" s="250"/>
      <c r="N970" s="250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</row>
    <row r="971" ht="15.75" customHeight="1">
      <c r="A971" s="248"/>
      <c r="B971" s="248"/>
      <c r="C971" s="250"/>
      <c r="D971" s="248"/>
      <c r="E971" s="248"/>
      <c r="F971" s="248"/>
      <c r="G971" s="248"/>
      <c r="H971" s="248"/>
      <c r="I971" s="249"/>
      <c r="J971" s="248"/>
      <c r="K971" s="248"/>
      <c r="L971" s="250"/>
      <c r="M971" s="250"/>
      <c r="N971" s="250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</row>
    <row r="972" ht="15.75" customHeight="1">
      <c r="A972" s="248"/>
      <c r="B972" s="248"/>
      <c r="C972" s="250"/>
      <c r="D972" s="248"/>
      <c r="E972" s="248"/>
      <c r="F972" s="248"/>
      <c r="G972" s="248"/>
      <c r="H972" s="248"/>
      <c r="I972" s="249"/>
      <c r="J972" s="248"/>
      <c r="K972" s="248"/>
      <c r="L972" s="250"/>
      <c r="M972" s="250"/>
      <c r="N972" s="250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</row>
    <row r="973" ht="15.75" customHeight="1">
      <c r="A973" s="248"/>
      <c r="B973" s="248"/>
      <c r="C973" s="250"/>
      <c r="D973" s="248"/>
      <c r="E973" s="248"/>
      <c r="F973" s="248"/>
      <c r="G973" s="248"/>
      <c r="H973" s="248"/>
      <c r="I973" s="249"/>
      <c r="J973" s="248"/>
      <c r="K973" s="248"/>
      <c r="L973" s="250"/>
      <c r="M973" s="250"/>
      <c r="N973" s="250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</row>
    <row r="974" ht="15.75" customHeight="1">
      <c r="A974" s="248"/>
      <c r="B974" s="248"/>
      <c r="C974" s="250"/>
      <c r="D974" s="248"/>
      <c r="E974" s="248"/>
      <c r="F974" s="248"/>
      <c r="G974" s="248"/>
      <c r="H974" s="248"/>
      <c r="I974" s="249"/>
      <c r="J974" s="248"/>
      <c r="K974" s="248"/>
      <c r="L974" s="250"/>
      <c r="M974" s="250"/>
      <c r="N974" s="250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</row>
    <row r="975" ht="15.75" customHeight="1">
      <c r="A975" s="248"/>
      <c r="B975" s="248"/>
      <c r="C975" s="250"/>
      <c r="D975" s="248"/>
      <c r="E975" s="248"/>
      <c r="F975" s="248"/>
      <c r="G975" s="248"/>
      <c r="H975" s="248"/>
      <c r="I975" s="249"/>
      <c r="J975" s="248"/>
      <c r="K975" s="248"/>
      <c r="L975" s="250"/>
      <c r="M975" s="250"/>
      <c r="N975" s="250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</row>
    <row r="976" ht="15.75" customHeight="1">
      <c r="A976" s="248"/>
      <c r="B976" s="248"/>
      <c r="C976" s="250"/>
      <c r="D976" s="248"/>
      <c r="E976" s="248"/>
      <c r="F976" s="248"/>
      <c r="G976" s="248"/>
      <c r="H976" s="248"/>
      <c r="I976" s="249"/>
      <c r="J976" s="248"/>
      <c r="K976" s="248"/>
      <c r="L976" s="250"/>
      <c r="M976" s="250"/>
      <c r="N976" s="250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</row>
    <row r="977" ht="15.75" customHeight="1">
      <c r="A977" s="248"/>
      <c r="B977" s="248"/>
      <c r="C977" s="250"/>
      <c r="D977" s="248"/>
      <c r="E977" s="248"/>
      <c r="F977" s="248"/>
      <c r="G977" s="248"/>
      <c r="H977" s="248"/>
      <c r="I977" s="249"/>
      <c r="J977" s="248"/>
      <c r="K977" s="248"/>
      <c r="L977" s="250"/>
      <c r="M977" s="250"/>
      <c r="N977" s="250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</row>
    <row r="978" ht="15.75" customHeight="1">
      <c r="A978" s="248"/>
      <c r="B978" s="248"/>
      <c r="C978" s="250"/>
      <c r="D978" s="248"/>
      <c r="E978" s="248"/>
      <c r="F978" s="248"/>
      <c r="G978" s="248"/>
      <c r="H978" s="248"/>
      <c r="I978" s="249"/>
      <c r="J978" s="248"/>
      <c r="K978" s="248"/>
      <c r="L978" s="250"/>
      <c r="M978" s="250"/>
      <c r="N978" s="250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</row>
    <row r="979" ht="15.75" customHeight="1">
      <c r="A979" s="248"/>
      <c r="B979" s="248"/>
      <c r="C979" s="250"/>
      <c r="D979" s="248"/>
      <c r="E979" s="248"/>
      <c r="F979" s="248"/>
      <c r="G979" s="248"/>
      <c r="H979" s="248"/>
      <c r="I979" s="249"/>
      <c r="J979" s="248"/>
      <c r="K979" s="248"/>
      <c r="L979" s="250"/>
      <c r="M979" s="250"/>
      <c r="N979" s="250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</row>
    <row r="980" ht="15.75" customHeight="1">
      <c r="A980" s="248"/>
      <c r="B980" s="248"/>
      <c r="C980" s="250"/>
      <c r="D980" s="248"/>
      <c r="E980" s="248"/>
      <c r="F980" s="248"/>
      <c r="G980" s="248"/>
      <c r="H980" s="248"/>
      <c r="I980" s="249"/>
      <c r="J980" s="248"/>
      <c r="K980" s="248"/>
      <c r="L980" s="250"/>
      <c r="M980" s="250"/>
      <c r="N980" s="250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</row>
    <row r="981" ht="15.75" customHeight="1">
      <c r="A981" s="248"/>
      <c r="B981" s="248"/>
      <c r="C981" s="250"/>
      <c r="D981" s="248"/>
      <c r="E981" s="248"/>
      <c r="F981" s="248"/>
      <c r="G981" s="248"/>
      <c r="H981" s="248"/>
      <c r="I981" s="249"/>
      <c r="J981" s="248"/>
      <c r="K981" s="248"/>
      <c r="L981" s="250"/>
      <c r="M981" s="250"/>
      <c r="N981" s="250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</row>
    <row r="982" ht="15.75" customHeight="1">
      <c r="A982" s="248"/>
      <c r="B982" s="248"/>
      <c r="C982" s="250"/>
      <c r="D982" s="248"/>
      <c r="E982" s="248"/>
      <c r="F982" s="248"/>
      <c r="G982" s="248"/>
      <c r="H982" s="248"/>
      <c r="I982" s="249"/>
      <c r="J982" s="248"/>
      <c r="K982" s="248"/>
      <c r="L982" s="250"/>
      <c r="M982" s="250"/>
      <c r="N982" s="250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</row>
    <row r="983" ht="15.75" customHeight="1">
      <c r="A983" s="248"/>
      <c r="B983" s="248"/>
      <c r="C983" s="250"/>
      <c r="D983" s="248"/>
      <c r="E983" s="248"/>
      <c r="F983" s="248"/>
      <c r="G983" s="248"/>
      <c r="H983" s="248"/>
      <c r="I983" s="249"/>
      <c r="J983" s="248"/>
      <c r="K983" s="248"/>
      <c r="L983" s="250"/>
      <c r="M983" s="250"/>
      <c r="N983" s="250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</row>
    <row r="984" ht="15.75" customHeight="1">
      <c r="A984" s="248"/>
      <c r="B984" s="248"/>
      <c r="C984" s="250"/>
      <c r="D984" s="248"/>
      <c r="E984" s="248"/>
      <c r="F984" s="248"/>
      <c r="G984" s="248"/>
      <c r="H984" s="248"/>
      <c r="I984" s="249"/>
      <c r="J984" s="248"/>
      <c r="K984" s="248"/>
      <c r="L984" s="250"/>
      <c r="M984" s="250"/>
      <c r="N984" s="250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</row>
    <row r="985" ht="15.75" customHeight="1">
      <c r="A985" s="248"/>
      <c r="B985" s="248"/>
      <c r="C985" s="250"/>
      <c r="D985" s="248"/>
      <c r="E985" s="248"/>
      <c r="F985" s="248"/>
      <c r="G985" s="248"/>
      <c r="H985" s="248"/>
      <c r="I985" s="249"/>
      <c r="J985" s="248"/>
      <c r="K985" s="248"/>
      <c r="L985" s="250"/>
      <c r="M985" s="250"/>
      <c r="N985" s="250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</row>
    <row r="986" ht="15.75" customHeight="1">
      <c r="A986" s="248"/>
      <c r="B986" s="248"/>
      <c r="C986" s="250"/>
      <c r="D986" s="248"/>
      <c r="E986" s="248"/>
      <c r="F986" s="248"/>
      <c r="G986" s="248"/>
      <c r="H986" s="248"/>
      <c r="I986" s="249"/>
      <c r="J986" s="248"/>
      <c r="K986" s="248"/>
      <c r="L986" s="250"/>
      <c r="M986" s="250"/>
      <c r="N986" s="250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</row>
    <row r="987" ht="15.75" customHeight="1">
      <c r="A987" s="248"/>
      <c r="B987" s="248"/>
      <c r="C987" s="250"/>
      <c r="D987" s="248"/>
      <c r="E987" s="248"/>
      <c r="F987" s="248"/>
      <c r="G987" s="248"/>
      <c r="H987" s="248"/>
      <c r="I987" s="249"/>
      <c r="J987" s="248"/>
      <c r="K987" s="248"/>
      <c r="L987" s="250"/>
      <c r="M987" s="250"/>
      <c r="N987" s="250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</row>
    <row r="988" ht="15.75" customHeight="1">
      <c r="A988" s="248"/>
      <c r="B988" s="248"/>
      <c r="C988" s="250"/>
      <c r="D988" s="248"/>
      <c r="E988" s="248"/>
      <c r="F988" s="248"/>
      <c r="G988" s="248"/>
      <c r="H988" s="248"/>
      <c r="I988" s="249"/>
      <c r="J988" s="248"/>
      <c r="K988" s="248"/>
      <c r="L988" s="250"/>
      <c r="M988" s="250"/>
      <c r="N988" s="250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</row>
    <row r="989" ht="15.75" customHeight="1">
      <c r="A989" s="248"/>
      <c r="B989" s="248"/>
      <c r="C989" s="250"/>
      <c r="D989" s="248"/>
      <c r="E989" s="248"/>
      <c r="F989" s="248"/>
      <c r="G989" s="248"/>
      <c r="H989" s="248"/>
      <c r="I989" s="249"/>
      <c r="J989" s="248"/>
      <c r="K989" s="248"/>
      <c r="L989" s="250"/>
      <c r="M989" s="250"/>
      <c r="N989" s="250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</row>
    <row r="990" ht="15.75" customHeight="1">
      <c r="A990" s="248"/>
      <c r="B990" s="248"/>
      <c r="C990" s="250"/>
      <c r="D990" s="248"/>
      <c r="E990" s="248"/>
      <c r="F990" s="248"/>
      <c r="G990" s="248"/>
      <c r="H990" s="248"/>
      <c r="I990" s="249"/>
      <c r="J990" s="248"/>
      <c r="K990" s="248"/>
      <c r="L990" s="250"/>
      <c r="M990" s="250"/>
      <c r="N990" s="250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</row>
    <row r="991" ht="15.75" customHeight="1">
      <c r="A991" s="248"/>
      <c r="B991" s="248"/>
      <c r="C991" s="250"/>
      <c r="D991" s="248"/>
      <c r="E991" s="248"/>
      <c r="F991" s="248"/>
      <c r="G991" s="248"/>
      <c r="H991" s="248"/>
      <c r="I991" s="249"/>
      <c r="J991" s="248"/>
      <c r="K991" s="248"/>
      <c r="L991" s="250"/>
      <c r="M991" s="250"/>
      <c r="N991" s="250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</row>
    <row r="992" ht="15.75" customHeight="1">
      <c r="A992" s="248"/>
      <c r="B992" s="248"/>
      <c r="C992" s="250"/>
      <c r="D992" s="248"/>
      <c r="E992" s="248"/>
      <c r="F992" s="248"/>
      <c r="G992" s="248"/>
      <c r="H992" s="248"/>
      <c r="I992" s="249"/>
      <c r="J992" s="248"/>
      <c r="K992" s="248"/>
      <c r="L992" s="250"/>
      <c r="M992" s="250"/>
      <c r="N992" s="250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</row>
    <row r="993" ht="15.75" customHeight="1">
      <c r="A993" s="248"/>
      <c r="B993" s="248"/>
      <c r="C993" s="250"/>
      <c r="D993" s="248"/>
      <c r="E993" s="248"/>
      <c r="F993" s="248"/>
      <c r="G993" s="248"/>
      <c r="H993" s="248"/>
      <c r="I993" s="249"/>
      <c r="J993" s="248"/>
      <c r="K993" s="248"/>
      <c r="L993" s="250"/>
      <c r="M993" s="250"/>
      <c r="N993" s="250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</row>
    <row r="994" ht="15.75" customHeight="1">
      <c r="A994" s="248"/>
      <c r="B994" s="248"/>
      <c r="C994" s="250"/>
      <c r="D994" s="248"/>
      <c r="E994" s="248"/>
      <c r="F994" s="248"/>
      <c r="G994" s="248"/>
      <c r="H994" s="248"/>
      <c r="I994" s="249"/>
      <c r="J994" s="248"/>
      <c r="K994" s="248"/>
      <c r="L994" s="250"/>
      <c r="M994" s="250"/>
      <c r="N994" s="250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</row>
    <row r="995" ht="15.75" customHeight="1">
      <c r="A995" s="248"/>
      <c r="B995" s="248"/>
      <c r="C995" s="250"/>
      <c r="D995" s="248"/>
      <c r="E995" s="248"/>
      <c r="F995" s="248"/>
      <c r="G995" s="248"/>
      <c r="H995" s="248"/>
      <c r="I995" s="249"/>
      <c r="J995" s="248"/>
      <c r="K995" s="248"/>
      <c r="L995" s="250"/>
      <c r="M995" s="250"/>
      <c r="N995" s="250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</row>
    <row r="996" ht="15.75" customHeight="1">
      <c r="A996" s="248"/>
      <c r="B996" s="248"/>
      <c r="C996" s="250"/>
      <c r="D996" s="248"/>
      <c r="E996" s="248"/>
      <c r="F996" s="248"/>
      <c r="G996" s="248"/>
      <c r="H996" s="248"/>
      <c r="I996" s="249"/>
      <c r="J996" s="248"/>
      <c r="K996" s="248"/>
      <c r="L996" s="250"/>
      <c r="M996" s="250"/>
      <c r="N996" s="250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</row>
    <row r="997" ht="15.75" customHeight="1">
      <c r="A997" s="248"/>
      <c r="B997" s="248"/>
      <c r="C997" s="250"/>
      <c r="D997" s="248"/>
      <c r="E997" s="248"/>
      <c r="F997" s="248"/>
      <c r="G997" s="248"/>
      <c r="H997" s="248"/>
      <c r="I997" s="249"/>
      <c r="J997" s="248"/>
      <c r="K997" s="248"/>
      <c r="L997" s="250"/>
      <c r="M997" s="250"/>
      <c r="N997" s="250"/>
      <c r="O997" s="248"/>
      <c r="P997" s="248"/>
      <c r="Q997" s="248"/>
      <c r="R997" s="248"/>
      <c r="S997" s="248"/>
      <c r="T997" s="248"/>
      <c r="U997" s="248"/>
      <c r="V997" s="248"/>
      <c r="W997" s="248"/>
      <c r="X997" s="248"/>
      <c r="Y997" s="248"/>
      <c r="Z997" s="248"/>
    </row>
    <row r="998" ht="15.75" customHeight="1">
      <c r="A998" s="248"/>
      <c r="B998" s="248"/>
      <c r="C998" s="250"/>
      <c r="D998" s="248"/>
      <c r="E998" s="248"/>
      <c r="F998" s="248"/>
      <c r="G998" s="248"/>
      <c r="H998" s="248"/>
      <c r="I998" s="249"/>
      <c r="J998" s="248"/>
      <c r="K998" s="248"/>
      <c r="L998" s="250"/>
      <c r="M998" s="250"/>
      <c r="N998" s="250"/>
      <c r="O998" s="248"/>
      <c r="P998" s="248"/>
      <c r="Q998" s="248"/>
      <c r="R998" s="248"/>
      <c r="S998" s="248"/>
      <c r="T998" s="248"/>
      <c r="U998" s="248"/>
      <c r="V998" s="248"/>
      <c r="W998" s="248"/>
      <c r="X998" s="248"/>
      <c r="Y998" s="248"/>
      <c r="Z998" s="248"/>
    </row>
    <row r="999" ht="15.75" customHeight="1">
      <c r="A999" s="248"/>
      <c r="B999" s="248"/>
      <c r="C999" s="250"/>
      <c r="D999" s="248"/>
      <c r="E999" s="248"/>
      <c r="F999" s="248"/>
      <c r="G999" s="248"/>
      <c r="H999" s="248"/>
      <c r="I999" s="249"/>
      <c r="J999" s="248"/>
      <c r="K999" s="248"/>
      <c r="L999" s="250"/>
      <c r="M999" s="250"/>
      <c r="N999" s="250"/>
      <c r="O999" s="248"/>
      <c r="P999" s="248"/>
      <c r="Q999" s="248"/>
      <c r="R999" s="248"/>
      <c r="S999" s="248"/>
      <c r="T999" s="248"/>
      <c r="U999" s="248"/>
      <c r="V999" s="248"/>
      <c r="W999" s="248"/>
      <c r="X999" s="248"/>
      <c r="Y999" s="248"/>
      <c r="Z999" s="248"/>
    </row>
    <row r="1000" ht="15.75" customHeight="1">
      <c r="A1000" s="248"/>
      <c r="B1000" s="248"/>
      <c r="C1000" s="250"/>
      <c r="D1000" s="248"/>
      <c r="E1000" s="248"/>
      <c r="F1000" s="248"/>
      <c r="G1000" s="248"/>
      <c r="H1000" s="248"/>
      <c r="I1000" s="249"/>
      <c r="J1000" s="248"/>
      <c r="K1000" s="248"/>
      <c r="L1000" s="250"/>
      <c r="M1000" s="250"/>
      <c r="N1000" s="250"/>
      <c r="O1000" s="248"/>
      <c r="P1000" s="248"/>
      <c r="Q1000" s="248"/>
      <c r="R1000" s="248"/>
      <c r="S1000" s="248"/>
      <c r="T1000" s="248"/>
      <c r="U1000" s="248"/>
      <c r="V1000" s="248"/>
      <c r="W1000" s="248"/>
      <c r="X1000" s="248"/>
      <c r="Y1000" s="248"/>
      <c r="Z1000" s="248"/>
    </row>
  </sheetData>
  <autoFilter ref="$A$3:$N$46"/>
  <dataValidations>
    <dataValidation type="list" allowBlank="1" showErrorMessage="1" sqref="F4:F196 F200:F204 F206:F248 F250:F252">
      <formula1>CVE</formula1>
    </dataValidation>
    <dataValidation type="list" allowBlank="1" showErrorMessage="1" sqref="D4:D196 D200:D204 D206:D248 D250:D252">
      <formula1>"H,M"</formula1>
    </dataValidation>
    <dataValidation type="list" allowBlank="1" showErrorMessage="1" sqref="E4:E196 E200:E204 E206:E248 E250:E252">
      <formula1>EdoCivil</formula1>
    </dataValidation>
    <dataValidation type="date" operator="greaterThan" allowBlank="1" showErrorMessage="1" sqref="I4:I196 I200:I204 I206:I248 I250:I252">
      <formula1>1.0</formula1>
    </dataValidation>
    <dataValidation type="list" allowBlank="1" showErrorMessage="1" sqref="G4:H196 G200:H204 G206:H248 G250:H252">
      <formula1>"SÍ,NO"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hidden="1" min="2" max="2" width="10.71"/>
    <col customWidth="1" min="3" max="3" width="33.29"/>
    <col customWidth="1" hidden="1" min="4" max="4" width="2.71"/>
    <col customWidth="1" min="5" max="5" width="5.86"/>
    <col customWidth="1" min="6" max="6" width="6.0"/>
    <col customWidth="1" hidden="1" min="7" max="9" width="10.71"/>
    <col customWidth="1" min="10" max="10" width="8.0"/>
    <col customWidth="1" min="11" max="11" width="11.43"/>
    <col customWidth="1" min="12" max="12" width="38.71"/>
    <col customWidth="1" min="13" max="13" width="62.57"/>
    <col customWidth="1" min="14" max="26" width="10.71"/>
  </cols>
  <sheetData>
    <row r="1">
      <c r="C1" s="260" t="s">
        <v>2436</v>
      </c>
      <c r="D1" s="261" t="s">
        <v>2437</v>
      </c>
      <c r="E1" s="261" t="s">
        <v>2438</v>
      </c>
      <c r="F1" s="261" t="s">
        <v>2439</v>
      </c>
      <c r="G1" s="261" t="s">
        <v>2440</v>
      </c>
      <c r="H1" s="261" t="s">
        <v>2441</v>
      </c>
      <c r="I1" s="261" t="s">
        <v>2442</v>
      </c>
      <c r="J1" s="262" t="s">
        <v>111</v>
      </c>
      <c r="K1" s="261" t="s">
        <v>2443</v>
      </c>
      <c r="L1" s="260" t="s">
        <v>113</v>
      </c>
      <c r="M1" s="260" t="s">
        <v>2444</v>
      </c>
    </row>
    <row r="2">
      <c r="B2" s="263" t="str">
        <f t="shared" ref="B2:B8" si="1">IF(C2="","",D2&amp;F2&amp;COUNTIFS($D2:D$3,D2,$F2:F$3,F2))</f>
        <v>MJ1</v>
      </c>
      <c r="C2" s="264" t="s">
        <v>1720</v>
      </c>
      <c r="D2" s="265" t="s">
        <v>128</v>
      </c>
      <c r="E2" s="265" t="s">
        <v>40</v>
      </c>
      <c r="F2" s="265" t="s">
        <v>30</v>
      </c>
      <c r="G2" s="265" t="s">
        <v>118</v>
      </c>
      <c r="H2" s="265" t="s">
        <v>118</v>
      </c>
      <c r="I2" s="266">
        <v>36175.0</v>
      </c>
      <c r="J2" s="265">
        <f t="shared" ref="J2:J8" si="2">IF(C2="","",DATEDIF(I2,TODAY(),"Y"))</f>
        <v>27</v>
      </c>
      <c r="K2" s="265">
        <v>3.334484036E9</v>
      </c>
      <c r="L2" s="267" t="s">
        <v>1719</v>
      </c>
      <c r="M2" s="260" t="s">
        <v>2445</v>
      </c>
    </row>
    <row r="3">
      <c r="B3" s="263" t="str">
        <f t="shared" si="1"/>
        <v>HL1</v>
      </c>
      <c r="C3" s="264" t="s">
        <v>896</v>
      </c>
      <c r="D3" s="268" t="s">
        <v>117</v>
      </c>
      <c r="E3" s="268" t="s">
        <v>22</v>
      </c>
      <c r="F3" s="268" t="s">
        <v>12</v>
      </c>
      <c r="G3" s="268" t="s">
        <v>118</v>
      </c>
      <c r="H3" s="268" t="s">
        <v>118</v>
      </c>
      <c r="I3" s="269">
        <v>28879.0</v>
      </c>
      <c r="J3" s="268">
        <f t="shared" si="2"/>
        <v>47</v>
      </c>
      <c r="K3" s="268">
        <v>3.338475744E9</v>
      </c>
      <c r="L3" s="267" t="s">
        <v>897</v>
      </c>
      <c r="M3" s="260" t="s">
        <v>2446</v>
      </c>
    </row>
    <row r="4">
      <c r="B4" s="263" t="str">
        <f t="shared" si="1"/>
        <v>HL2</v>
      </c>
      <c r="C4" s="264" t="s">
        <v>928</v>
      </c>
      <c r="D4" s="268" t="s">
        <v>117</v>
      </c>
      <c r="E4" s="268" t="s">
        <v>40</v>
      </c>
      <c r="F4" s="268" t="s">
        <v>12</v>
      </c>
      <c r="G4" s="268" t="s">
        <v>118</v>
      </c>
      <c r="H4" s="268" t="s">
        <v>118</v>
      </c>
      <c r="I4" s="269">
        <v>37653.0</v>
      </c>
      <c r="J4" s="268">
        <f t="shared" si="2"/>
        <v>23</v>
      </c>
      <c r="K4" s="268">
        <v>3.313247563E9</v>
      </c>
      <c r="L4" s="267" t="s">
        <v>929</v>
      </c>
      <c r="M4" s="260" t="s">
        <v>2447</v>
      </c>
    </row>
    <row r="5">
      <c r="B5" s="263" t="str">
        <f t="shared" si="1"/>
        <v>HL3</v>
      </c>
      <c r="C5" s="264" t="s">
        <v>1611</v>
      </c>
      <c r="D5" s="268" t="s">
        <v>117</v>
      </c>
      <c r="E5" s="268" t="s">
        <v>34</v>
      </c>
      <c r="F5" s="268" t="s">
        <v>12</v>
      </c>
      <c r="G5" s="268" t="s">
        <v>118</v>
      </c>
      <c r="H5" s="268" t="s">
        <v>118</v>
      </c>
      <c r="I5" s="269">
        <v>12810.0</v>
      </c>
      <c r="J5" s="268">
        <f t="shared" si="2"/>
        <v>91</v>
      </c>
      <c r="K5" s="268" t="s">
        <v>223</v>
      </c>
      <c r="L5" s="267" t="s">
        <v>1612</v>
      </c>
      <c r="M5" s="260" t="s">
        <v>2448</v>
      </c>
    </row>
    <row r="6">
      <c r="B6" s="263" t="str">
        <f t="shared" si="1"/>
        <v>MS1</v>
      </c>
      <c r="C6" s="264" t="s">
        <v>1938</v>
      </c>
      <c r="D6" s="268" t="s">
        <v>128</v>
      </c>
      <c r="E6" s="268" t="s">
        <v>22</v>
      </c>
      <c r="F6" s="268" t="s">
        <v>43</v>
      </c>
      <c r="G6" s="268" t="s">
        <v>118</v>
      </c>
      <c r="H6" s="268" t="s">
        <v>165</v>
      </c>
      <c r="I6" s="269">
        <v>30585.0</v>
      </c>
      <c r="J6" s="268">
        <f t="shared" si="2"/>
        <v>42</v>
      </c>
      <c r="K6" s="268">
        <v>3.312987565E9</v>
      </c>
      <c r="L6" s="267" t="s">
        <v>1939</v>
      </c>
      <c r="M6" s="260" t="s">
        <v>2449</v>
      </c>
    </row>
    <row r="7">
      <c r="B7" s="263" t="str">
        <f t="shared" si="1"/>
        <v>HL4</v>
      </c>
      <c r="C7" s="264" t="s">
        <v>1542</v>
      </c>
      <c r="D7" s="268" t="s">
        <v>117</v>
      </c>
      <c r="E7" s="268" t="s">
        <v>40</v>
      </c>
      <c r="F7" s="268" t="s">
        <v>12</v>
      </c>
      <c r="G7" s="268" t="s">
        <v>118</v>
      </c>
      <c r="H7" s="268" t="s">
        <v>118</v>
      </c>
      <c r="I7" s="269">
        <v>36502.0</v>
      </c>
      <c r="J7" s="268">
        <f t="shared" si="2"/>
        <v>26</v>
      </c>
      <c r="K7" s="268">
        <v>3.339705399E9</v>
      </c>
      <c r="L7" s="267" t="s">
        <v>1543</v>
      </c>
      <c r="M7" s="260" t="s">
        <v>2450</v>
      </c>
    </row>
    <row r="8">
      <c r="B8" s="263" t="str">
        <f t="shared" si="1"/>
        <v>HL5</v>
      </c>
      <c r="C8" s="264" t="s">
        <v>1865</v>
      </c>
      <c r="D8" s="268" t="s">
        <v>117</v>
      </c>
      <c r="E8" s="268" t="s">
        <v>34</v>
      </c>
      <c r="F8" s="268" t="s">
        <v>12</v>
      </c>
      <c r="G8" s="268" t="s">
        <v>118</v>
      </c>
      <c r="H8" s="268" t="s">
        <v>118</v>
      </c>
      <c r="I8" s="269">
        <v>30926.0</v>
      </c>
      <c r="J8" s="268">
        <f t="shared" si="2"/>
        <v>41</v>
      </c>
      <c r="K8" s="268">
        <v>3.319901048E9</v>
      </c>
      <c r="L8" s="267" t="s">
        <v>1866</v>
      </c>
      <c r="M8" s="260" t="s">
        <v>2451</v>
      </c>
    </row>
    <row r="9">
      <c r="B9" s="263"/>
      <c r="C9" s="264" t="s">
        <v>372</v>
      </c>
      <c r="D9" s="268" t="s">
        <v>117</v>
      </c>
      <c r="E9" s="268" t="s">
        <v>40</v>
      </c>
      <c r="F9" s="268" t="s">
        <v>49</v>
      </c>
      <c r="G9" s="268" t="s">
        <v>118</v>
      </c>
      <c r="H9" s="268" t="s">
        <v>118</v>
      </c>
      <c r="I9" s="269">
        <v>35210.0</v>
      </c>
      <c r="J9" s="268">
        <v>22.0</v>
      </c>
      <c r="K9" s="268">
        <v>3.334973578E9</v>
      </c>
      <c r="L9" s="267" t="s">
        <v>373</v>
      </c>
      <c r="M9" s="260" t="s">
        <v>2452</v>
      </c>
    </row>
    <row r="10">
      <c r="C10" s="264" t="s">
        <v>392</v>
      </c>
      <c r="D10" s="268" t="s">
        <v>117</v>
      </c>
      <c r="E10" s="268" t="s">
        <v>22</v>
      </c>
      <c r="F10" s="268" t="s">
        <v>49</v>
      </c>
      <c r="G10" s="268" t="s">
        <v>118</v>
      </c>
      <c r="H10" s="268" t="s">
        <v>118</v>
      </c>
      <c r="I10" s="269">
        <v>27033.0</v>
      </c>
      <c r="J10" s="268">
        <v>45.0</v>
      </c>
      <c r="K10" s="268">
        <v>3.310197194E9</v>
      </c>
      <c r="L10" s="267" t="s">
        <v>393</v>
      </c>
      <c r="M10" s="260" t="s">
        <v>2453</v>
      </c>
    </row>
    <row r="11">
      <c r="C11" s="264" t="s">
        <v>578</v>
      </c>
      <c r="D11" s="268" t="s">
        <v>117</v>
      </c>
      <c r="E11" s="268" t="s">
        <v>22</v>
      </c>
      <c r="F11" s="268" t="s">
        <v>49</v>
      </c>
      <c r="G11" s="268" t="s">
        <v>118</v>
      </c>
      <c r="H11" s="268" t="s">
        <v>118</v>
      </c>
      <c r="I11" s="269">
        <v>27110.0</v>
      </c>
      <c r="J11" s="268">
        <v>44.0</v>
      </c>
      <c r="K11" s="268" t="s">
        <v>579</v>
      </c>
      <c r="L11" s="267" t="s">
        <v>580</v>
      </c>
      <c r="M11" s="260" t="s">
        <v>2454</v>
      </c>
    </row>
    <row r="12">
      <c r="C12" s="264" t="s">
        <v>717</v>
      </c>
      <c r="D12" s="268" t="s">
        <v>117</v>
      </c>
      <c r="E12" s="268" t="s">
        <v>40</v>
      </c>
      <c r="F12" s="268" t="s">
        <v>49</v>
      </c>
      <c r="G12" s="268" t="s">
        <v>118</v>
      </c>
      <c r="H12" s="268" t="s">
        <v>118</v>
      </c>
      <c r="I12" s="269">
        <v>37904.0</v>
      </c>
      <c r="J12" s="268">
        <v>15.0</v>
      </c>
      <c r="K12" s="268">
        <v>2.781130373E9</v>
      </c>
      <c r="L12" s="267" t="s">
        <v>476</v>
      </c>
      <c r="M12" s="260" t="s">
        <v>2455</v>
      </c>
    </row>
    <row r="13">
      <c r="C13" s="264" t="s">
        <v>768</v>
      </c>
      <c r="D13" s="268" t="s">
        <v>117</v>
      </c>
      <c r="E13" s="268" t="s">
        <v>40</v>
      </c>
      <c r="F13" s="268" t="s">
        <v>49</v>
      </c>
      <c r="G13" s="268" t="s">
        <v>165</v>
      </c>
      <c r="H13" s="268" t="s">
        <v>118</v>
      </c>
      <c r="I13" s="269">
        <v>37816.0</v>
      </c>
      <c r="J13" s="268">
        <v>15.0</v>
      </c>
      <c r="K13" s="268">
        <v>3.331191945E9</v>
      </c>
      <c r="L13" s="267" t="s">
        <v>769</v>
      </c>
      <c r="M13" s="260" t="s">
        <v>2456</v>
      </c>
    </row>
    <row r="14">
      <c r="C14" s="264" t="s">
        <v>1105</v>
      </c>
      <c r="D14" s="268" t="s">
        <v>117</v>
      </c>
      <c r="E14" s="268" t="s">
        <v>40</v>
      </c>
      <c r="F14" s="268" t="s">
        <v>49</v>
      </c>
      <c r="G14" s="268" t="s">
        <v>118</v>
      </c>
      <c r="H14" s="268" t="s">
        <v>118</v>
      </c>
      <c r="I14" s="269">
        <v>35902.0</v>
      </c>
      <c r="J14" s="268">
        <v>20.0</v>
      </c>
      <c r="K14" s="268">
        <v>3.313667413E9</v>
      </c>
      <c r="L14" s="267" t="s">
        <v>1106</v>
      </c>
      <c r="M14" s="260" t="s">
        <v>2457</v>
      </c>
    </row>
    <row r="15">
      <c r="C15" s="264" t="s">
        <v>1240</v>
      </c>
      <c r="D15" s="268" t="s">
        <v>117</v>
      </c>
      <c r="E15" s="268" t="s">
        <v>140</v>
      </c>
      <c r="F15" s="268" t="s">
        <v>49</v>
      </c>
      <c r="G15" s="268" t="s">
        <v>118</v>
      </c>
      <c r="H15" s="268" t="s">
        <v>118</v>
      </c>
      <c r="I15" s="269">
        <v>24271.0</v>
      </c>
      <c r="J15" s="268">
        <v>52.0</v>
      </c>
      <c r="K15" s="268">
        <v>3.312665737E9</v>
      </c>
      <c r="L15" s="267" t="s">
        <v>1241</v>
      </c>
      <c r="M15" s="260" t="s">
        <v>2458</v>
      </c>
    </row>
    <row r="16">
      <c r="C16" s="264" t="s">
        <v>1609</v>
      </c>
      <c r="D16" s="268" t="s">
        <v>117</v>
      </c>
      <c r="E16" s="268" t="s">
        <v>28</v>
      </c>
      <c r="F16" s="268" t="s">
        <v>49</v>
      </c>
      <c r="G16" s="268" t="s">
        <v>118</v>
      </c>
      <c r="H16" s="268" t="s">
        <v>118</v>
      </c>
      <c r="I16" s="269">
        <v>31086.0</v>
      </c>
      <c r="J16" s="268">
        <v>33.0</v>
      </c>
      <c r="K16" s="268">
        <v>3.2223065534E10</v>
      </c>
      <c r="L16" s="267" t="s">
        <v>1610</v>
      </c>
      <c r="M16" s="260" t="s">
        <v>2459</v>
      </c>
    </row>
    <row r="17">
      <c r="C17" s="264" t="s">
        <v>2460</v>
      </c>
      <c r="D17" s="268" t="s">
        <v>117</v>
      </c>
      <c r="E17" s="268" t="s">
        <v>22</v>
      </c>
      <c r="F17" s="268" t="s">
        <v>49</v>
      </c>
      <c r="G17" s="268" t="s">
        <v>118</v>
      </c>
      <c r="H17" s="268" t="s">
        <v>118</v>
      </c>
      <c r="I17" s="269"/>
      <c r="J17" s="268">
        <v>119.0</v>
      </c>
      <c r="K17" s="268">
        <v>3.310807887E9</v>
      </c>
      <c r="L17" s="267"/>
      <c r="M17" s="260" t="s">
        <v>2461</v>
      </c>
    </row>
    <row r="18">
      <c r="C18" s="264" t="s">
        <v>1764</v>
      </c>
      <c r="D18" s="268" t="s">
        <v>117</v>
      </c>
      <c r="E18" s="268" t="s">
        <v>40</v>
      </c>
      <c r="F18" s="268" t="s">
        <v>49</v>
      </c>
      <c r="G18" s="268" t="s">
        <v>118</v>
      </c>
      <c r="H18" s="268" t="s">
        <v>118</v>
      </c>
      <c r="I18" s="269">
        <v>34451.0</v>
      </c>
      <c r="J18" s="268">
        <v>24.0</v>
      </c>
      <c r="K18" s="268">
        <v>4.271365698E9</v>
      </c>
      <c r="L18" s="267" t="s">
        <v>1765</v>
      </c>
      <c r="M18" s="260" t="s">
        <v>2462</v>
      </c>
    </row>
    <row r="19">
      <c r="C19" s="264" t="s">
        <v>1807</v>
      </c>
      <c r="D19" s="268" t="s">
        <v>117</v>
      </c>
      <c r="E19" s="268" t="s">
        <v>140</v>
      </c>
      <c r="F19" s="268" t="s">
        <v>49</v>
      </c>
      <c r="G19" s="268" t="s">
        <v>118</v>
      </c>
      <c r="H19" s="268" t="s">
        <v>118</v>
      </c>
      <c r="I19" s="269">
        <v>24048.0</v>
      </c>
      <c r="J19" s="268">
        <v>53.0</v>
      </c>
      <c r="K19" s="268">
        <v>3.310094665E9</v>
      </c>
      <c r="L19" s="267" t="s">
        <v>1808</v>
      </c>
      <c r="M19" s="260" t="s">
        <v>2463</v>
      </c>
    </row>
    <row r="20">
      <c r="C20" s="264" t="s">
        <v>2169</v>
      </c>
      <c r="D20" s="268" t="s">
        <v>117</v>
      </c>
      <c r="E20" s="268" t="s">
        <v>34</v>
      </c>
      <c r="F20" s="268" t="s">
        <v>49</v>
      </c>
      <c r="G20" s="268" t="s">
        <v>118</v>
      </c>
      <c r="H20" s="268" t="s">
        <v>118</v>
      </c>
      <c r="I20" s="269">
        <v>18112.0</v>
      </c>
      <c r="J20" s="268">
        <v>69.0</v>
      </c>
      <c r="K20" s="268">
        <v>3.314393948E9</v>
      </c>
      <c r="L20" s="267" t="s">
        <v>2168</v>
      </c>
      <c r="M20" s="260" t="s">
        <v>2464</v>
      </c>
    </row>
    <row r="21" ht="15.75" customHeight="1">
      <c r="D21" s="270"/>
      <c r="E21" s="270"/>
      <c r="F21" s="270"/>
      <c r="G21" s="270"/>
      <c r="H21" s="270"/>
      <c r="I21" s="270"/>
      <c r="J21" s="270"/>
      <c r="K21" s="270"/>
    </row>
    <row r="22" ht="15.75" customHeight="1">
      <c r="D22" s="270"/>
      <c r="E22" s="270"/>
      <c r="F22" s="270"/>
      <c r="G22" s="270"/>
      <c r="H22" s="270"/>
      <c r="I22" s="270"/>
      <c r="J22" s="270"/>
      <c r="K22" s="270"/>
    </row>
    <row r="23" ht="15.75" customHeight="1">
      <c r="D23" s="270"/>
      <c r="E23" s="270"/>
      <c r="F23" s="270"/>
      <c r="G23" s="270"/>
      <c r="H23" s="270"/>
      <c r="I23" s="270"/>
      <c r="J23" s="270"/>
      <c r="K23" s="270"/>
    </row>
    <row r="24" ht="15.75" customHeight="1">
      <c r="D24" s="270"/>
      <c r="E24" s="270"/>
      <c r="F24" s="270"/>
      <c r="G24" s="270"/>
      <c r="H24" s="270"/>
      <c r="I24" s="270"/>
      <c r="J24" s="270"/>
      <c r="K24" s="270"/>
    </row>
    <row r="25" ht="15.75" customHeight="1">
      <c r="D25" s="270"/>
      <c r="E25" s="270"/>
      <c r="F25" s="270"/>
      <c r="G25" s="270"/>
      <c r="H25" s="270"/>
      <c r="I25" s="270"/>
      <c r="J25" s="270"/>
      <c r="K25" s="270"/>
    </row>
    <row r="26" ht="15.75" customHeight="1">
      <c r="D26" s="270"/>
      <c r="E26" s="270"/>
      <c r="F26" s="270"/>
      <c r="G26" s="270"/>
      <c r="H26" s="270"/>
      <c r="I26" s="270"/>
      <c r="J26" s="270"/>
      <c r="K26" s="270"/>
    </row>
    <row r="27" ht="15.75" customHeight="1">
      <c r="D27" s="270"/>
      <c r="E27" s="270"/>
      <c r="F27" s="270"/>
      <c r="G27" s="270"/>
      <c r="H27" s="270"/>
      <c r="I27" s="270"/>
      <c r="J27" s="270"/>
      <c r="K27" s="270"/>
    </row>
    <row r="28" ht="15.75" customHeight="1">
      <c r="D28" s="270"/>
      <c r="E28" s="270"/>
      <c r="F28" s="270"/>
      <c r="G28" s="270"/>
      <c r="H28" s="270"/>
      <c r="I28" s="270"/>
      <c r="J28" s="270"/>
      <c r="K28" s="270"/>
    </row>
    <row r="29" ht="15.75" customHeight="1">
      <c r="D29" s="270"/>
      <c r="E29" s="270"/>
      <c r="F29" s="270"/>
      <c r="G29" s="270"/>
      <c r="H29" s="270"/>
      <c r="I29" s="270"/>
      <c r="J29" s="270"/>
      <c r="K29" s="270"/>
    </row>
    <row r="30" ht="15.75" customHeight="1">
      <c r="D30" s="270"/>
      <c r="E30" s="270"/>
      <c r="F30" s="270"/>
      <c r="G30" s="270"/>
      <c r="H30" s="270"/>
      <c r="I30" s="270"/>
      <c r="J30" s="270"/>
      <c r="K30" s="270"/>
    </row>
    <row r="31" ht="15.75" customHeight="1">
      <c r="D31" s="270"/>
      <c r="E31" s="270"/>
      <c r="F31" s="270"/>
      <c r="G31" s="270"/>
      <c r="H31" s="270"/>
      <c r="I31" s="270"/>
      <c r="J31" s="270"/>
      <c r="K31" s="270"/>
    </row>
    <row r="32" ht="15.75" customHeight="1">
      <c r="D32" s="270"/>
      <c r="E32" s="270"/>
      <c r="F32" s="270"/>
      <c r="G32" s="270"/>
      <c r="H32" s="270"/>
      <c r="I32" s="270"/>
      <c r="J32" s="270"/>
      <c r="K32" s="270"/>
    </row>
    <row r="33" ht="15.75" customHeight="1">
      <c r="D33" s="270"/>
      <c r="E33" s="270"/>
      <c r="F33" s="270"/>
      <c r="G33" s="270"/>
      <c r="H33" s="270"/>
      <c r="I33" s="270"/>
      <c r="J33" s="270"/>
      <c r="K33" s="270"/>
    </row>
    <row r="34" ht="15.75" customHeight="1">
      <c r="D34" s="270"/>
      <c r="E34" s="270"/>
      <c r="F34" s="270"/>
      <c r="G34" s="270"/>
      <c r="H34" s="270"/>
      <c r="I34" s="270"/>
      <c r="J34" s="270"/>
      <c r="K34" s="270"/>
    </row>
    <row r="35" ht="15.75" customHeight="1">
      <c r="D35" s="270"/>
      <c r="E35" s="270"/>
      <c r="F35" s="270"/>
      <c r="G35" s="270"/>
      <c r="H35" s="270"/>
      <c r="I35" s="270"/>
      <c r="J35" s="270"/>
      <c r="K35" s="270"/>
    </row>
    <row r="36" ht="15.75" customHeight="1">
      <c r="D36" s="270"/>
      <c r="E36" s="270"/>
      <c r="F36" s="270"/>
      <c r="G36" s="270"/>
      <c r="H36" s="270"/>
      <c r="I36" s="270"/>
      <c r="J36" s="270"/>
      <c r="K36" s="270"/>
    </row>
    <row r="37" ht="15.75" customHeight="1">
      <c r="D37" s="270"/>
      <c r="E37" s="270"/>
      <c r="F37" s="270"/>
      <c r="G37" s="270"/>
      <c r="H37" s="270"/>
      <c r="I37" s="270"/>
      <c r="J37" s="270"/>
      <c r="K37" s="270"/>
    </row>
    <row r="38" ht="15.75" customHeight="1">
      <c r="D38" s="270"/>
      <c r="E38" s="270"/>
      <c r="F38" s="270"/>
      <c r="G38" s="270"/>
      <c r="H38" s="270"/>
      <c r="I38" s="270"/>
      <c r="J38" s="270"/>
      <c r="K38" s="270"/>
    </row>
    <row r="39" ht="15.75" customHeight="1">
      <c r="D39" s="270"/>
      <c r="E39" s="270"/>
      <c r="F39" s="270"/>
      <c r="G39" s="270"/>
      <c r="H39" s="270"/>
      <c r="I39" s="270"/>
      <c r="J39" s="270"/>
      <c r="K39" s="270"/>
    </row>
    <row r="40" ht="15.75" customHeight="1">
      <c r="D40" s="270"/>
      <c r="E40" s="270"/>
      <c r="F40" s="270"/>
      <c r="G40" s="270"/>
      <c r="H40" s="270"/>
      <c r="I40" s="270"/>
      <c r="J40" s="270"/>
      <c r="K40" s="270"/>
    </row>
    <row r="41" ht="15.75" customHeight="1">
      <c r="D41" s="270"/>
      <c r="E41" s="270"/>
      <c r="F41" s="270"/>
      <c r="G41" s="270"/>
      <c r="H41" s="270"/>
      <c r="I41" s="270"/>
      <c r="J41" s="270"/>
      <c r="K41" s="270"/>
    </row>
    <row r="42" ht="15.75" customHeight="1">
      <c r="D42" s="270"/>
      <c r="E42" s="270"/>
      <c r="F42" s="270"/>
      <c r="G42" s="270"/>
      <c r="H42" s="270"/>
      <c r="I42" s="270"/>
      <c r="J42" s="270"/>
      <c r="K42" s="270"/>
    </row>
    <row r="43" ht="15.75" customHeight="1">
      <c r="D43" s="270"/>
      <c r="E43" s="270"/>
      <c r="F43" s="270"/>
      <c r="G43" s="270"/>
      <c r="H43" s="270"/>
      <c r="I43" s="270"/>
      <c r="J43" s="270"/>
      <c r="K43" s="270"/>
    </row>
    <row r="44" ht="15.75" customHeight="1">
      <c r="D44" s="270"/>
      <c r="E44" s="270"/>
      <c r="F44" s="270"/>
      <c r="G44" s="270"/>
      <c r="H44" s="270"/>
      <c r="I44" s="270"/>
      <c r="J44" s="270"/>
      <c r="K44" s="270"/>
    </row>
    <row r="45" ht="15.75" customHeight="1">
      <c r="D45" s="270"/>
      <c r="E45" s="270"/>
      <c r="F45" s="270"/>
      <c r="G45" s="270"/>
      <c r="H45" s="270"/>
      <c r="I45" s="270"/>
      <c r="J45" s="270"/>
      <c r="K45" s="270"/>
    </row>
    <row r="46" ht="15.75" customHeight="1">
      <c r="D46" s="270"/>
      <c r="E46" s="270"/>
      <c r="F46" s="270"/>
      <c r="G46" s="270"/>
      <c r="H46" s="270"/>
      <c r="I46" s="270"/>
      <c r="J46" s="270"/>
      <c r="K46" s="270"/>
    </row>
    <row r="47" ht="15.75" customHeight="1">
      <c r="D47" s="270"/>
      <c r="E47" s="270"/>
      <c r="F47" s="270"/>
      <c r="G47" s="270"/>
      <c r="H47" s="270"/>
      <c r="I47" s="270"/>
      <c r="J47" s="270"/>
      <c r="K47" s="270"/>
    </row>
    <row r="48" ht="15.75" customHeight="1">
      <c r="D48" s="270"/>
      <c r="E48" s="270"/>
      <c r="F48" s="270"/>
      <c r="G48" s="270"/>
      <c r="H48" s="270"/>
      <c r="I48" s="270"/>
      <c r="J48" s="270"/>
      <c r="K48" s="270"/>
    </row>
    <row r="49" ht="15.75" customHeight="1">
      <c r="D49" s="270"/>
      <c r="E49" s="270"/>
      <c r="F49" s="270"/>
      <c r="G49" s="270"/>
      <c r="H49" s="270"/>
      <c r="I49" s="270"/>
      <c r="J49" s="270"/>
      <c r="K49" s="270"/>
    </row>
    <row r="50" ht="15.75" customHeight="1">
      <c r="D50" s="270"/>
      <c r="E50" s="270"/>
      <c r="F50" s="270"/>
      <c r="G50" s="270"/>
      <c r="H50" s="270"/>
      <c r="I50" s="270"/>
      <c r="J50" s="270"/>
      <c r="K50" s="270"/>
    </row>
    <row r="51" ht="15.75" customHeight="1">
      <c r="D51" s="270"/>
      <c r="E51" s="270"/>
      <c r="F51" s="270"/>
      <c r="G51" s="270"/>
      <c r="H51" s="270"/>
      <c r="I51" s="270"/>
      <c r="J51" s="270"/>
      <c r="K51" s="270"/>
    </row>
    <row r="52" ht="15.75" customHeight="1">
      <c r="D52" s="270"/>
      <c r="E52" s="270"/>
      <c r="F52" s="270"/>
      <c r="G52" s="270"/>
      <c r="H52" s="270"/>
      <c r="I52" s="270"/>
      <c r="J52" s="270"/>
      <c r="K52" s="270"/>
    </row>
    <row r="53" ht="15.75" customHeight="1">
      <c r="D53" s="270"/>
      <c r="E53" s="270"/>
      <c r="F53" s="270"/>
      <c r="G53" s="270"/>
      <c r="H53" s="270"/>
      <c r="I53" s="270"/>
      <c r="J53" s="270"/>
      <c r="K53" s="270"/>
    </row>
    <row r="54" ht="15.75" customHeight="1">
      <c r="D54" s="270"/>
      <c r="E54" s="270"/>
      <c r="F54" s="270"/>
      <c r="G54" s="270"/>
      <c r="H54" s="270"/>
      <c r="I54" s="270"/>
      <c r="J54" s="270"/>
      <c r="K54" s="270"/>
    </row>
    <row r="55" ht="15.75" customHeight="1">
      <c r="D55" s="270"/>
      <c r="E55" s="270"/>
      <c r="F55" s="270"/>
      <c r="G55" s="270"/>
      <c r="H55" s="270"/>
      <c r="I55" s="270"/>
      <c r="J55" s="270"/>
      <c r="K55" s="270"/>
    </row>
    <row r="56" ht="15.75" customHeight="1">
      <c r="D56" s="270"/>
      <c r="E56" s="270"/>
      <c r="F56" s="270"/>
      <c r="G56" s="270"/>
      <c r="H56" s="270"/>
      <c r="I56" s="270"/>
      <c r="J56" s="270"/>
      <c r="K56" s="270"/>
    </row>
    <row r="57" ht="15.75" customHeight="1">
      <c r="D57" s="270"/>
      <c r="E57" s="270"/>
      <c r="F57" s="270"/>
      <c r="G57" s="270"/>
      <c r="H57" s="270"/>
      <c r="I57" s="270"/>
      <c r="J57" s="270"/>
      <c r="K57" s="270"/>
    </row>
    <row r="58" ht="15.75" customHeight="1">
      <c r="D58" s="270"/>
      <c r="E58" s="270"/>
      <c r="F58" s="270"/>
      <c r="G58" s="270"/>
      <c r="H58" s="270"/>
      <c r="I58" s="270"/>
      <c r="J58" s="270"/>
      <c r="K58" s="270"/>
    </row>
    <row r="59" ht="15.75" customHeight="1">
      <c r="D59" s="270"/>
      <c r="E59" s="270"/>
      <c r="F59" s="270"/>
      <c r="G59" s="270"/>
      <c r="H59" s="270"/>
      <c r="I59" s="270"/>
      <c r="J59" s="270"/>
      <c r="K59" s="270"/>
    </row>
    <row r="60" ht="15.75" customHeight="1">
      <c r="D60" s="270"/>
      <c r="E60" s="270"/>
      <c r="F60" s="270"/>
      <c r="G60" s="270"/>
      <c r="H60" s="270"/>
      <c r="I60" s="270"/>
      <c r="J60" s="270"/>
      <c r="K60" s="270"/>
    </row>
    <row r="61" ht="15.75" customHeight="1">
      <c r="D61" s="270"/>
      <c r="E61" s="270"/>
      <c r="F61" s="270"/>
      <c r="G61" s="270"/>
      <c r="H61" s="270"/>
      <c r="I61" s="270"/>
      <c r="J61" s="270"/>
      <c r="K61" s="270"/>
    </row>
    <row r="62" ht="15.75" customHeight="1">
      <c r="D62" s="270"/>
      <c r="E62" s="270"/>
      <c r="F62" s="270"/>
      <c r="G62" s="270"/>
      <c r="H62" s="270"/>
      <c r="I62" s="270"/>
      <c r="J62" s="270"/>
      <c r="K62" s="270"/>
    </row>
    <row r="63" ht="15.75" customHeight="1">
      <c r="D63" s="270"/>
      <c r="E63" s="270"/>
      <c r="F63" s="270"/>
      <c r="G63" s="270"/>
      <c r="H63" s="270"/>
      <c r="I63" s="270"/>
      <c r="J63" s="270"/>
      <c r="K63" s="270"/>
    </row>
    <row r="64" ht="15.75" customHeight="1">
      <c r="D64" s="270"/>
      <c r="E64" s="270"/>
      <c r="F64" s="270"/>
      <c r="G64" s="270"/>
      <c r="H64" s="270"/>
      <c r="I64" s="270"/>
      <c r="J64" s="270"/>
      <c r="K64" s="270"/>
    </row>
    <row r="65" ht="15.75" customHeight="1">
      <c r="D65" s="270"/>
      <c r="E65" s="270"/>
      <c r="F65" s="270"/>
      <c r="G65" s="270"/>
      <c r="H65" s="270"/>
      <c r="I65" s="270"/>
      <c r="J65" s="270"/>
      <c r="K65" s="270"/>
    </row>
    <row r="66" ht="15.75" customHeight="1">
      <c r="D66" s="270"/>
      <c r="E66" s="270"/>
      <c r="F66" s="270"/>
      <c r="G66" s="270"/>
      <c r="H66" s="270"/>
      <c r="I66" s="270"/>
      <c r="J66" s="270"/>
      <c r="K66" s="270"/>
    </row>
    <row r="67" ht="15.75" customHeight="1">
      <c r="D67" s="270"/>
      <c r="E67" s="270"/>
      <c r="F67" s="270"/>
      <c r="G67" s="270"/>
      <c r="H67" s="270"/>
      <c r="I67" s="270"/>
      <c r="J67" s="270"/>
      <c r="K67" s="270"/>
    </row>
    <row r="68" ht="15.75" customHeight="1">
      <c r="D68" s="270"/>
      <c r="E68" s="270"/>
      <c r="F68" s="270"/>
      <c r="G68" s="270"/>
      <c r="H68" s="270"/>
      <c r="I68" s="270"/>
      <c r="J68" s="270"/>
      <c r="K68" s="270"/>
    </row>
    <row r="69" ht="15.75" customHeight="1">
      <c r="D69" s="270"/>
      <c r="E69" s="270"/>
      <c r="F69" s="270"/>
      <c r="G69" s="270"/>
      <c r="H69" s="270"/>
      <c r="I69" s="270"/>
      <c r="J69" s="270"/>
      <c r="K69" s="270"/>
    </row>
    <row r="70" ht="15.75" customHeight="1">
      <c r="D70" s="270"/>
      <c r="E70" s="270"/>
      <c r="F70" s="270"/>
      <c r="G70" s="270"/>
      <c r="H70" s="270"/>
      <c r="I70" s="270"/>
      <c r="J70" s="270"/>
      <c r="K70" s="270"/>
    </row>
    <row r="71" ht="15.75" customHeight="1">
      <c r="D71" s="270"/>
      <c r="E71" s="270"/>
      <c r="F71" s="270"/>
      <c r="G71" s="270"/>
      <c r="H71" s="270"/>
      <c r="I71" s="270"/>
      <c r="J71" s="270"/>
      <c r="K71" s="270"/>
    </row>
    <row r="72" ht="15.75" customHeight="1">
      <c r="D72" s="270"/>
      <c r="E72" s="270"/>
      <c r="F72" s="270"/>
      <c r="G72" s="270"/>
      <c r="H72" s="270"/>
      <c r="I72" s="270"/>
      <c r="J72" s="270"/>
      <c r="K72" s="270"/>
    </row>
    <row r="73" ht="15.75" customHeight="1">
      <c r="D73" s="270"/>
      <c r="E73" s="270"/>
      <c r="F73" s="270"/>
      <c r="G73" s="270"/>
      <c r="H73" s="270"/>
      <c r="I73" s="270"/>
      <c r="J73" s="270"/>
      <c r="K73" s="270"/>
    </row>
    <row r="74" ht="15.75" customHeight="1">
      <c r="D74" s="270"/>
      <c r="E74" s="270"/>
      <c r="F74" s="270"/>
      <c r="G74" s="270"/>
      <c r="H74" s="270"/>
      <c r="I74" s="270"/>
      <c r="J74" s="270"/>
      <c r="K74" s="270"/>
    </row>
    <row r="75" ht="15.75" customHeight="1">
      <c r="D75" s="270"/>
      <c r="E75" s="270"/>
      <c r="F75" s="270"/>
      <c r="G75" s="270"/>
      <c r="H75" s="270"/>
      <c r="I75" s="270"/>
      <c r="J75" s="270"/>
      <c r="K75" s="270"/>
    </row>
    <row r="76" ht="15.75" customHeight="1">
      <c r="D76" s="270"/>
      <c r="E76" s="270"/>
      <c r="F76" s="270"/>
      <c r="G76" s="270"/>
      <c r="H76" s="270"/>
      <c r="I76" s="270"/>
      <c r="J76" s="270"/>
      <c r="K76" s="270"/>
    </row>
    <row r="77" ht="15.75" customHeight="1">
      <c r="D77" s="270"/>
      <c r="E77" s="270"/>
      <c r="F77" s="270"/>
      <c r="G77" s="270"/>
      <c r="H77" s="270"/>
      <c r="I77" s="270"/>
      <c r="J77" s="270"/>
      <c r="K77" s="270"/>
    </row>
    <row r="78" ht="15.75" customHeight="1">
      <c r="D78" s="270"/>
      <c r="E78" s="270"/>
      <c r="F78" s="270"/>
      <c r="G78" s="270"/>
      <c r="H78" s="270"/>
      <c r="I78" s="270"/>
      <c r="J78" s="270"/>
      <c r="K78" s="270"/>
    </row>
    <row r="79" ht="15.75" customHeight="1">
      <c r="D79" s="270"/>
      <c r="E79" s="270"/>
      <c r="F79" s="270"/>
      <c r="G79" s="270"/>
      <c r="H79" s="270"/>
      <c r="I79" s="270"/>
      <c r="J79" s="270"/>
      <c r="K79" s="270"/>
    </row>
    <row r="80" ht="15.75" customHeight="1">
      <c r="D80" s="270"/>
      <c r="E80" s="270"/>
      <c r="F80" s="270"/>
      <c r="G80" s="270"/>
      <c r="H80" s="270"/>
      <c r="I80" s="270"/>
      <c r="J80" s="270"/>
      <c r="K80" s="270"/>
    </row>
    <row r="81" ht="15.75" customHeight="1">
      <c r="D81" s="270"/>
      <c r="E81" s="270"/>
      <c r="F81" s="270"/>
      <c r="G81" s="270"/>
      <c r="H81" s="270"/>
      <c r="I81" s="270"/>
      <c r="J81" s="270"/>
      <c r="K81" s="270"/>
    </row>
    <row r="82" ht="15.75" customHeight="1">
      <c r="D82" s="270"/>
      <c r="E82" s="270"/>
      <c r="F82" s="270"/>
      <c r="G82" s="270"/>
      <c r="H82" s="270"/>
      <c r="I82" s="270"/>
      <c r="J82" s="270"/>
      <c r="K82" s="270"/>
    </row>
    <row r="83" ht="15.75" customHeight="1">
      <c r="D83" s="270"/>
      <c r="E83" s="270"/>
      <c r="F83" s="270"/>
      <c r="G83" s="270"/>
      <c r="H83" s="270"/>
      <c r="I83" s="270"/>
      <c r="J83" s="270"/>
      <c r="K83" s="270"/>
    </row>
    <row r="84" ht="15.75" customHeight="1">
      <c r="D84" s="270"/>
      <c r="E84" s="270"/>
      <c r="F84" s="270"/>
      <c r="G84" s="270"/>
      <c r="H84" s="270"/>
      <c r="I84" s="270"/>
      <c r="J84" s="270"/>
      <c r="K84" s="270"/>
    </row>
    <row r="85" ht="15.75" customHeight="1">
      <c r="D85" s="270"/>
      <c r="E85" s="270"/>
      <c r="F85" s="270"/>
      <c r="G85" s="270"/>
      <c r="H85" s="270"/>
      <c r="I85" s="270"/>
      <c r="J85" s="270"/>
      <c r="K85" s="270"/>
    </row>
    <row r="86" ht="15.75" customHeight="1">
      <c r="D86" s="270"/>
      <c r="E86" s="270"/>
      <c r="F86" s="270"/>
      <c r="G86" s="270"/>
      <c r="H86" s="270"/>
      <c r="I86" s="270"/>
      <c r="J86" s="270"/>
      <c r="K86" s="270"/>
    </row>
    <row r="87" ht="15.75" customHeight="1">
      <c r="D87" s="270"/>
      <c r="E87" s="270"/>
      <c r="F87" s="270"/>
      <c r="G87" s="270"/>
      <c r="H87" s="270"/>
      <c r="I87" s="270"/>
      <c r="J87" s="270"/>
      <c r="K87" s="270"/>
    </row>
    <row r="88" ht="15.75" customHeight="1">
      <c r="D88" s="270"/>
      <c r="E88" s="270"/>
      <c r="F88" s="270"/>
      <c r="G88" s="270"/>
      <c r="H88" s="270"/>
      <c r="I88" s="270"/>
      <c r="J88" s="270"/>
      <c r="K88" s="270"/>
    </row>
    <row r="89" ht="15.75" customHeight="1">
      <c r="D89" s="270"/>
      <c r="E89" s="270"/>
      <c r="F89" s="270"/>
      <c r="G89" s="270"/>
      <c r="H89" s="270"/>
      <c r="I89" s="270"/>
      <c r="J89" s="270"/>
      <c r="K89" s="270"/>
    </row>
    <row r="90" ht="15.75" customHeight="1">
      <c r="D90" s="270"/>
      <c r="E90" s="270"/>
      <c r="F90" s="270"/>
      <c r="G90" s="270"/>
      <c r="H90" s="270"/>
      <c r="I90" s="270"/>
      <c r="J90" s="270"/>
      <c r="K90" s="270"/>
    </row>
    <row r="91" ht="15.75" customHeight="1">
      <c r="D91" s="270"/>
      <c r="E91" s="270"/>
      <c r="F91" s="270"/>
      <c r="G91" s="270"/>
      <c r="H91" s="270"/>
      <c r="I91" s="270"/>
      <c r="J91" s="270"/>
      <c r="K91" s="270"/>
    </row>
    <row r="92" ht="15.75" customHeight="1">
      <c r="D92" s="270"/>
      <c r="E92" s="270"/>
      <c r="F92" s="270"/>
      <c r="G92" s="270"/>
      <c r="H92" s="270"/>
      <c r="I92" s="270"/>
      <c r="J92" s="270"/>
      <c r="K92" s="270"/>
    </row>
    <row r="93" ht="15.75" customHeight="1">
      <c r="D93" s="270"/>
      <c r="E93" s="270"/>
      <c r="F93" s="270"/>
      <c r="G93" s="270"/>
      <c r="H93" s="270"/>
      <c r="I93" s="270"/>
      <c r="J93" s="270"/>
      <c r="K93" s="270"/>
    </row>
    <row r="94" ht="15.75" customHeight="1">
      <c r="D94" s="270"/>
      <c r="E94" s="270"/>
      <c r="F94" s="270"/>
      <c r="G94" s="270"/>
      <c r="H94" s="270"/>
      <c r="I94" s="270"/>
      <c r="J94" s="270"/>
      <c r="K94" s="270"/>
    </row>
    <row r="95" ht="15.75" customHeight="1">
      <c r="D95" s="270"/>
      <c r="E95" s="270"/>
      <c r="F95" s="270"/>
      <c r="G95" s="270"/>
      <c r="H95" s="270"/>
      <c r="I95" s="270"/>
      <c r="J95" s="270"/>
      <c r="K95" s="270"/>
    </row>
    <row r="96" ht="15.75" customHeight="1">
      <c r="D96" s="270"/>
      <c r="E96" s="270"/>
      <c r="F96" s="270"/>
      <c r="G96" s="270"/>
      <c r="H96" s="270"/>
      <c r="I96" s="270"/>
      <c r="J96" s="270"/>
      <c r="K96" s="270"/>
    </row>
    <row r="97" ht="15.75" customHeight="1">
      <c r="D97" s="270"/>
      <c r="E97" s="270"/>
      <c r="F97" s="270"/>
      <c r="G97" s="270"/>
      <c r="H97" s="270"/>
      <c r="I97" s="270"/>
      <c r="J97" s="270"/>
      <c r="K97" s="270"/>
    </row>
    <row r="98" ht="15.75" customHeight="1">
      <c r="D98" s="270"/>
      <c r="E98" s="270"/>
      <c r="F98" s="270"/>
      <c r="G98" s="270"/>
      <c r="H98" s="270"/>
      <c r="I98" s="270"/>
      <c r="J98" s="270"/>
      <c r="K98" s="270"/>
    </row>
    <row r="99" ht="15.75" customHeight="1">
      <c r="D99" s="270"/>
      <c r="E99" s="270"/>
      <c r="F99" s="270"/>
      <c r="G99" s="270"/>
      <c r="H99" s="270"/>
      <c r="I99" s="270"/>
      <c r="J99" s="270"/>
      <c r="K99" s="270"/>
    </row>
    <row r="100" ht="15.75" customHeight="1">
      <c r="D100" s="270"/>
      <c r="E100" s="270"/>
      <c r="F100" s="270"/>
      <c r="G100" s="270"/>
      <c r="H100" s="270"/>
      <c r="I100" s="270"/>
      <c r="J100" s="270"/>
      <c r="K100" s="270"/>
    </row>
    <row r="101" ht="15.75" customHeight="1">
      <c r="D101" s="270"/>
      <c r="E101" s="270"/>
      <c r="F101" s="270"/>
      <c r="G101" s="270"/>
      <c r="H101" s="270"/>
      <c r="I101" s="270"/>
      <c r="J101" s="270"/>
      <c r="K101" s="270"/>
    </row>
    <row r="102" ht="15.75" customHeight="1">
      <c r="D102" s="270"/>
      <c r="E102" s="270"/>
      <c r="F102" s="270"/>
      <c r="G102" s="270"/>
      <c r="H102" s="270"/>
      <c r="I102" s="270"/>
      <c r="J102" s="270"/>
      <c r="K102" s="270"/>
    </row>
    <row r="103" ht="15.75" customHeight="1">
      <c r="D103" s="270"/>
      <c r="E103" s="270"/>
      <c r="F103" s="270"/>
      <c r="G103" s="270"/>
      <c r="H103" s="270"/>
      <c r="I103" s="270"/>
      <c r="J103" s="270"/>
      <c r="K103" s="270"/>
    </row>
    <row r="104" ht="15.75" customHeight="1">
      <c r="D104" s="270"/>
      <c r="E104" s="270"/>
      <c r="F104" s="270"/>
      <c r="G104" s="270"/>
      <c r="H104" s="270"/>
      <c r="I104" s="270"/>
      <c r="J104" s="270"/>
      <c r="K104" s="270"/>
    </row>
    <row r="105" ht="15.75" customHeight="1">
      <c r="D105" s="270"/>
      <c r="E105" s="270"/>
      <c r="F105" s="270"/>
      <c r="G105" s="270"/>
      <c r="H105" s="270"/>
      <c r="I105" s="270"/>
      <c r="J105" s="270"/>
      <c r="K105" s="270"/>
    </row>
    <row r="106" ht="15.75" customHeight="1">
      <c r="D106" s="270"/>
      <c r="E106" s="270"/>
      <c r="F106" s="270"/>
      <c r="G106" s="270"/>
      <c r="H106" s="270"/>
      <c r="I106" s="270"/>
      <c r="J106" s="270"/>
      <c r="K106" s="270"/>
    </row>
    <row r="107" ht="15.75" customHeight="1">
      <c r="D107" s="270"/>
      <c r="E107" s="270"/>
      <c r="F107" s="270"/>
      <c r="G107" s="270"/>
      <c r="H107" s="270"/>
      <c r="I107" s="270"/>
      <c r="J107" s="270"/>
      <c r="K107" s="270"/>
    </row>
    <row r="108" ht="15.75" customHeight="1">
      <c r="D108" s="270"/>
      <c r="E108" s="270"/>
      <c r="F108" s="270"/>
      <c r="G108" s="270"/>
      <c r="H108" s="270"/>
      <c r="I108" s="270"/>
      <c r="J108" s="270"/>
      <c r="K108" s="270"/>
    </row>
    <row r="109" ht="15.75" customHeight="1">
      <c r="D109" s="270"/>
      <c r="E109" s="270"/>
      <c r="F109" s="270"/>
      <c r="G109" s="270"/>
      <c r="H109" s="270"/>
      <c r="I109" s="270"/>
      <c r="J109" s="270"/>
      <c r="K109" s="270"/>
    </row>
    <row r="110" ht="15.75" customHeight="1">
      <c r="D110" s="270"/>
      <c r="E110" s="270"/>
      <c r="F110" s="270"/>
      <c r="G110" s="270"/>
      <c r="H110" s="270"/>
      <c r="I110" s="270"/>
      <c r="J110" s="270"/>
      <c r="K110" s="270"/>
    </row>
    <row r="111" ht="15.75" customHeight="1">
      <c r="D111" s="270"/>
      <c r="E111" s="270"/>
      <c r="F111" s="270"/>
      <c r="G111" s="270"/>
      <c r="H111" s="270"/>
      <c r="I111" s="270"/>
      <c r="J111" s="270"/>
      <c r="K111" s="270"/>
    </row>
    <row r="112" ht="15.75" customHeight="1">
      <c r="D112" s="270"/>
      <c r="E112" s="270"/>
      <c r="F112" s="270"/>
      <c r="G112" s="270"/>
      <c r="H112" s="270"/>
      <c r="I112" s="270"/>
      <c r="J112" s="270"/>
      <c r="K112" s="270"/>
    </row>
    <row r="113" ht="15.75" customHeight="1">
      <c r="D113" s="270"/>
      <c r="E113" s="270"/>
      <c r="F113" s="270"/>
      <c r="G113" s="270"/>
      <c r="H113" s="270"/>
      <c r="I113" s="270"/>
      <c r="J113" s="270"/>
      <c r="K113" s="270"/>
    </row>
    <row r="114" ht="15.75" customHeight="1">
      <c r="D114" s="270"/>
      <c r="E114" s="270"/>
      <c r="F114" s="270"/>
      <c r="G114" s="270"/>
      <c r="H114" s="270"/>
      <c r="I114" s="270"/>
      <c r="J114" s="270"/>
      <c r="K114" s="270"/>
    </row>
    <row r="115" ht="15.75" customHeight="1">
      <c r="D115" s="270"/>
      <c r="E115" s="270"/>
      <c r="F115" s="270"/>
      <c r="G115" s="270"/>
      <c r="H115" s="270"/>
      <c r="I115" s="270"/>
      <c r="J115" s="270"/>
      <c r="K115" s="270"/>
    </row>
    <row r="116" ht="15.75" customHeight="1">
      <c r="D116" s="270"/>
      <c r="E116" s="270"/>
      <c r="F116" s="270"/>
      <c r="G116" s="270"/>
      <c r="H116" s="270"/>
      <c r="I116" s="270"/>
      <c r="J116" s="270"/>
      <c r="K116" s="270"/>
    </row>
    <row r="117" ht="15.75" customHeight="1">
      <c r="D117" s="270"/>
      <c r="E117" s="270"/>
      <c r="F117" s="270"/>
      <c r="G117" s="270"/>
      <c r="H117" s="270"/>
      <c r="I117" s="270"/>
      <c r="J117" s="270"/>
      <c r="K117" s="270"/>
    </row>
    <row r="118" ht="15.75" customHeight="1">
      <c r="D118" s="270"/>
      <c r="E118" s="270"/>
      <c r="F118" s="270"/>
      <c r="G118" s="270"/>
      <c r="H118" s="270"/>
      <c r="I118" s="270"/>
      <c r="J118" s="270"/>
      <c r="K118" s="270"/>
    </row>
    <row r="119" ht="15.75" customHeight="1">
      <c r="D119" s="270"/>
      <c r="E119" s="270"/>
      <c r="F119" s="270"/>
      <c r="G119" s="270"/>
      <c r="H119" s="270"/>
      <c r="I119" s="270"/>
      <c r="J119" s="270"/>
      <c r="K119" s="270"/>
    </row>
    <row r="120" ht="15.75" customHeight="1">
      <c r="D120" s="270"/>
      <c r="E120" s="270"/>
      <c r="F120" s="270"/>
      <c r="G120" s="270"/>
      <c r="H120" s="270"/>
      <c r="I120" s="270"/>
      <c r="J120" s="270"/>
      <c r="K120" s="270"/>
    </row>
    <row r="121" ht="15.75" customHeight="1">
      <c r="D121" s="270"/>
      <c r="E121" s="270"/>
      <c r="F121" s="270"/>
      <c r="G121" s="270"/>
      <c r="H121" s="270"/>
      <c r="I121" s="270"/>
      <c r="J121" s="270"/>
      <c r="K121" s="270"/>
    </row>
    <row r="122" ht="15.75" customHeight="1">
      <c r="D122" s="270"/>
      <c r="E122" s="270"/>
      <c r="F122" s="270"/>
      <c r="G122" s="270"/>
      <c r="H122" s="270"/>
      <c r="I122" s="270"/>
      <c r="J122" s="270"/>
      <c r="K122" s="270"/>
    </row>
    <row r="123" ht="15.75" customHeight="1">
      <c r="D123" s="270"/>
      <c r="E123" s="270"/>
      <c r="F123" s="270"/>
      <c r="G123" s="270"/>
      <c r="H123" s="270"/>
      <c r="I123" s="270"/>
      <c r="J123" s="270"/>
      <c r="K123" s="270"/>
    </row>
    <row r="124" ht="15.75" customHeight="1">
      <c r="D124" s="270"/>
      <c r="E124" s="270"/>
      <c r="F124" s="270"/>
      <c r="G124" s="270"/>
      <c r="H124" s="270"/>
      <c r="I124" s="270"/>
      <c r="J124" s="270"/>
      <c r="K124" s="270"/>
    </row>
    <row r="125" ht="15.75" customHeight="1">
      <c r="D125" s="270"/>
      <c r="E125" s="270"/>
      <c r="F125" s="270"/>
      <c r="G125" s="270"/>
      <c r="H125" s="270"/>
      <c r="I125" s="270"/>
      <c r="J125" s="270"/>
      <c r="K125" s="270"/>
    </row>
    <row r="126" ht="15.75" customHeight="1">
      <c r="D126" s="270"/>
      <c r="E126" s="270"/>
      <c r="F126" s="270"/>
      <c r="G126" s="270"/>
      <c r="H126" s="270"/>
      <c r="I126" s="270"/>
      <c r="J126" s="270"/>
      <c r="K126" s="270"/>
    </row>
    <row r="127" ht="15.75" customHeight="1">
      <c r="D127" s="270"/>
      <c r="E127" s="270"/>
      <c r="F127" s="270"/>
      <c r="G127" s="270"/>
      <c r="H127" s="270"/>
      <c r="I127" s="270"/>
      <c r="J127" s="270"/>
      <c r="K127" s="270"/>
    </row>
    <row r="128" ht="15.75" customHeight="1">
      <c r="D128" s="270"/>
      <c r="E128" s="270"/>
      <c r="F128" s="270"/>
      <c r="G128" s="270"/>
      <c r="H128" s="270"/>
      <c r="I128" s="270"/>
      <c r="J128" s="270"/>
      <c r="K128" s="270"/>
    </row>
    <row r="129" ht="15.75" customHeight="1">
      <c r="D129" s="270"/>
      <c r="E129" s="270"/>
      <c r="F129" s="270"/>
      <c r="G129" s="270"/>
      <c r="H129" s="270"/>
      <c r="I129" s="270"/>
      <c r="J129" s="270"/>
      <c r="K129" s="270"/>
    </row>
    <row r="130" ht="15.75" customHeight="1">
      <c r="D130" s="270"/>
      <c r="E130" s="270"/>
      <c r="F130" s="270"/>
      <c r="G130" s="270"/>
      <c r="H130" s="270"/>
      <c r="I130" s="270"/>
      <c r="J130" s="270"/>
      <c r="K130" s="270"/>
    </row>
    <row r="131" ht="15.75" customHeight="1">
      <c r="D131" s="270"/>
      <c r="E131" s="270"/>
      <c r="F131" s="270"/>
      <c r="G131" s="270"/>
      <c r="H131" s="270"/>
      <c r="I131" s="270"/>
      <c r="J131" s="270"/>
      <c r="K131" s="270"/>
    </row>
    <row r="132" ht="15.75" customHeight="1">
      <c r="D132" s="270"/>
      <c r="E132" s="270"/>
      <c r="F132" s="270"/>
      <c r="G132" s="270"/>
      <c r="H132" s="270"/>
      <c r="I132" s="270"/>
      <c r="J132" s="270"/>
      <c r="K132" s="270"/>
    </row>
    <row r="133" ht="15.75" customHeight="1">
      <c r="D133" s="270"/>
      <c r="E133" s="270"/>
      <c r="F133" s="270"/>
      <c r="G133" s="270"/>
      <c r="H133" s="270"/>
      <c r="I133" s="270"/>
      <c r="J133" s="270"/>
      <c r="K133" s="270"/>
    </row>
    <row r="134" ht="15.75" customHeight="1">
      <c r="D134" s="270"/>
      <c r="E134" s="270"/>
      <c r="F134" s="270"/>
      <c r="G134" s="270"/>
      <c r="H134" s="270"/>
      <c r="I134" s="270"/>
      <c r="J134" s="270"/>
      <c r="K134" s="270"/>
    </row>
    <row r="135" ht="15.75" customHeight="1">
      <c r="D135" s="270"/>
      <c r="E135" s="270"/>
      <c r="F135" s="270"/>
      <c r="G135" s="270"/>
      <c r="H135" s="270"/>
      <c r="I135" s="270"/>
      <c r="J135" s="270"/>
      <c r="K135" s="270"/>
    </row>
    <row r="136" ht="15.75" customHeight="1">
      <c r="D136" s="270"/>
      <c r="E136" s="270"/>
      <c r="F136" s="270"/>
      <c r="G136" s="270"/>
      <c r="H136" s="270"/>
      <c r="I136" s="270"/>
      <c r="J136" s="270"/>
      <c r="K136" s="270"/>
    </row>
    <row r="137" ht="15.75" customHeight="1">
      <c r="D137" s="270"/>
      <c r="E137" s="270"/>
      <c r="F137" s="270"/>
      <c r="G137" s="270"/>
      <c r="H137" s="270"/>
      <c r="I137" s="270"/>
      <c r="J137" s="270"/>
      <c r="K137" s="270"/>
    </row>
    <row r="138" ht="15.75" customHeight="1">
      <c r="D138" s="270"/>
      <c r="E138" s="270"/>
      <c r="F138" s="270"/>
      <c r="G138" s="270"/>
      <c r="H138" s="270"/>
      <c r="I138" s="270"/>
      <c r="J138" s="270"/>
      <c r="K138" s="270"/>
    </row>
    <row r="139" ht="15.75" customHeight="1">
      <c r="D139" s="270"/>
      <c r="E139" s="270"/>
      <c r="F139" s="270"/>
      <c r="G139" s="270"/>
      <c r="H139" s="270"/>
      <c r="I139" s="270"/>
      <c r="J139" s="270"/>
      <c r="K139" s="270"/>
    </row>
    <row r="140" ht="15.75" customHeight="1">
      <c r="D140" s="270"/>
      <c r="E140" s="270"/>
      <c r="F140" s="270"/>
      <c r="G140" s="270"/>
      <c r="H140" s="270"/>
      <c r="I140" s="270"/>
      <c r="J140" s="270"/>
      <c r="K140" s="270"/>
    </row>
    <row r="141" ht="15.75" customHeight="1">
      <c r="D141" s="270"/>
      <c r="E141" s="270"/>
      <c r="F141" s="270"/>
      <c r="G141" s="270"/>
      <c r="H141" s="270"/>
      <c r="I141" s="270"/>
      <c r="J141" s="270"/>
      <c r="K141" s="270"/>
    </row>
    <row r="142" ht="15.75" customHeight="1">
      <c r="D142" s="270"/>
      <c r="E142" s="270"/>
      <c r="F142" s="270"/>
      <c r="G142" s="270"/>
      <c r="H142" s="270"/>
      <c r="I142" s="270"/>
      <c r="J142" s="270"/>
      <c r="K142" s="270"/>
    </row>
    <row r="143" ht="15.75" customHeight="1">
      <c r="D143" s="270"/>
      <c r="E143" s="270"/>
      <c r="F143" s="270"/>
      <c r="G143" s="270"/>
      <c r="H143" s="270"/>
      <c r="I143" s="270"/>
      <c r="J143" s="270"/>
      <c r="K143" s="270"/>
    </row>
    <row r="144" ht="15.75" customHeight="1">
      <c r="D144" s="270"/>
      <c r="E144" s="270"/>
      <c r="F144" s="270"/>
      <c r="G144" s="270"/>
      <c r="H144" s="270"/>
      <c r="I144" s="270"/>
      <c r="J144" s="270"/>
      <c r="K144" s="270"/>
    </row>
    <row r="145" ht="15.75" customHeight="1">
      <c r="D145" s="270"/>
      <c r="E145" s="270"/>
      <c r="F145" s="270"/>
      <c r="G145" s="270"/>
      <c r="H145" s="270"/>
      <c r="I145" s="270"/>
      <c r="J145" s="270"/>
      <c r="K145" s="270"/>
    </row>
    <row r="146" ht="15.75" customHeight="1">
      <c r="D146" s="270"/>
      <c r="E146" s="270"/>
      <c r="F146" s="270"/>
      <c r="G146" s="270"/>
      <c r="H146" s="270"/>
      <c r="I146" s="270"/>
      <c r="J146" s="270"/>
      <c r="K146" s="270"/>
    </row>
    <row r="147" ht="15.75" customHeight="1">
      <c r="D147" s="270"/>
      <c r="E147" s="270"/>
      <c r="F147" s="270"/>
      <c r="G147" s="270"/>
      <c r="H147" s="270"/>
      <c r="I147" s="270"/>
      <c r="J147" s="270"/>
      <c r="K147" s="270"/>
    </row>
    <row r="148" ht="15.75" customHeight="1">
      <c r="D148" s="270"/>
      <c r="E148" s="270"/>
      <c r="F148" s="270"/>
      <c r="G148" s="270"/>
      <c r="H148" s="270"/>
      <c r="I148" s="270"/>
      <c r="J148" s="270"/>
      <c r="K148" s="270"/>
    </row>
    <row r="149" ht="15.75" customHeight="1">
      <c r="D149" s="270"/>
      <c r="E149" s="270"/>
      <c r="F149" s="270"/>
      <c r="G149" s="270"/>
      <c r="H149" s="270"/>
      <c r="I149" s="270"/>
      <c r="J149" s="270"/>
      <c r="K149" s="270"/>
    </row>
    <row r="150" ht="15.75" customHeight="1">
      <c r="D150" s="270"/>
      <c r="E150" s="270"/>
      <c r="F150" s="270"/>
      <c r="G150" s="270"/>
      <c r="H150" s="270"/>
      <c r="I150" s="270"/>
      <c r="J150" s="270"/>
      <c r="K150" s="270"/>
    </row>
    <row r="151" ht="15.75" customHeight="1">
      <c r="D151" s="270"/>
      <c r="E151" s="270"/>
      <c r="F151" s="270"/>
      <c r="G151" s="270"/>
      <c r="H151" s="270"/>
      <c r="I151" s="270"/>
      <c r="J151" s="270"/>
      <c r="K151" s="270"/>
    </row>
    <row r="152" ht="15.75" customHeight="1">
      <c r="D152" s="270"/>
      <c r="E152" s="270"/>
      <c r="F152" s="270"/>
      <c r="G152" s="270"/>
      <c r="H152" s="270"/>
      <c r="I152" s="270"/>
      <c r="J152" s="270"/>
      <c r="K152" s="270"/>
    </row>
    <row r="153" ht="15.75" customHeight="1">
      <c r="D153" s="270"/>
      <c r="E153" s="270"/>
      <c r="F153" s="270"/>
      <c r="G153" s="270"/>
      <c r="H153" s="270"/>
      <c r="I153" s="270"/>
      <c r="J153" s="270"/>
      <c r="K153" s="270"/>
    </row>
    <row r="154" ht="15.75" customHeight="1">
      <c r="D154" s="270"/>
      <c r="E154" s="270"/>
      <c r="F154" s="270"/>
      <c r="G154" s="270"/>
      <c r="H154" s="270"/>
      <c r="I154" s="270"/>
      <c r="J154" s="270"/>
      <c r="K154" s="270"/>
    </row>
    <row r="155" ht="15.75" customHeight="1">
      <c r="D155" s="270"/>
      <c r="E155" s="270"/>
      <c r="F155" s="270"/>
      <c r="G155" s="270"/>
      <c r="H155" s="270"/>
      <c r="I155" s="270"/>
      <c r="J155" s="270"/>
      <c r="K155" s="270"/>
    </row>
    <row r="156" ht="15.75" customHeight="1">
      <c r="D156" s="270"/>
      <c r="E156" s="270"/>
      <c r="F156" s="270"/>
      <c r="G156" s="270"/>
      <c r="H156" s="270"/>
      <c r="I156" s="270"/>
      <c r="J156" s="270"/>
      <c r="K156" s="270"/>
    </row>
    <row r="157" ht="15.75" customHeight="1">
      <c r="D157" s="270"/>
      <c r="E157" s="270"/>
      <c r="F157" s="270"/>
      <c r="G157" s="270"/>
      <c r="H157" s="270"/>
      <c r="I157" s="270"/>
      <c r="J157" s="270"/>
      <c r="K157" s="270"/>
    </row>
    <row r="158" ht="15.75" customHeight="1">
      <c r="D158" s="270"/>
      <c r="E158" s="270"/>
      <c r="F158" s="270"/>
      <c r="G158" s="270"/>
      <c r="H158" s="270"/>
      <c r="I158" s="270"/>
      <c r="J158" s="270"/>
      <c r="K158" s="270"/>
    </row>
    <row r="159" ht="15.75" customHeight="1">
      <c r="D159" s="270"/>
      <c r="E159" s="270"/>
      <c r="F159" s="270"/>
      <c r="G159" s="270"/>
      <c r="H159" s="270"/>
      <c r="I159" s="270"/>
      <c r="J159" s="270"/>
      <c r="K159" s="270"/>
    </row>
    <row r="160" ht="15.75" customHeight="1">
      <c r="D160" s="270"/>
      <c r="E160" s="270"/>
      <c r="F160" s="270"/>
      <c r="G160" s="270"/>
      <c r="H160" s="270"/>
      <c r="I160" s="270"/>
      <c r="J160" s="270"/>
      <c r="K160" s="270"/>
    </row>
    <row r="161" ht="15.75" customHeight="1">
      <c r="D161" s="270"/>
      <c r="E161" s="270"/>
      <c r="F161" s="270"/>
      <c r="G161" s="270"/>
      <c r="H161" s="270"/>
      <c r="I161" s="270"/>
      <c r="J161" s="270"/>
      <c r="K161" s="270"/>
    </row>
    <row r="162" ht="15.75" customHeight="1">
      <c r="D162" s="270"/>
      <c r="E162" s="270"/>
      <c r="F162" s="270"/>
      <c r="G162" s="270"/>
      <c r="H162" s="270"/>
      <c r="I162" s="270"/>
      <c r="J162" s="270"/>
      <c r="K162" s="270"/>
    </row>
    <row r="163" ht="15.75" customHeight="1">
      <c r="D163" s="270"/>
      <c r="E163" s="270"/>
      <c r="F163" s="270"/>
      <c r="G163" s="270"/>
      <c r="H163" s="270"/>
      <c r="I163" s="270"/>
      <c r="J163" s="270"/>
      <c r="K163" s="270"/>
    </row>
    <row r="164" ht="15.75" customHeight="1">
      <c r="D164" s="270"/>
      <c r="E164" s="270"/>
      <c r="F164" s="270"/>
      <c r="G164" s="270"/>
      <c r="H164" s="270"/>
      <c r="I164" s="270"/>
      <c r="J164" s="270"/>
      <c r="K164" s="270"/>
    </row>
    <row r="165" ht="15.75" customHeight="1">
      <c r="D165" s="270"/>
      <c r="E165" s="270"/>
      <c r="F165" s="270"/>
      <c r="G165" s="270"/>
      <c r="H165" s="270"/>
      <c r="I165" s="270"/>
      <c r="J165" s="270"/>
      <c r="K165" s="270"/>
    </row>
    <row r="166" ht="15.75" customHeight="1">
      <c r="D166" s="270"/>
      <c r="E166" s="270"/>
      <c r="F166" s="270"/>
      <c r="G166" s="270"/>
      <c r="H166" s="270"/>
      <c r="I166" s="270"/>
      <c r="J166" s="270"/>
      <c r="K166" s="270"/>
    </row>
    <row r="167" ht="15.75" customHeight="1">
      <c r="D167" s="270"/>
      <c r="E167" s="270"/>
      <c r="F167" s="270"/>
      <c r="G167" s="270"/>
      <c r="H167" s="270"/>
      <c r="I167" s="270"/>
      <c r="J167" s="270"/>
      <c r="K167" s="270"/>
    </row>
    <row r="168" ht="15.75" customHeight="1">
      <c r="D168" s="270"/>
      <c r="E168" s="270"/>
      <c r="F168" s="270"/>
      <c r="G168" s="270"/>
      <c r="H168" s="270"/>
      <c r="I168" s="270"/>
      <c r="J168" s="270"/>
      <c r="K168" s="270"/>
    </row>
    <row r="169" ht="15.75" customHeight="1">
      <c r="D169" s="270"/>
      <c r="E169" s="270"/>
      <c r="F169" s="270"/>
      <c r="G169" s="270"/>
      <c r="H169" s="270"/>
      <c r="I169" s="270"/>
      <c r="J169" s="270"/>
      <c r="K169" s="270"/>
    </row>
    <row r="170" ht="15.75" customHeight="1">
      <c r="D170" s="270"/>
      <c r="E170" s="270"/>
      <c r="F170" s="270"/>
      <c r="G170" s="270"/>
      <c r="H170" s="270"/>
      <c r="I170" s="270"/>
      <c r="J170" s="270"/>
      <c r="K170" s="270"/>
    </row>
    <row r="171" ht="15.75" customHeight="1">
      <c r="D171" s="270"/>
      <c r="E171" s="270"/>
      <c r="F171" s="270"/>
      <c r="G171" s="270"/>
      <c r="H171" s="270"/>
      <c r="I171" s="270"/>
      <c r="J171" s="270"/>
      <c r="K171" s="270"/>
    </row>
    <row r="172" ht="15.75" customHeight="1">
      <c r="D172" s="270"/>
      <c r="E172" s="270"/>
      <c r="F172" s="270"/>
      <c r="G172" s="270"/>
      <c r="H172" s="270"/>
      <c r="I172" s="270"/>
      <c r="J172" s="270"/>
      <c r="K172" s="270"/>
    </row>
    <row r="173" ht="15.75" customHeight="1">
      <c r="D173" s="270"/>
      <c r="E173" s="270"/>
      <c r="F173" s="270"/>
      <c r="G173" s="270"/>
      <c r="H173" s="270"/>
      <c r="I173" s="270"/>
      <c r="J173" s="270"/>
      <c r="K173" s="270"/>
    </row>
    <row r="174" ht="15.75" customHeight="1">
      <c r="D174" s="270"/>
      <c r="E174" s="270"/>
      <c r="F174" s="270"/>
      <c r="G174" s="270"/>
      <c r="H174" s="270"/>
      <c r="I174" s="270"/>
      <c r="J174" s="270"/>
      <c r="K174" s="270"/>
    </row>
    <row r="175" ht="15.75" customHeight="1">
      <c r="D175" s="270"/>
      <c r="E175" s="270"/>
      <c r="F175" s="270"/>
      <c r="G175" s="270"/>
      <c r="H175" s="270"/>
      <c r="I175" s="270"/>
      <c r="J175" s="270"/>
      <c r="K175" s="270"/>
    </row>
    <row r="176" ht="15.75" customHeight="1">
      <c r="D176" s="270"/>
      <c r="E176" s="270"/>
      <c r="F176" s="270"/>
      <c r="G176" s="270"/>
      <c r="H176" s="270"/>
      <c r="I176" s="270"/>
      <c r="J176" s="270"/>
      <c r="K176" s="270"/>
    </row>
    <row r="177" ht="15.75" customHeight="1">
      <c r="D177" s="270"/>
      <c r="E177" s="270"/>
      <c r="F177" s="270"/>
      <c r="G177" s="270"/>
      <c r="H177" s="270"/>
      <c r="I177" s="270"/>
      <c r="J177" s="270"/>
      <c r="K177" s="270"/>
    </row>
    <row r="178" ht="15.75" customHeight="1">
      <c r="D178" s="270"/>
      <c r="E178" s="270"/>
      <c r="F178" s="270"/>
      <c r="G178" s="270"/>
      <c r="H178" s="270"/>
      <c r="I178" s="270"/>
      <c r="J178" s="270"/>
      <c r="K178" s="270"/>
    </row>
    <row r="179" ht="15.75" customHeight="1">
      <c r="D179" s="270"/>
      <c r="E179" s="270"/>
      <c r="F179" s="270"/>
      <c r="G179" s="270"/>
      <c r="H179" s="270"/>
      <c r="I179" s="270"/>
      <c r="J179" s="270"/>
      <c r="K179" s="270"/>
    </row>
    <row r="180" ht="15.75" customHeight="1">
      <c r="D180" s="270"/>
      <c r="E180" s="270"/>
      <c r="F180" s="270"/>
      <c r="G180" s="270"/>
      <c r="H180" s="270"/>
      <c r="I180" s="270"/>
      <c r="J180" s="270"/>
      <c r="K180" s="270"/>
    </row>
    <row r="181" ht="15.75" customHeight="1">
      <c r="D181" s="270"/>
      <c r="E181" s="270"/>
      <c r="F181" s="270"/>
      <c r="G181" s="270"/>
      <c r="H181" s="270"/>
      <c r="I181" s="270"/>
      <c r="J181" s="270"/>
      <c r="K181" s="270"/>
    </row>
    <row r="182" ht="15.75" customHeight="1">
      <c r="D182" s="270"/>
      <c r="E182" s="270"/>
      <c r="F182" s="270"/>
      <c r="G182" s="270"/>
      <c r="H182" s="270"/>
      <c r="I182" s="270"/>
      <c r="J182" s="270"/>
      <c r="K182" s="270"/>
    </row>
    <row r="183" ht="15.75" customHeight="1">
      <c r="D183" s="270"/>
      <c r="E183" s="270"/>
      <c r="F183" s="270"/>
      <c r="G183" s="270"/>
      <c r="H183" s="270"/>
      <c r="I183" s="270"/>
      <c r="J183" s="270"/>
      <c r="K183" s="270"/>
    </row>
    <row r="184" ht="15.75" customHeight="1">
      <c r="D184" s="270"/>
      <c r="E184" s="270"/>
      <c r="F184" s="270"/>
      <c r="G184" s="270"/>
      <c r="H184" s="270"/>
      <c r="I184" s="270"/>
      <c r="J184" s="270"/>
      <c r="K184" s="270"/>
    </row>
    <row r="185" ht="15.75" customHeight="1">
      <c r="D185" s="270"/>
      <c r="E185" s="270"/>
      <c r="F185" s="270"/>
      <c r="G185" s="270"/>
      <c r="H185" s="270"/>
      <c r="I185" s="270"/>
      <c r="J185" s="270"/>
      <c r="K185" s="270"/>
    </row>
    <row r="186" ht="15.75" customHeight="1">
      <c r="D186" s="270"/>
      <c r="E186" s="270"/>
      <c r="F186" s="270"/>
      <c r="G186" s="270"/>
      <c r="H186" s="270"/>
      <c r="I186" s="270"/>
      <c r="J186" s="270"/>
      <c r="K186" s="270"/>
    </row>
    <row r="187" ht="15.75" customHeight="1">
      <c r="D187" s="270"/>
      <c r="E187" s="270"/>
      <c r="F187" s="270"/>
      <c r="G187" s="270"/>
      <c r="H187" s="270"/>
      <c r="I187" s="270"/>
      <c r="J187" s="270"/>
      <c r="K187" s="270"/>
    </row>
    <row r="188" ht="15.75" customHeight="1">
      <c r="D188" s="270"/>
      <c r="E188" s="270"/>
      <c r="F188" s="270"/>
      <c r="G188" s="270"/>
      <c r="H188" s="270"/>
      <c r="I188" s="270"/>
      <c r="J188" s="270"/>
      <c r="K188" s="270"/>
    </row>
    <row r="189" ht="15.75" customHeight="1">
      <c r="D189" s="270"/>
      <c r="E189" s="270"/>
      <c r="F189" s="270"/>
      <c r="G189" s="270"/>
      <c r="H189" s="270"/>
      <c r="I189" s="270"/>
      <c r="J189" s="270"/>
      <c r="K189" s="270"/>
    </row>
    <row r="190" ht="15.75" customHeight="1">
      <c r="D190" s="270"/>
      <c r="E190" s="270"/>
      <c r="F190" s="270"/>
      <c r="G190" s="270"/>
      <c r="H190" s="270"/>
      <c r="I190" s="270"/>
      <c r="J190" s="270"/>
      <c r="K190" s="270"/>
    </row>
    <row r="191" ht="15.75" customHeight="1">
      <c r="D191" s="270"/>
      <c r="E191" s="270"/>
      <c r="F191" s="270"/>
      <c r="G191" s="270"/>
      <c r="H191" s="270"/>
      <c r="I191" s="270"/>
      <c r="J191" s="270"/>
      <c r="K191" s="270"/>
    </row>
    <row r="192" ht="15.75" customHeight="1">
      <c r="D192" s="270"/>
      <c r="E192" s="270"/>
      <c r="F192" s="270"/>
      <c r="G192" s="270"/>
      <c r="H192" s="270"/>
      <c r="I192" s="270"/>
      <c r="J192" s="270"/>
      <c r="K192" s="270"/>
    </row>
    <row r="193" ht="15.75" customHeight="1">
      <c r="D193" s="270"/>
      <c r="E193" s="270"/>
      <c r="F193" s="270"/>
      <c r="G193" s="270"/>
      <c r="H193" s="270"/>
      <c r="I193" s="270"/>
      <c r="J193" s="270"/>
      <c r="K193" s="270"/>
    </row>
    <row r="194" ht="15.75" customHeight="1">
      <c r="D194" s="270"/>
      <c r="E194" s="270"/>
      <c r="F194" s="270"/>
      <c r="G194" s="270"/>
      <c r="H194" s="270"/>
      <c r="I194" s="270"/>
      <c r="J194" s="270"/>
      <c r="K194" s="270"/>
    </row>
    <row r="195" ht="15.75" customHeight="1">
      <c r="D195" s="270"/>
      <c r="E195" s="270"/>
      <c r="F195" s="270"/>
      <c r="G195" s="270"/>
      <c r="H195" s="270"/>
      <c r="I195" s="270"/>
      <c r="J195" s="270"/>
      <c r="K195" s="270"/>
    </row>
    <row r="196" ht="15.75" customHeight="1">
      <c r="D196" s="270"/>
      <c r="E196" s="270"/>
      <c r="F196" s="270"/>
      <c r="G196" s="270"/>
      <c r="H196" s="270"/>
      <c r="I196" s="270"/>
      <c r="J196" s="270"/>
      <c r="K196" s="270"/>
    </row>
    <row r="197" ht="15.75" customHeight="1">
      <c r="D197" s="270"/>
      <c r="E197" s="270"/>
      <c r="F197" s="270"/>
      <c r="G197" s="270"/>
      <c r="H197" s="270"/>
      <c r="I197" s="270"/>
      <c r="J197" s="270"/>
      <c r="K197" s="270"/>
    </row>
    <row r="198" ht="15.75" customHeight="1">
      <c r="D198" s="270"/>
      <c r="E198" s="270"/>
      <c r="F198" s="270"/>
      <c r="G198" s="270"/>
      <c r="H198" s="270"/>
      <c r="I198" s="270"/>
      <c r="J198" s="270"/>
      <c r="K198" s="270"/>
    </row>
    <row r="199" ht="15.75" customHeight="1">
      <c r="D199" s="270"/>
      <c r="E199" s="270"/>
      <c r="F199" s="270"/>
      <c r="G199" s="270"/>
      <c r="H199" s="270"/>
      <c r="I199" s="270"/>
      <c r="J199" s="270"/>
      <c r="K199" s="270"/>
    </row>
    <row r="200" ht="15.75" customHeight="1">
      <c r="D200" s="270"/>
      <c r="E200" s="270"/>
      <c r="F200" s="270"/>
      <c r="G200" s="270"/>
      <c r="H200" s="270"/>
      <c r="I200" s="270"/>
      <c r="J200" s="270"/>
      <c r="K200" s="270"/>
    </row>
    <row r="201" ht="15.75" customHeight="1">
      <c r="D201" s="270"/>
      <c r="E201" s="270"/>
      <c r="F201" s="270"/>
      <c r="G201" s="270"/>
      <c r="H201" s="270"/>
      <c r="I201" s="270"/>
      <c r="J201" s="270"/>
      <c r="K201" s="270"/>
    </row>
    <row r="202" ht="15.75" customHeight="1">
      <c r="D202" s="270"/>
      <c r="E202" s="270"/>
      <c r="F202" s="270"/>
      <c r="G202" s="270"/>
      <c r="H202" s="270"/>
      <c r="I202" s="270"/>
      <c r="J202" s="270"/>
      <c r="K202" s="270"/>
    </row>
    <row r="203" ht="15.75" customHeight="1">
      <c r="D203" s="270"/>
      <c r="E203" s="270"/>
      <c r="F203" s="270"/>
      <c r="G203" s="270"/>
      <c r="H203" s="270"/>
      <c r="I203" s="270"/>
      <c r="J203" s="270"/>
      <c r="K203" s="270"/>
    </row>
    <row r="204" ht="15.75" customHeight="1">
      <c r="D204" s="270"/>
      <c r="E204" s="270"/>
      <c r="F204" s="270"/>
      <c r="G204" s="270"/>
      <c r="H204" s="270"/>
      <c r="I204" s="270"/>
      <c r="J204" s="270"/>
      <c r="K204" s="270"/>
    </row>
    <row r="205" ht="15.75" customHeight="1">
      <c r="D205" s="270"/>
      <c r="E205" s="270"/>
      <c r="F205" s="270"/>
      <c r="G205" s="270"/>
      <c r="H205" s="270"/>
      <c r="I205" s="270"/>
      <c r="J205" s="270"/>
      <c r="K205" s="270"/>
    </row>
    <row r="206" ht="15.75" customHeight="1">
      <c r="D206" s="270"/>
      <c r="E206" s="270"/>
      <c r="F206" s="270"/>
      <c r="G206" s="270"/>
      <c r="H206" s="270"/>
      <c r="I206" s="270"/>
      <c r="J206" s="270"/>
      <c r="K206" s="270"/>
    </row>
    <row r="207" ht="15.75" customHeight="1">
      <c r="D207" s="270"/>
      <c r="E207" s="270"/>
      <c r="F207" s="270"/>
      <c r="G207" s="270"/>
      <c r="H207" s="270"/>
      <c r="I207" s="270"/>
      <c r="J207" s="270"/>
      <c r="K207" s="270"/>
    </row>
    <row r="208" ht="15.75" customHeight="1">
      <c r="D208" s="270"/>
      <c r="E208" s="270"/>
      <c r="F208" s="270"/>
      <c r="G208" s="270"/>
      <c r="H208" s="270"/>
      <c r="I208" s="270"/>
      <c r="J208" s="270"/>
      <c r="K208" s="270"/>
    </row>
    <row r="209" ht="15.75" customHeight="1">
      <c r="D209" s="270"/>
      <c r="E209" s="270"/>
      <c r="F209" s="270"/>
      <c r="G209" s="270"/>
      <c r="H209" s="270"/>
      <c r="I209" s="270"/>
      <c r="J209" s="270"/>
      <c r="K209" s="270"/>
    </row>
    <row r="210" ht="15.75" customHeight="1">
      <c r="D210" s="270"/>
      <c r="E210" s="270"/>
      <c r="F210" s="270"/>
      <c r="G210" s="270"/>
      <c r="H210" s="270"/>
      <c r="I210" s="270"/>
      <c r="J210" s="270"/>
      <c r="K210" s="270"/>
    </row>
    <row r="211" ht="15.75" customHeight="1">
      <c r="D211" s="270"/>
      <c r="E211" s="270"/>
      <c r="F211" s="270"/>
      <c r="G211" s="270"/>
      <c r="H211" s="270"/>
      <c r="I211" s="270"/>
      <c r="J211" s="270"/>
      <c r="K211" s="270"/>
    </row>
    <row r="212" ht="15.75" customHeight="1">
      <c r="D212" s="270"/>
      <c r="E212" s="270"/>
      <c r="F212" s="270"/>
      <c r="G212" s="270"/>
      <c r="H212" s="270"/>
      <c r="I212" s="270"/>
      <c r="J212" s="270"/>
      <c r="K212" s="270"/>
    </row>
    <row r="213" ht="15.75" customHeight="1">
      <c r="D213" s="270"/>
      <c r="E213" s="270"/>
      <c r="F213" s="270"/>
      <c r="G213" s="270"/>
      <c r="H213" s="270"/>
      <c r="I213" s="270"/>
      <c r="J213" s="270"/>
      <c r="K213" s="270"/>
    </row>
    <row r="214" ht="15.75" customHeight="1">
      <c r="D214" s="270"/>
      <c r="E214" s="270"/>
      <c r="F214" s="270"/>
      <c r="G214" s="270"/>
      <c r="H214" s="270"/>
      <c r="I214" s="270"/>
      <c r="J214" s="270"/>
      <c r="K214" s="270"/>
    </row>
    <row r="215" ht="15.75" customHeight="1">
      <c r="D215" s="270"/>
      <c r="E215" s="270"/>
      <c r="F215" s="270"/>
      <c r="G215" s="270"/>
      <c r="H215" s="270"/>
      <c r="I215" s="270"/>
      <c r="J215" s="270"/>
      <c r="K215" s="270"/>
    </row>
    <row r="216" ht="15.75" customHeight="1">
      <c r="D216" s="270"/>
      <c r="E216" s="270"/>
      <c r="F216" s="270"/>
      <c r="G216" s="270"/>
      <c r="H216" s="270"/>
      <c r="I216" s="270"/>
      <c r="J216" s="270"/>
      <c r="K216" s="270"/>
    </row>
    <row r="217" ht="15.75" customHeight="1">
      <c r="D217" s="270"/>
      <c r="E217" s="270"/>
      <c r="F217" s="270"/>
      <c r="G217" s="270"/>
      <c r="H217" s="270"/>
      <c r="I217" s="270"/>
      <c r="J217" s="270"/>
      <c r="K217" s="270"/>
    </row>
    <row r="218" ht="15.75" customHeight="1">
      <c r="D218" s="270"/>
      <c r="E218" s="270"/>
      <c r="F218" s="270"/>
      <c r="G218" s="270"/>
      <c r="H218" s="270"/>
      <c r="I218" s="270"/>
      <c r="J218" s="270"/>
      <c r="K218" s="270"/>
    </row>
    <row r="219" ht="15.75" customHeight="1">
      <c r="D219" s="270"/>
      <c r="E219" s="270"/>
      <c r="F219" s="270"/>
      <c r="G219" s="270"/>
      <c r="H219" s="270"/>
      <c r="I219" s="270"/>
      <c r="J219" s="270"/>
      <c r="K219" s="270"/>
    </row>
    <row r="220" ht="15.75" customHeight="1">
      <c r="D220" s="270"/>
      <c r="E220" s="270"/>
      <c r="F220" s="270"/>
      <c r="G220" s="270"/>
      <c r="H220" s="270"/>
      <c r="I220" s="270"/>
      <c r="J220" s="270"/>
      <c r="K220" s="270"/>
    </row>
    <row r="221" ht="15.75" customHeight="1">
      <c r="D221" s="270"/>
      <c r="E221" s="270"/>
      <c r="F221" s="270"/>
      <c r="G221" s="270"/>
      <c r="H221" s="270"/>
      <c r="I221" s="270"/>
      <c r="J221" s="270"/>
      <c r="K221" s="270"/>
    </row>
    <row r="222" ht="15.75" customHeight="1">
      <c r="D222" s="270"/>
      <c r="E222" s="270"/>
      <c r="F222" s="270"/>
      <c r="G222" s="270"/>
      <c r="H222" s="270"/>
      <c r="I222" s="270"/>
      <c r="J222" s="270"/>
      <c r="K222" s="270"/>
    </row>
    <row r="223" ht="15.75" customHeight="1">
      <c r="D223" s="270"/>
      <c r="E223" s="270"/>
      <c r="F223" s="270"/>
      <c r="G223" s="270"/>
      <c r="H223" s="270"/>
      <c r="I223" s="270"/>
      <c r="J223" s="270"/>
      <c r="K223" s="270"/>
    </row>
    <row r="224" ht="15.75" customHeight="1">
      <c r="D224" s="270"/>
      <c r="E224" s="270"/>
      <c r="F224" s="270"/>
      <c r="G224" s="270"/>
      <c r="H224" s="270"/>
      <c r="I224" s="270"/>
      <c r="J224" s="270"/>
      <c r="K224" s="270"/>
    </row>
    <row r="225" ht="15.75" customHeight="1">
      <c r="D225" s="270"/>
      <c r="E225" s="270"/>
      <c r="F225" s="270"/>
      <c r="G225" s="270"/>
      <c r="H225" s="270"/>
      <c r="I225" s="270"/>
      <c r="J225" s="270"/>
      <c r="K225" s="270"/>
    </row>
    <row r="226" ht="15.75" customHeight="1">
      <c r="D226" s="270"/>
      <c r="E226" s="270"/>
      <c r="F226" s="270"/>
      <c r="G226" s="270"/>
      <c r="H226" s="270"/>
      <c r="I226" s="270"/>
      <c r="J226" s="270"/>
      <c r="K226" s="270"/>
    </row>
    <row r="227" ht="15.75" customHeight="1">
      <c r="D227" s="270"/>
      <c r="E227" s="270"/>
      <c r="F227" s="270"/>
      <c r="G227" s="270"/>
      <c r="H227" s="270"/>
      <c r="I227" s="270"/>
      <c r="J227" s="270"/>
      <c r="K227" s="270"/>
    </row>
    <row r="228" ht="15.75" customHeight="1">
      <c r="D228" s="270"/>
      <c r="E228" s="270"/>
      <c r="F228" s="270"/>
      <c r="G228" s="270"/>
      <c r="H228" s="270"/>
      <c r="I228" s="270"/>
      <c r="J228" s="270"/>
      <c r="K228" s="270"/>
    </row>
    <row r="229" ht="15.75" customHeight="1">
      <c r="D229" s="270"/>
      <c r="E229" s="270"/>
      <c r="F229" s="270"/>
      <c r="G229" s="270"/>
      <c r="H229" s="270"/>
      <c r="I229" s="270"/>
      <c r="J229" s="270"/>
      <c r="K229" s="270"/>
    </row>
    <row r="230" ht="15.75" customHeight="1">
      <c r="D230" s="270"/>
      <c r="E230" s="270"/>
      <c r="F230" s="270"/>
      <c r="G230" s="270"/>
      <c r="H230" s="270"/>
      <c r="I230" s="270"/>
      <c r="J230" s="270"/>
      <c r="K230" s="270"/>
    </row>
    <row r="231" ht="15.75" customHeight="1">
      <c r="D231" s="270"/>
      <c r="E231" s="270"/>
      <c r="F231" s="270"/>
      <c r="G231" s="270"/>
      <c r="H231" s="270"/>
      <c r="I231" s="270"/>
      <c r="J231" s="270"/>
      <c r="K231" s="270"/>
    </row>
    <row r="232" ht="15.75" customHeight="1">
      <c r="D232" s="270"/>
      <c r="E232" s="270"/>
      <c r="F232" s="270"/>
      <c r="G232" s="270"/>
      <c r="H232" s="270"/>
      <c r="I232" s="270"/>
      <c r="J232" s="270"/>
      <c r="K232" s="270"/>
    </row>
    <row r="233" ht="15.75" customHeight="1">
      <c r="D233" s="270"/>
      <c r="E233" s="270"/>
      <c r="F233" s="270"/>
      <c r="G233" s="270"/>
      <c r="H233" s="270"/>
      <c r="I233" s="270"/>
      <c r="J233" s="270"/>
      <c r="K233" s="270"/>
    </row>
    <row r="234" ht="15.75" customHeight="1">
      <c r="D234" s="270"/>
      <c r="E234" s="270"/>
      <c r="F234" s="270"/>
      <c r="G234" s="270"/>
      <c r="H234" s="270"/>
      <c r="I234" s="270"/>
      <c r="J234" s="270"/>
      <c r="K234" s="270"/>
    </row>
    <row r="235" ht="15.75" customHeight="1">
      <c r="D235" s="270"/>
      <c r="E235" s="270"/>
      <c r="F235" s="270"/>
      <c r="G235" s="270"/>
      <c r="H235" s="270"/>
      <c r="I235" s="270"/>
      <c r="J235" s="270"/>
      <c r="K235" s="270"/>
    </row>
    <row r="236" ht="15.75" customHeight="1">
      <c r="D236" s="270"/>
      <c r="E236" s="270"/>
      <c r="F236" s="270"/>
      <c r="G236" s="270"/>
      <c r="H236" s="270"/>
      <c r="I236" s="270"/>
      <c r="J236" s="270"/>
      <c r="K236" s="270"/>
    </row>
    <row r="237" ht="15.75" customHeight="1">
      <c r="D237" s="270"/>
      <c r="E237" s="270"/>
      <c r="F237" s="270"/>
      <c r="G237" s="270"/>
      <c r="H237" s="270"/>
      <c r="I237" s="270"/>
      <c r="J237" s="270"/>
      <c r="K237" s="270"/>
    </row>
    <row r="238" ht="15.75" customHeight="1">
      <c r="D238" s="270"/>
      <c r="E238" s="270"/>
      <c r="F238" s="270"/>
      <c r="G238" s="270"/>
      <c r="H238" s="270"/>
      <c r="I238" s="270"/>
      <c r="J238" s="270"/>
      <c r="K238" s="270"/>
    </row>
    <row r="239" ht="15.75" customHeight="1">
      <c r="D239" s="270"/>
      <c r="E239" s="270"/>
      <c r="F239" s="270"/>
      <c r="G239" s="270"/>
      <c r="H239" s="270"/>
      <c r="I239" s="270"/>
      <c r="J239" s="270"/>
      <c r="K239" s="270"/>
    </row>
    <row r="240" ht="15.75" customHeight="1">
      <c r="D240" s="270"/>
      <c r="E240" s="270"/>
      <c r="F240" s="270"/>
      <c r="G240" s="270"/>
      <c r="H240" s="270"/>
      <c r="I240" s="270"/>
      <c r="J240" s="270"/>
      <c r="K240" s="270"/>
    </row>
    <row r="241" ht="15.75" customHeight="1">
      <c r="D241" s="270"/>
      <c r="E241" s="270"/>
      <c r="F241" s="270"/>
      <c r="G241" s="270"/>
      <c r="H241" s="270"/>
      <c r="I241" s="270"/>
      <c r="J241" s="270"/>
      <c r="K241" s="270"/>
    </row>
    <row r="242" ht="15.75" customHeight="1">
      <c r="D242" s="270"/>
      <c r="E242" s="270"/>
      <c r="F242" s="270"/>
      <c r="G242" s="270"/>
      <c r="H242" s="270"/>
      <c r="I242" s="270"/>
      <c r="J242" s="270"/>
      <c r="K242" s="270"/>
    </row>
    <row r="243" ht="15.75" customHeight="1">
      <c r="D243" s="270"/>
      <c r="E243" s="270"/>
      <c r="F243" s="270"/>
      <c r="G243" s="270"/>
      <c r="H243" s="270"/>
      <c r="I243" s="270"/>
      <c r="J243" s="270"/>
      <c r="K243" s="270"/>
    </row>
    <row r="244" ht="15.75" customHeight="1">
      <c r="D244" s="270"/>
      <c r="E244" s="270"/>
      <c r="F244" s="270"/>
      <c r="G244" s="270"/>
      <c r="H244" s="270"/>
      <c r="I244" s="270"/>
      <c r="J244" s="270"/>
      <c r="K244" s="270"/>
    </row>
    <row r="245" ht="15.75" customHeight="1">
      <c r="D245" s="270"/>
      <c r="E245" s="270"/>
      <c r="F245" s="270"/>
      <c r="G245" s="270"/>
      <c r="H245" s="270"/>
      <c r="I245" s="270"/>
      <c r="J245" s="270"/>
      <c r="K245" s="270"/>
    </row>
    <row r="246" ht="15.75" customHeight="1">
      <c r="D246" s="270"/>
      <c r="E246" s="270"/>
      <c r="F246" s="270"/>
      <c r="G246" s="270"/>
      <c r="H246" s="270"/>
      <c r="I246" s="270"/>
      <c r="J246" s="270"/>
      <c r="K246" s="270"/>
    </row>
    <row r="247" ht="15.75" customHeight="1">
      <c r="D247" s="270"/>
      <c r="E247" s="270"/>
      <c r="F247" s="270"/>
      <c r="G247" s="270"/>
      <c r="H247" s="270"/>
      <c r="I247" s="270"/>
      <c r="J247" s="270"/>
      <c r="K247" s="270"/>
    </row>
    <row r="248" ht="15.75" customHeight="1">
      <c r="D248" s="270"/>
      <c r="E248" s="270"/>
      <c r="F248" s="270"/>
      <c r="G248" s="270"/>
      <c r="H248" s="270"/>
      <c r="I248" s="270"/>
      <c r="J248" s="270"/>
      <c r="K248" s="270"/>
    </row>
    <row r="249" ht="15.75" customHeight="1">
      <c r="D249" s="270"/>
      <c r="E249" s="270"/>
      <c r="F249" s="270"/>
      <c r="G249" s="270"/>
      <c r="H249" s="270"/>
      <c r="I249" s="270"/>
      <c r="J249" s="270"/>
      <c r="K249" s="270"/>
    </row>
    <row r="250" ht="15.75" customHeight="1">
      <c r="D250" s="270"/>
      <c r="E250" s="270"/>
      <c r="F250" s="270"/>
      <c r="G250" s="270"/>
      <c r="H250" s="270"/>
      <c r="I250" s="270"/>
      <c r="J250" s="270"/>
      <c r="K250" s="270"/>
    </row>
    <row r="251" ht="15.75" customHeight="1">
      <c r="D251" s="270"/>
      <c r="E251" s="270"/>
      <c r="F251" s="270"/>
      <c r="G251" s="270"/>
      <c r="H251" s="270"/>
      <c r="I251" s="270"/>
      <c r="J251" s="270"/>
      <c r="K251" s="270"/>
    </row>
    <row r="252" ht="15.75" customHeight="1">
      <c r="D252" s="270"/>
      <c r="E252" s="270"/>
      <c r="F252" s="270"/>
      <c r="G252" s="270"/>
      <c r="H252" s="270"/>
      <c r="I252" s="270"/>
      <c r="J252" s="270"/>
      <c r="K252" s="270"/>
    </row>
    <row r="253" ht="15.75" customHeight="1">
      <c r="D253" s="270"/>
      <c r="E253" s="270"/>
      <c r="F253" s="270"/>
      <c r="G253" s="270"/>
      <c r="H253" s="270"/>
      <c r="I253" s="270"/>
      <c r="J253" s="270"/>
      <c r="K253" s="270"/>
    </row>
    <row r="254" ht="15.75" customHeight="1">
      <c r="D254" s="270"/>
      <c r="E254" s="270"/>
      <c r="F254" s="270"/>
      <c r="G254" s="270"/>
      <c r="H254" s="270"/>
      <c r="I254" s="270"/>
      <c r="J254" s="270"/>
      <c r="K254" s="270"/>
    </row>
    <row r="255" ht="15.75" customHeight="1">
      <c r="D255" s="270"/>
      <c r="E255" s="270"/>
      <c r="F255" s="270"/>
      <c r="G255" s="270"/>
      <c r="H255" s="270"/>
      <c r="I255" s="270"/>
      <c r="J255" s="270"/>
      <c r="K255" s="270"/>
    </row>
    <row r="256" ht="15.75" customHeight="1">
      <c r="D256" s="270"/>
      <c r="E256" s="270"/>
      <c r="F256" s="270"/>
      <c r="G256" s="270"/>
      <c r="H256" s="270"/>
      <c r="I256" s="270"/>
      <c r="J256" s="270"/>
      <c r="K256" s="270"/>
    </row>
    <row r="257" ht="15.75" customHeight="1">
      <c r="D257" s="270"/>
      <c r="E257" s="270"/>
      <c r="F257" s="270"/>
      <c r="G257" s="270"/>
      <c r="H257" s="270"/>
      <c r="I257" s="270"/>
      <c r="J257" s="270"/>
      <c r="K257" s="270"/>
    </row>
    <row r="258" ht="15.75" customHeight="1">
      <c r="D258" s="270"/>
      <c r="E258" s="270"/>
      <c r="F258" s="270"/>
      <c r="G258" s="270"/>
      <c r="H258" s="270"/>
      <c r="I258" s="270"/>
      <c r="J258" s="270"/>
      <c r="K258" s="270"/>
    </row>
    <row r="259" ht="15.75" customHeight="1">
      <c r="D259" s="270"/>
      <c r="E259" s="270"/>
      <c r="F259" s="270"/>
      <c r="G259" s="270"/>
      <c r="H259" s="270"/>
      <c r="I259" s="270"/>
      <c r="J259" s="270"/>
      <c r="K259" s="270"/>
    </row>
    <row r="260" ht="15.75" customHeight="1">
      <c r="D260" s="270"/>
      <c r="E260" s="270"/>
      <c r="F260" s="270"/>
      <c r="G260" s="270"/>
      <c r="H260" s="270"/>
      <c r="I260" s="270"/>
      <c r="J260" s="270"/>
      <c r="K260" s="270"/>
    </row>
    <row r="261" ht="15.75" customHeight="1">
      <c r="D261" s="270"/>
      <c r="E261" s="270"/>
      <c r="F261" s="270"/>
      <c r="G261" s="270"/>
      <c r="H261" s="270"/>
      <c r="I261" s="270"/>
      <c r="J261" s="270"/>
      <c r="K261" s="270"/>
    </row>
    <row r="262" ht="15.75" customHeight="1">
      <c r="D262" s="270"/>
      <c r="E262" s="270"/>
      <c r="F262" s="270"/>
      <c r="G262" s="270"/>
      <c r="H262" s="270"/>
      <c r="I262" s="270"/>
      <c r="J262" s="270"/>
      <c r="K262" s="270"/>
    </row>
    <row r="263" ht="15.75" customHeight="1">
      <c r="D263" s="270"/>
      <c r="E263" s="270"/>
      <c r="F263" s="270"/>
      <c r="G263" s="270"/>
      <c r="H263" s="270"/>
      <c r="I263" s="270"/>
      <c r="J263" s="270"/>
      <c r="K263" s="270"/>
    </row>
    <row r="264" ht="15.75" customHeight="1">
      <c r="D264" s="270"/>
      <c r="E264" s="270"/>
      <c r="F264" s="270"/>
      <c r="G264" s="270"/>
      <c r="H264" s="270"/>
      <c r="I264" s="270"/>
      <c r="J264" s="270"/>
      <c r="K264" s="270"/>
    </row>
    <row r="265" ht="15.75" customHeight="1">
      <c r="D265" s="270"/>
      <c r="E265" s="270"/>
      <c r="F265" s="270"/>
      <c r="G265" s="270"/>
      <c r="H265" s="270"/>
      <c r="I265" s="270"/>
      <c r="J265" s="270"/>
      <c r="K265" s="270"/>
    </row>
    <row r="266" ht="15.75" customHeight="1">
      <c r="D266" s="270"/>
      <c r="E266" s="270"/>
      <c r="F266" s="270"/>
      <c r="G266" s="270"/>
      <c r="H266" s="270"/>
      <c r="I266" s="270"/>
      <c r="J266" s="270"/>
      <c r="K266" s="270"/>
    </row>
    <row r="267" ht="15.75" customHeight="1">
      <c r="D267" s="270"/>
      <c r="E267" s="270"/>
      <c r="F267" s="270"/>
      <c r="G267" s="270"/>
      <c r="H267" s="270"/>
      <c r="I267" s="270"/>
      <c r="J267" s="270"/>
      <c r="K267" s="270"/>
    </row>
    <row r="268" ht="15.75" customHeight="1">
      <c r="D268" s="270"/>
      <c r="E268" s="270"/>
      <c r="F268" s="270"/>
      <c r="G268" s="270"/>
      <c r="H268" s="270"/>
      <c r="I268" s="270"/>
      <c r="J268" s="270"/>
      <c r="K268" s="270"/>
    </row>
    <row r="269" ht="15.75" customHeight="1">
      <c r="D269" s="270"/>
      <c r="E269" s="270"/>
      <c r="F269" s="270"/>
      <c r="G269" s="270"/>
      <c r="H269" s="270"/>
      <c r="I269" s="270"/>
      <c r="J269" s="270"/>
      <c r="K269" s="270"/>
    </row>
    <row r="270" ht="15.75" customHeight="1">
      <c r="D270" s="270"/>
      <c r="E270" s="270"/>
      <c r="F270" s="270"/>
      <c r="G270" s="270"/>
      <c r="H270" s="270"/>
      <c r="I270" s="270"/>
      <c r="J270" s="270"/>
      <c r="K270" s="270"/>
    </row>
    <row r="271" ht="15.75" customHeight="1">
      <c r="D271" s="270"/>
      <c r="E271" s="270"/>
      <c r="F271" s="270"/>
      <c r="G271" s="270"/>
      <c r="H271" s="270"/>
      <c r="I271" s="270"/>
      <c r="J271" s="270"/>
      <c r="K271" s="270"/>
    </row>
    <row r="272" ht="15.75" customHeight="1">
      <c r="D272" s="270"/>
      <c r="E272" s="270"/>
      <c r="F272" s="270"/>
      <c r="G272" s="270"/>
      <c r="H272" s="270"/>
      <c r="I272" s="270"/>
      <c r="J272" s="270"/>
      <c r="K272" s="270"/>
    </row>
    <row r="273" ht="15.75" customHeight="1">
      <c r="D273" s="270"/>
      <c r="E273" s="270"/>
      <c r="F273" s="270"/>
      <c r="G273" s="270"/>
      <c r="H273" s="270"/>
      <c r="I273" s="270"/>
      <c r="J273" s="270"/>
      <c r="K273" s="270"/>
    </row>
    <row r="274" ht="15.75" customHeight="1">
      <c r="D274" s="270"/>
      <c r="E274" s="270"/>
      <c r="F274" s="270"/>
      <c r="G274" s="270"/>
      <c r="H274" s="270"/>
      <c r="I274" s="270"/>
      <c r="J274" s="270"/>
      <c r="K274" s="270"/>
    </row>
    <row r="275" ht="15.75" customHeight="1">
      <c r="D275" s="270"/>
      <c r="E275" s="270"/>
      <c r="F275" s="270"/>
      <c r="G275" s="270"/>
      <c r="H275" s="270"/>
      <c r="I275" s="270"/>
      <c r="J275" s="270"/>
      <c r="K275" s="270"/>
    </row>
    <row r="276" ht="15.75" customHeight="1">
      <c r="D276" s="270"/>
      <c r="E276" s="270"/>
      <c r="F276" s="270"/>
      <c r="G276" s="270"/>
      <c r="H276" s="270"/>
      <c r="I276" s="270"/>
      <c r="J276" s="270"/>
      <c r="K276" s="270"/>
    </row>
    <row r="277" ht="15.75" customHeight="1">
      <c r="D277" s="270"/>
      <c r="E277" s="270"/>
      <c r="F277" s="270"/>
      <c r="G277" s="270"/>
      <c r="H277" s="270"/>
      <c r="I277" s="270"/>
      <c r="J277" s="270"/>
      <c r="K277" s="270"/>
    </row>
    <row r="278" ht="15.75" customHeight="1">
      <c r="D278" s="270"/>
      <c r="E278" s="270"/>
      <c r="F278" s="270"/>
      <c r="G278" s="270"/>
      <c r="H278" s="270"/>
      <c r="I278" s="270"/>
      <c r="J278" s="270"/>
      <c r="K278" s="270"/>
    </row>
    <row r="279" ht="15.75" customHeight="1">
      <c r="D279" s="270"/>
      <c r="E279" s="270"/>
      <c r="F279" s="270"/>
      <c r="G279" s="270"/>
      <c r="H279" s="270"/>
      <c r="I279" s="270"/>
      <c r="J279" s="270"/>
      <c r="K279" s="270"/>
    </row>
    <row r="280" ht="15.75" customHeight="1">
      <c r="D280" s="270"/>
      <c r="E280" s="270"/>
      <c r="F280" s="270"/>
      <c r="G280" s="270"/>
      <c r="H280" s="270"/>
      <c r="I280" s="270"/>
      <c r="J280" s="270"/>
      <c r="K280" s="270"/>
    </row>
    <row r="281" ht="15.75" customHeight="1">
      <c r="D281" s="270"/>
      <c r="E281" s="270"/>
      <c r="F281" s="270"/>
      <c r="G281" s="270"/>
      <c r="H281" s="270"/>
      <c r="I281" s="270"/>
      <c r="J281" s="270"/>
      <c r="K281" s="270"/>
    </row>
    <row r="282" ht="15.75" customHeight="1">
      <c r="D282" s="270"/>
      <c r="E282" s="270"/>
      <c r="F282" s="270"/>
      <c r="G282" s="270"/>
      <c r="H282" s="270"/>
      <c r="I282" s="270"/>
      <c r="J282" s="270"/>
      <c r="K282" s="270"/>
    </row>
    <row r="283" ht="15.75" customHeight="1">
      <c r="D283" s="270"/>
      <c r="E283" s="270"/>
      <c r="F283" s="270"/>
      <c r="G283" s="270"/>
      <c r="H283" s="270"/>
      <c r="I283" s="270"/>
      <c r="J283" s="270"/>
      <c r="K283" s="270"/>
    </row>
    <row r="284" ht="15.75" customHeight="1">
      <c r="D284" s="270"/>
      <c r="E284" s="270"/>
      <c r="F284" s="270"/>
      <c r="G284" s="270"/>
      <c r="H284" s="270"/>
      <c r="I284" s="270"/>
      <c r="J284" s="270"/>
      <c r="K284" s="270"/>
    </row>
    <row r="285" ht="15.75" customHeight="1">
      <c r="D285" s="270"/>
      <c r="E285" s="270"/>
      <c r="F285" s="270"/>
      <c r="G285" s="270"/>
      <c r="H285" s="270"/>
      <c r="I285" s="270"/>
      <c r="J285" s="270"/>
      <c r="K285" s="270"/>
    </row>
    <row r="286" ht="15.75" customHeight="1">
      <c r="D286" s="270"/>
      <c r="E286" s="270"/>
      <c r="F286" s="270"/>
      <c r="G286" s="270"/>
      <c r="H286" s="270"/>
      <c r="I286" s="270"/>
      <c r="J286" s="270"/>
      <c r="K286" s="270"/>
    </row>
    <row r="287" ht="15.75" customHeight="1">
      <c r="D287" s="270"/>
      <c r="E287" s="270"/>
      <c r="F287" s="270"/>
      <c r="G287" s="270"/>
      <c r="H287" s="270"/>
      <c r="I287" s="270"/>
      <c r="J287" s="270"/>
      <c r="K287" s="270"/>
    </row>
    <row r="288" ht="15.75" customHeight="1">
      <c r="D288" s="270"/>
      <c r="E288" s="270"/>
      <c r="F288" s="270"/>
      <c r="G288" s="270"/>
      <c r="H288" s="270"/>
      <c r="I288" s="270"/>
      <c r="J288" s="270"/>
      <c r="K288" s="270"/>
    </row>
    <row r="289" ht="15.75" customHeight="1">
      <c r="D289" s="270"/>
      <c r="E289" s="270"/>
      <c r="F289" s="270"/>
      <c r="G289" s="270"/>
      <c r="H289" s="270"/>
      <c r="I289" s="270"/>
      <c r="J289" s="270"/>
      <c r="K289" s="270"/>
    </row>
    <row r="290" ht="15.75" customHeight="1">
      <c r="D290" s="270"/>
      <c r="E290" s="270"/>
      <c r="F290" s="270"/>
      <c r="G290" s="270"/>
      <c r="H290" s="270"/>
      <c r="I290" s="270"/>
      <c r="J290" s="270"/>
      <c r="K290" s="270"/>
    </row>
    <row r="291" ht="15.75" customHeight="1">
      <c r="D291" s="270"/>
      <c r="E291" s="270"/>
      <c r="F291" s="270"/>
      <c r="G291" s="270"/>
      <c r="H291" s="270"/>
      <c r="I291" s="270"/>
      <c r="J291" s="270"/>
      <c r="K291" s="270"/>
    </row>
    <row r="292" ht="15.75" customHeight="1">
      <c r="D292" s="270"/>
      <c r="E292" s="270"/>
      <c r="F292" s="270"/>
      <c r="G292" s="270"/>
      <c r="H292" s="270"/>
      <c r="I292" s="270"/>
      <c r="J292" s="270"/>
      <c r="K292" s="270"/>
    </row>
    <row r="293" ht="15.75" customHeight="1">
      <c r="D293" s="270"/>
      <c r="E293" s="270"/>
      <c r="F293" s="270"/>
      <c r="G293" s="270"/>
      <c r="H293" s="270"/>
      <c r="I293" s="270"/>
      <c r="J293" s="270"/>
      <c r="K293" s="270"/>
    </row>
    <row r="294" ht="15.75" customHeight="1">
      <c r="D294" s="270"/>
      <c r="E294" s="270"/>
      <c r="F294" s="270"/>
      <c r="G294" s="270"/>
      <c r="H294" s="270"/>
      <c r="I294" s="270"/>
      <c r="J294" s="270"/>
      <c r="K294" s="270"/>
    </row>
    <row r="295" ht="15.75" customHeight="1">
      <c r="D295" s="270"/>
      <c r="E295" s="270"/>
      <c r="F295" s="270"/>
      <c r="G295" s="270"/>
      <c r="H295" s="270"/>
      <c r="I295" s="270"/>
      <c r="J295" s="270"/>
      <c r="K295" s="270"/>
    </row>
    <row r="296" ht="15.75" customHeight="1">
      <c r="D296" s="270"/>
      <c r="E296" s="270"/>
      <c r="F296" s="270"/>
      <c r="G296" s="270"/>
      <c r="H296" s="270"/>
      <c r="I296" s="270"/>
      <c r="J296" s="270"/>
      <c r="K296" s="270"/>
    </row>
    <row r="297" ht="15.75" customHeight="1">
      <c r="D297" s="270"/>
      <c r="E297" s="270"/>
      <c r="F297" s="270"/>
      <c r="G297" s="270"/>
      <c r="H297" s="270"/>
      <c r="I297" s="270"/>
      <c r="J297" s="270"/>
      <c r="K297" s="270"/>
    </row>
    <row r="298" ht="15.75" customHeight="1">
      <c r="D298" s="270"/>
      <c r="E298" s="270"/>
      <c r="F298" s="270"/>
      <c r="G298" s="270"/>
      <c r="H298" s="270"/>
      <c r="I298" s="270"/>
      <c r="J298" s="270"/>
      <c r="K298" s="270"/>
    </row>
    <row r="299" ht="15.75" customHeight="1">
      <c r="D299" s="270"/>
      <c r="E299" s="270"/>
      <c r="F299" s="270"/>
      <c r="G299" s="270"/>
      <c r="H299" s="270"/>
      <c r="I299" s="270"/>
      <c r="J299" s="270"/>
      <c r="K299" s="270"/>
    </row>
    <row r="300" ht="15.75" customHeight="1">
      <c r="D300" s="270"/>
      <c r="E300" s="270"/>
      <c r="F300" s="270"/>
      <c r="G300" s="270"/>
      <c r="H300" s="270"/>
      <c r="I300" s="270"/>
      <c r="J300" s="270"/>
      <c r="K300" s="270"/>
    </row>
    <row r="301" ht="15.75" customHeight="1">
      <c r="D301" s="270"/>
      <c r="E301" s="270"/>
      <c r="F301" s="270"/>
      <c r="G301" s="270"/>
      <c r="H301" s="270"/>
      <c r="I301" s="270"/>
      <c r="J301" s="270"/>
      <c r="K301" s="270"/>
    </row>
    <row r="302" ht="15.75" customHeight="1">
      <c r="D302" s="270"/>
      <c r="E302" s="270"/>
      <c r="F302" s="270"/>
      <c r="G302" s="270"/>
      <c r="H302" s="270"/>
      <c r="I302" s="270"/>
      <c r="J302" s="270"/>
      <c r="K302" s="270"/>
    </row>
    <row r="303" ht="15.75" customHeight="1">
      <c r="D303" s="270"/>
      <c r="E303" s="270"/>
      <c r="F303" s="270"/>
      <c r="G303" s="270"/>
      <c r="H303" s="270"/>
      <c r="I303" s="270"/>
      <c r="J303" s="270"/>
      <c r="K303" s="270"/>
    </row>
    <row r="304" ht="15.75" customHeight="1">
      <c r="D304" s="270"/>
      <c r="E304" s="270"/>
      <c r="F304" s="270"/>
      <c r="G304" s="270"/>
      <c r="H304" s="270"/>
      <c r="I304" s="270"/>
      <c r="J304" s="270"/>
      <c r="K304" s="270"/>
    </row>
    <row r="305" ht="15.75" customHeight="1">
      <c r="D305" s="270"/>
      <c r="E305" s="270"/>
      <c r="F305" s="270"/>
      <c r="G305" s="270"/>
      <c r="H305" s="270"/>
      <c r="I305" s="270"/>
      <c r="J305" s="270"/>
      <c r="K305" s="270"/>
    </row>
    <row r="306" ht="15.75" customHeight="1">
      <c r="D306" s="270"/>
      <c r="E306" s="270"/>
      <c r="F306" s="270"/>
      <c r="G306" s="270"/>
      <c r="H306" s="270"/>
      <c r="I306" s="270"/>
      <c r="J306" s="270"/>
      <c r="K306" s="270"/>
    </row>
    <row r="307" ht="15.75" customHeight="1">
      <c r="D307" s="270"/>
      <c r="E307" s="270"/>
      <c r="F307" s="270"/>
      <c r="G307" s="270"/>
      <c r="H307" s="270"/>
      <c r="I307" s="270"/>
      <c r="J307" s="270"/>
      <c r="K307" s="270"/>
    </row>
    <row r="308" ht="15.75" customHeight="1">
      <c r="D308" s="270"/>
      <c r="E308" s="270"/>
      <c r="F308" s="270"/>
      <c r="G308" s="270"/>
      <c r="H308" s="270"/>
      <c r="I308" s="270"/>
      <c r="J308" s="270"/>
      <c r="K308" s="270"/>
    </row>
    <row r="309" ht="15.75" customHeight="1">
      <c r="D309" s="270"/>
      <c r="E309" s="270"/>
      <c r="F309" s="270"/>
      <c r="G309" s="270"/>
      <c r="H309" s="270"/>
      <c r="I309" s="270"/>
      <c r="J309" s="270"/>
      <c r="K309" s="270"/>
    </row>
    <row r="310" ht="15.75" customHeight="1">
      <c r="D310" s="270"/>
      <c r="E310" s="270"/>
      <c r="F310" s="270"/>
      <c r="G310" s="270"/>
      <c r="H310" s="270"/>
      <c r="I310" s="270"/>
      <c r="J310" s="270"/>
      <c r="K310" s="270"/>
    </row>
    <row r="311" ht="15.75" customHeight="1">
      <c r="D311" s="270"/>
      <c r="E311" s="270"/>
      <c r="F311" s="270"/>
      <c r="G311" s="270"/>
      <c r="H311" s="270"/>
      <c r="I311" s="270"/>
      <c r="J311" s="270"/>
      <c r="K311" s="270"/>
    </row>
    <row r="312" ht="15.75" customHeight="1">
      <c r="D312" s="270"/>
      <c r="E312" s="270"/>
      <c r="F312" s="270"/>
      <c r="G312" s="270"/>
      <c r="H312" s="270"/>
      <c r="I312" s="270"/>
      <c r="J312" s="270"/>
      <c r="K312" s="270"/>
    </row>
    <row r="313" ht="15.75" customHeight="1">
      <c r="D313" s="270"/>
      <c r="E313" s="270"/>
      <c r="F313" s="270"/>
      <c r="G313" s="270"/>
      <c r="H313" s="270"/>
      <c r="I313" s="270"/>
      <c r="J313" s="270"/>
      <c r="K313" s="270"/>
    </row>
    <row r="314" ht="15.75" customHeight="1">
      <c r="D314" s="270"/>
      <c r="E314" s="270"/>
      <c r="F314" s="270"/>
      <c r="G314" s="270"/>
      <c r="H314" s="270"/>
      <c r="I314" s="270"/>
      <c r="J314" s="270"/>
      <c r="K314" s="270"/>
    </row>
    <row r="315" ht="15.75" customHeight="1">
      <c r="D315" s="270"/>
      <c r="E315" s="270"/>
      <c r="F315" s="270"/>
      <c r="G315" s="270"/>
      <c r="H315" s="270"/>
      <c r="I315" s="270"/>
      <c r="J315" s="270"/>
      <c r="K315" s="270"/>
    </row>
    <row r="316" ht="15.75" customHeight="1">
      <c r="D316" s="270"/>
      <c r="E316" s="270"/>
      <c r="F316" s="270"/>
      <c r="G316" s="270"/>
      <c r="H316" s="270"/>
      <c r="I316" s="270"/>
      <c r="J316" s="270"/>
      <c r="K316" s="270"/>
    </row>
    <row r="317" ht="15.75" customHeight="1">
      <c r="D317" s="270"/>
      <c r="E317" s="270"/>
      <c r="F317" s="270"/>
      <c r="G317" s="270"/>
      <c r="H317" s="270"/>
      <c r="I317" s="270"/>
      <c r="J317" s="270"/>
      <c r="K317" s="270"/>
    </row>
    <row r="318" ht="15.75" customHeight="1">
      <c r="D318" s="270"/>
      <c r="E318" s="270"/>
      <c r="F318" s="270"/>
      <c r="G318" s="270"/>
      <c r="H318" s="270"/>
      <c r="I318" s="270"/>
      <c r="J318" s="270"/>
      <c r="K318" s="270"/>
    </row>
    <row r="319" ht="15.75" customHeight="1">
      <c r="D319" s="270"/>
      <c r="E319" s="270"/>
      <c r="F319" s="270"/>
      <c r="G319" s="270"/>
      <c r="H319" s="270"/>
      <c r="I319" s="270"/>
      <c r="J319" s="270"/>
      <c r="K319" s="270"/>
    </row>
    <row r="320" ht="15.75" customHeight="1">
      <c r="D320" s="270"/>
      <c r="E320" s="270"/>
      <c r="F320" s="270"/>
      <c r="G320" s="270"/>
      <c r="H320" s="270"/>
      <c r="I320" s="270"/>
      <c r="J320" s="270"/>
      <c r="K320" s="270"/>
    </row>
    <row r="321" ht="15.75" customHeight="1">
      <c r="D321" s="270"/>
      <c r="E321" s="270"/>
      <c r="F321" s="270"/>
      <c r="G321" s="270"/>
      <c r="H321" s="270"/>
      <c r="I321" s="270"/>
      <c r="J321" s="270"/>
      <c r="K321" s="270"/>
    </row>
    <row r="322" ht="15.75" customHeight="1">
      <c r="D322" s="270"/>
      <c r="E322" s="270"/>
      <c r="F322" s="270"/>
      <c r="G322" s="270"/>
      <c r="H322" s="270"/>
      <c r="I322" s="270"/>
      <c r="J322" s="270"/>
      <c r="K322" s="270"/>
    </row>
    <row r="323" ht="15.75" customHeight="1">
      <c r="D323" s="270"/>
      <c r="E323" s="270"/>
      <c r="F323" s="270"/>
      <c r="G323" s="270"/>
      <c r="H323" s="270"/>
      <c r="I323" s="270"/>
      <c r="J323" s="270"/>
      <c r="K323" s="270"/>
    </row>
    <row r="324" ht="15.75" customHeight="1">
      <c r="D324" s="270"/>
      <c r="E324" s="270"/>
      <c r="F324" s="270"/>
      <c r="G324" s="270"/>
      <c r="H324" s="270"/>
      <c r="I324" s="270"/>
      <c r="J324" s="270"/>
      <c r="K324" s="270"/>
    </row>
    <row r="325" ht="15.75" customHeight="1">
      <c r="D325" s="270"/>
      <c r="E325" s="270"/>
      <c r="F325" s="270"/>
      <c r="G325" s="270"/>
      <c r="H325" s="270"/>
      <c r="I325" s="270"/>
      <c r="J325" s="270"/>
      <c r="K325" s="270"/>
    </row>
    <row r="326" ht="15.75" customHeight="1">
      <c r="D326" s="270"/>
      <c r="E326" s="270"/>
      <c r="F326" s="270"/>
      <c r="G326" s="270"/>
      <c r="H326" s="270"/>
      <c r="I326" s="270"/>
      <c r="J326" s="270"/>
      <c r="K326" s="270"/>
    </row>
    <row r="327" ht="15.75" customHeight="1">
      <c r="D327" s="270"/>
      <c r="E327" s="270"/>
      <c r="F327" s="270"/>
      <c r="G327" s="270"/>
      <c r="H327" s="270"/>
      <c r="I327" s="270"/>
      <c r="J327" s="270"/>
      <c r="K327" s="270"/>
    </row>
    <row r="328" ht="15.75" customHeight="1">
      <c r="D328" s="270"/>
      <c r="E328" s="270"/>
      <c r="F328" s="270"/>
      <c r="G328" s="270"/>
      <c r="H328" s="270"/>
      <c r="I328" s="270"/>
      <c r="J328" s="270"/>
      <c r="K328" s="270"/>
    </row>
    <row r="329" ht="15.75" customHeight="1">
      <c r="D329" s="270"/>
      <c r="E329" s="270"/>
      <c r="F329" s="270"/>
      <c r="G329" s="270"/>
      <c r="H329" s="270"/>
      <c r="I329" s="270"/>
      <c r="J329" s="270"/>
      <c r="K329" s="270"/>
    </row>
    <row r="330" ht="15.75" customHeight="1">
      <c r="D330" s="270"/>
      <c r="E330" s="270"/>
      <c r="F330" s="270"/>
      <c r="G330" s="270"/>
      <c r="H330" s="270"/>
      <c r="I330" s="270"/>
      <c r="J330" s="270"/>
      <c r="K330" s="270"/>
    </row>
    <row r="331" ht="15.75" customHeight="1">
      <c r="D331" s="270"/>
      <c r="E331" s="270"/>
      <c r="F331" s="270"/>
      <c r="G331" s="270"/>
      <c r="H331" s="270"/>
      <c r="I331" s="270"/>
      <c r="J331" s="270"/>
      <c r="K331" s="270"/>
    </row>
    <row r="332" ht="15.75" customHeight="1">
      <c r="D332" s="270"/>
      <c r="E332" s="270"/>
      <c r="F332" s="270"/>
      <c r="G332" s="270"/>
      <c r="H332" s="270"/>
      <c r="I332" s="270"/>
      <c r="J332" s="270"/>
      <c r="K332" s="270"/>
    </row>
    <row r="333" ht="15.75" customHeight="1">
      <c r="D333" s="270"/>
      <c r="E333" s="270"/>
      <c r="F333" s="270"/>
      <c r="G333" s="270"/>
      <c r="H333" s="270"/>
      <c r="I333" s="270"/>
      <c r="J333" s="270"/>
      <c r="K333" s="270"/>
    </row>
    <row r="334" ht="15.75" customHeight="1">
      <c r="D334" s="270"/>
      <c r="E334" s="270"/>
      <c r="F334" s="270"/>
      <c r="G334" s="270"/>
      <c r="H334" s="270"/>
      <c r="I334" s="270"/>
      <c r="J334" s="270"/>
      <c r="K334" s="270"/>
    </row>
    <row r="335" ht="15.75" customHeight="1">
      <c r="D335" s="270"/>
      <c r="E335" s="270"/>
      <c r="F335" s="270"/>
      <c r="G335" s="270"/>
      <c r="H335" s="270"/>
      <c r="I335" s="270"/>
      <c r="J335" s="270"/>
      <c r="K335" s="270"/>
    </row>
    <row r="336" ht="15.75" customHeight="1">
      <c r="D336" s="270"/>
      <c r="E336" s="270"/>
      <c r="F336" s="270"/>
      <c r="G336" s="270"/>
      <c r="H336" s="270"/>
      <c r="I336" s="270"/>
      <c r="J336" s="270"/>
      <c r="K336" s="270"/>
    </row>
    <row r="337" ht="15.75" customHeight="1">
      <c r="D337" s="270"/>
      <c r="E337" s="270"/>
      <c r="F337" s="270"/>
      <c r="G337" s="270"/>
      <c r="H337" s="270"/>
      <c r="I337" s="270"/>
      <c r="J337" s="270"/>
      <c r="K337" s="270"/>
    </row>
    <row r="338" ht="15.75" customHeight="1">
      <c r="D338" s="270"/>
      <c r="E338" s="270"/>
      <c r="F338" s="270"/>
      <c r="G338" s="270"/>
      <c r="H338" s="270"/>
      <c r="I338" s="270"/>
      <c r="J338" s="270"/>
      <c r="K338" s="270"/>
    </row>
    <row r="339" ht="15.75" customHeight="1">
      <c r="D339" s="270"/>
      <c r="E339" s="270"/>
      <c r="F339" s="270"/>
      <c r="G339" s="270"/>
      <c r="H339" s="270"/>
      <c r="I339" s="270"/>
      <c r="J339" s="270"/>
      <c r="K339" s="270"/>
    </row>
    <row r="340" ht="15.75" customHeight="1">
      <c r="D340" s="270"/>
      <c r="E340" s="270"/>
      <c r="F340" s="270"/>
      <c r="G340" s="270"/>
      <c r="H340" s="270"/>
      <c r="I340" s="270"/>
      <c r="J340" s="270"/>
      <c r="K340" s="270"/>
    </row>
    <row r="341" ht="15.75" customHeight="1">
      <c r="D341" s="270"/>
      <c r="E341" s="270"/>
      <c r="F341" s="270"/>
      <c r="G341" s="270"/>
      <c r="H341" s="270"/>
      <c r="I341" s="270"/>
      <c r="J341" s="270"/>
      <c r="K341" s="270"/>
    </row>
    <row r="342" ht="15.75" customHeight="1">
      <c r="D342" s="270"/>
      <c r="E342" s="270"/>
      <c r="F342" s="270"/>
      <c r="G342" s="270"/>
      <c r="H342" s="270"/>
      <c r="I342" s="270"/>
      <c r="J342" s="270"/>
      <c r="K342" s="270"/>
    </row>
    <row r="343" ht="15.75" customHeight="1">
      <c r="D343" s="270"/>
      <c r="E343" s="270"/>
      <c r="F343" s="270"/>
      <c r="G343" s="270"/>
      <c r="H343" s="270"/>
      <c r="I343" s="270"/>
      <c r="J343" s="270"/>
      <c r="K343" s="270"/>
    </row>
    <row r="344" ht="15.75" customHeight="1">
      <c r="D344" s="270"/>
      <c r="E344" s="270"/>
      <c r="F344" s="270"/>
      <c r="G344" s="270"/>
      <c r="H344" s="270"/>
      <c r="I344" s="270"/>
      <c r="J344" s="270"/>
      <c r="K344" s="270"/>
    </row>
    <row r="345" ht="15.75" customHeight="1">
      <c r="D345" s="270"/>
      <c r="E345" s="270"/>
      <c r="F345" s="270"/>
      <c r="G345" s="270"/>
      <c r="H345" s="270"/>
      <c r="I345" s="270"/>
      <c r="J345" s="270"/>
      <c r="K345" s="270"/>
    </row>
    <row r="346" ht="15.75" customHeight="1">
      <c r="D346" s="270"/>
      <c r="E346" s="270"/>
      <c r="F346" s="270"/>
      <c r="G346" s="270"/>
      <c r="H346" s="270"/>
      <c r="I346" s="270"/>
      <c r="J346" s="270"/>
      <c r="K346" s="270"/>
    </row>
    <row r="347" ht="15.75" customHeight="1">
      <c r="D347" s="270"/>
      <c r="E347" s="270"/>
      <c r="F347" s="270"/>
      <c r="G347" s="270"/>
      <c r="H347" s="270"/>
      <c r="I347" s="270"/>
      <c r="J347" s="270"/>
      <c r="K347" s="270"/>
    </row>
    <row r="348" ht="15.75" customHeight="1">
      <c r="D348" s="270"/>
      <c r="E348" s="270"/>
      <c r="F348" s="270"/>
      <c r="G348" s="270"/>
      <c r="H348" s="270"/>
      <c r="I348" s="270"/>
      <c r="J348" s="270"/>
      <c r="K348" s="270"/>
    </row>
    <row r="349" ht="15.75" customHeight="1">
      <c r="D349" s="270"/>
      <c r="E349" s="270"/>
      <c r="F349" s="270"/>
      <c r="G349" s="270"/>
      <c r="H349" s="270"/>
      <c r="I349" s="270"/>
      <c r="J349" s="270"/>
      <c r="K349" s="270"/>
    </row>
    <row r="350" ht="15.75" customHeight="1">
      <c r="D350" s="270"/>
      <c r="E350" s="270"/>
      <c r="F350" s="270"/>
      <c r="G350" s="270"/>
      <c r="H350" s="270"/>
      <c r="I350" s="270"/>
      <c r="J350" s="270"/>
      <c r="K350" s="270"/>
    </row>
    <row r="351" ht="15.75" customHeight="1">
      <c r="D351" s="270"/>
      <c r="E351" s="270"/>
      <c r="F351" s="270"/>
      <c r="G351" s="270"/>
      <c r="H351" s="270"/>
      <c r="I351" s="270"/>
      <c r="J351" s="270"/>
      <c r="K351" s="270"/>
    </row>
    <row r="352" ht="15.75" customHeight="1">
      <c r="D352" s="270"/>
      <c r="E352" s="270"/>
      <c r="F352" s="270"/>
      <c r="G352" s="270"/>
      <c r="H352" s="270"/>
      <c r="I352" s="270"/>
      <c r="J352" s="270"/>
      <c r="K352" s="270"/>
    </row>
    <row r="353" ht="15.75" customHeight="1">
      <c r="D353" s="270"/>
      <c r="E353" s="270"/>
      <c r="F353" s="270"/>
      <c r="G353" s="270"/>
      <c r="H353" s="270"/>
      <c r="I353" s="270"/>
      <c r="J353" s="270"/>
      <c r="K353" s="270"/>
    </row>
    <row r="354" ht="15.75" customHeight="1">
      <c r="D354" s="270"/>
      <c r="E354" s="270"/>
      <c r="F354" s="270"/>
      <c r="G354" s="270"/>
      <c r="H354" s="270"/>
      <c r="I354" s="270"/>
      <c r="J354" s="270"/>
      <c r="K354" s="270"/>
    </row>
    <row r="355" ht="15.75" customHeight="1">
      <c r="D355" s="270"/>
      <c r="E355" s="270"/>
      <c r="F355" s="270"/>
      <c r="G355" s="270"/>
      <c r="H355" s="270"/>
      <c r="I355" s="270"/>
      <c r="J355" s="270"/>
      <c r="K355" s="270"/>
    </row>
    <row r="356" ht="15.75" customHeight="1">
      <c r="D356" s="270"/>
      <c r="E356" s="270"/>
      <c r="F356" s="270"/>
      <c r="G356" s="270"/>
      <c r="H356" s="270"/>
      <c r="I356" s="270"/>
      <c r="J356" s="270"/>
      <c r="K356" s="270"/>
    </row>
    <row r="357" ht="15.75" customHeight="1">
      <c r="D357" s="270"/>
      <c r="E357" s="270"/>
      <c r="F357" s="270"/>
      <c r="G357" s="270"/>
      <c r="H357" s="270"/>
      <c r="I357" s="270"/>
      <c r="J357" s="270"/>
      <c r="K357" s="270"/>
    </row>
    <row r="358" ht="15.75" customHeight="1">
      <c r="D358" s="270"/>
      <c r="E358" s="270"/>
      <c r="F358" s="270"/>
      <c r="G358" s="270"/>
      <c r="H358" s="270"/>
      <c r="I358" s="270"/>
      <c r="J358" s="270"/>
      <c r="K358" s="270"/>
    </row>
    <row r="359" ht="15.75" customHeight="1">
      <c r="D359" s="270"/>
      <c r="E359" s="270"/>
      <c r="F359" s="270"/>
      <c r="G359" s="270"/>
      <c r="H359" s="270"/>
      <c r="I359" s="270"/>
      <c r="J359" s="270"/>
      <c r="K359" s="270"/>
    </row>
    <row r="360" ht="15.75" customHeight="1">
      <c r="D360" s="270"/>
      <c r="E360" s="270"/>
      <c r="F360" s="270"/>
      <c r="G360" s="270"/>
      <c r="H360" s="270"/>
      <c r="I360" s="270"/>
      <c r="J360" s="270"/>
      <c r="K360" s="270"/>
    </row>
    <row r="361" ht="15.75" customHeight="1">
      <c r="D361" s="270"/>
      <c r="E361" s="270"/>
      <c r="F361" s="270"/>
      <c r="G361" s="270"/>
      <c r="H361" s="270"/>
      <c r="I361" s="270"/>
      <c r="J361" s="270"/>
      <c r="K361" s="270"/>
    </row>
    <row r="362" ht="15.75" customHeight="1">
      <c r="D362" s="270"/>
      <c r="E362" s="270"/>
      <c r="F362" s="270"/>
      <c r="G362" s="270"/>
      <c r="H362" s="270"/>
      <c r="I362" s="270"/>
      <c r="J362" s="270"/>
      <c r="K362" s="270"/>
    </row>
    <row r="363" ht="15.75" customHeight="1">
      <c r="D363" s="270"/>
      <c r="E363" s="270"/>
      <c r="F363" s="270"/>
      <c r="G363" s="270"/>
      <c r="H363" s="270"/>
      <c r="I363" s="270"/>
      <c r="J363" s="270"/>
      <c r="K363" s="270"/>
    </row>
    <row r="364" ht="15.75" customHeight="1">
      <c r="D364" s="270"/>
      <c r="E364" s="270"/>
      <c r="F364" s="270"/>
      <c r="G364" s="270"/>
      <c r="H364" s="270"/>
      <c r="I364" s="270"/>
      <c r="J364" s="270"/>
      <c r="K364" s="270"/>
    </row>
    <row r="365" ht="15.75" customHeight="1">
      <c r="D365" s="270"/>
      <c r="E365" s="270"/>
      <c r="F365" s="270"/>
      <c r="G365" s="270"/>
      <c r="H365" s="270"/>
      <c r="I365" s="270"/>
      <c r="J365" s="270"/>
      <c r="K365" s="270"/>
    </row>
    <row r="366" ht="15.75" customHeight="1">
      <c r="D366" s="270"/>
      <c r="E366" s="270"/>
      <c r="F366" s="270"/>
      <c r="G366" s="270"/>
      <c r="H366" s="270"/>
      <c r="I366" s="270"/>
      <c r="J366" s="270"/>
      <c r="K366" s="270"/>
    </row>
    <row r="367" ht="15.75" customHeight="1">
      <c r="D367" s="270"/>
      <c r="E367" s="270"/>
      <c r="F367" s="270"/>
      <c r="G367" s="270"/>
      <c r="H367" s="270"/>
      <c r="I367" s="270"/>
      <c r="J367" s="270"/>
      <c r="K367" s="270"/>
    </row>
    <row r="368" ht="15.75" customHeight="1">
      <c r="D368" s="270"/>
      <c r="E368" s="270"/>
      <c r="F368" s="270"/>
      <c r="G368" s="270"/>
      <c r="H368" s="270"/>
      <c r="I368" s="270"/>
      <c r="J368" s="270"/>
      <c r="K368" s="270"/>
    </row>
    <row r="369" ht="15.75" customHeight="1">
      <c r="D369" s="270"/>
      <c r="E369" s="270"/>
      <c r="F369" s="270"/>
      <c r="G369" s="270"/>
      <c r="H369" s="270"/>
      <c r="I369" s="270"/>
      <c r="J369" s="270"/>
      <c r="K369" s="270"/>
    </row>
    <row r="370" ht="15.75" customHeight="1">
      <c r="D370" s="270"/>
      <c r="E370" s="270"/>
      <c r="F370" s="270"/>
      <c r="G370" s="270"/>
      <c r="H370" s="270"/>
      <c r="I370" s="270"/>
      <c r="J370" s="270"/>
      <c r="K370" s="270"/>
    </row>
    <row r="371" ht="15.75" customHeight="1">
      <c r="D371" s="270"/>
      <c r="E371" s="270"/>
      <c r="F371" s="270"/>
      <c r="G371" s="270"/>
      <c r="H371" s="270"/>
      <c r="I371" s="270"/>
      <c r="J371" s="270"/>
      <c r="K371" s="270"/>
    </row>
    <row r="372" ht="15.75" customHeight="1">
      <c r="D372" s="270"/>
      <c r="E372" s="270"/>
      <c r="F372" s="270"/>
      <c r="G372" s="270"/>
      <c r="H372" s="270"/>
      <c r="I372" s="270"/>
      <c r="J372" s="270"/>
      <c r="K372" s="270"/>
    </row>
    <row r="373" ht="15.75" customHeight="1">
      <c r="D373" s="270"/>
      <c r="E373" s="270"/>
      <c r="F373" s="270"/>
      <c r="G373" s="270"/>
      <c r="H373" s="270"/>
      <c r="I373" s="270"/>
      <c r="J373" s="270"/>
      <c r="K373" s="270"/>
    </row>
    <row r="374" ht="15.75" customHeight="1">
      <c r="D374" s="270"/>
      <c r="E374" s="270"/>
      <c r="F374" s="270"/>
      <c r="G374" s="270"/>
      <c r="H374" s="270"/>
      <c r="I374" s="270"/>
      <c r="J374" s="270"/>
      <c r="K374" s="270"/>
    </row>
    <row r="375" ht="15.75" customHeight="1">
      <c r="D375" s="270"/>
      <c r="E375" s="270"/>
      <c r="F375" s="270"/>
      <c r="G375" s="270"/>
      <c r="H375" s="270"/>
      <c r="I375" s="270"/>
      <c r="J375" s="270"/>
      <c r="K375" s="270"/>
    </row>
    <row r="376" ht="15.75" customHeight="1">
      <c r="D376" s="270"/>
      <c r="E376" s="270"/>
      <c r="F376" s="270"/>
      <c r="G376" s="270"/>
      <c r="H376" s="270"/>
      <c r="I376" s="270"/>
      <c r="J376" s="270"/>
      <c r="K376" s="270"/>
    </row>
    <row r="377" ht="15.75" customHeight="1">
      <c r="D377" s="270"/>
      <c r="E377" s="270"/>
      <c r="F377" s="270"/>
      <c r="G377" s="270"/>
      <c r="H377" s="270"/>
      <c r="I377" s="270"/>
      <c r="J377" s="270"/>
      <c r="K377" s="270"/>
    </row>
    <row r="378" ht="15.75" customHeight="1">
      <c r="D378" s="270"/>
      <c r="E378" s="270"/>
      <c r="F378" s="270"/>
      <c r="G378" s="270"/>
      <c r="H378" s="270"/>
      <c r="I378" s="270"/>
      <c r="J378" s="270"/>
      <c r="K378" s="270"/>
    </row>
    <row r="379" ht="15.75" customHeight="1">
      <c r="D379" s="270"/>
      <c r="E379" s="270"/>
      <c r="F379" s="270"/>
      <c r="G379" s="270"/>
      <c r="H379" s="270"/>
      <c r="I379" s="270"/>
      <c r="J379" s="270"/>
      <c r="K379" s="270"/>
    </row>
    <row r="380" ht="15.75" customHeight="1">
      <c r="D380" s="270"/>
      <c r="E380" s="270"/>
      <c r="F380" s="270"/>
      <c r="G380" s="270"/>
      <c r="H380" s="270"/>
      <c r="I380" s="270"/>
      <c r="J380" s="270"/>
      <c r="K380" s="270"/>
    </row>
    <row r="381" ht="15.75" customHeight="1">
      <c r="D381" s="270"/>
      <c r="E381" s="270"/>
      <c r="F381" s="270"/>
      <c r="G381" s="270"/>
      <c r="H381" s="270"/>
      <c r="I381" s="270"/>
      <c r="J381" s="270"/>
      <c r="K381" s="270"/>
    </row>
    <row r="382" ht="15.75" customHeight="1">
      <c r="D382" s="270"/>
      <c r="E382" s="270"/>
      <c r="F382" s="270"/>
      <c r="G382" s="270"/>
      <c r="H382" s="270"/>
      <c r="I382" s="270"/>
      <c r="J382" s="270"/>
      <c r="K382" s="270"/>
    </row>
    <row r="383" ht="15.75" customHeight="1">
      <c r="D383" s="270"/>
      <c r="E383" s="270"/>
      <c r="F383" s="270"/>
      <c r="G383" s="270"/>
      <c r="H383" s="270"/>
      <c r="I383" s="270"/>
      <c r="J383" s="270"/>
      <c r="K383" s="270"/>
    </row>
    <row r="384" ht="15.75" customHeight="1">
      <c r="D384" s="270"/>
      <c r="E384" s="270"/>
      <c r="F384" s="270"/>
      <c r="G384" s="270"/>
      <c r="H384" s="270"/>
      <c r="I384" s="270"/>
      <c r="J384" s="270"/>
      <c r="K384" s="270"/>
    </row>
    <row r="385" ht="15.75" customHeight="1">
      <c r="D385" s="270"/>
      <c r="E385" s="270"/>
      <c r="F385" s="270"/>
      <c r="G385" s="270"/>
      <c r="H385" s="270"/>
      <c r="I385" s="270"/>
      <c r="J385" s="270"/>
      <c r="K385" s="270"/>
    </row>
    <row r="386" ht="15.75" customHeight="1">
      <c r="D386" s="270"/>
      <c r="E386" s="270"/>
      <c r="F386" s="270"/>
      <c r="G386" s="270"/>
      <c r="H386" s="270"/>
      <c r="I386" s="270"/>
      <c r="J386" s="270"/>
      <c r="K386" s="270"/>
    </row>
    <row r="387" ht="15.75" customHeight="1">
      <c r="D387" s="270"/>
      <c r="E387" s="270"/>
      <c r="F387" s="270"/>
      <c r="G387" s="270"/>
      <c r="H387" s="270"/>
      <c r="I387" s="270"/>
      <c r="J387" s="270"/>
      <c r="K387" s="270"/>
    </row>
    <row r="388" ht="15.75" customHeight="1">
      <c r="D388" s="270"/>
      <c r="E388" s="270"/>
      <c r="F388" s="270"/>
      <c r="G388" s="270"/>
      <c r="H388" s="270"/>
      <c r="I388" s="270"/>
      <c r="J388" s="270"/>
      <c r="K388" s="270"/>
    </row>
    <row r="389" ht="15.75" customHeight="1">
      <c r="D389" s="270"/>
      <c r="E389" s="270"/>
      <c r="F389" s="270"/>
      <c r="G389" s="270"/>
      <c r="H389" s="270"/>
      <c r="I389" s="270"/>
      <c r="J389" s="270"/>
      <c r="K389" s="270"/>
    </row>
    <row r="390" ht="15.75" customHeight="1">
      <c r="D390" s="270"/>
      <c r="E390" s="270"/>
      <c r="F390" s="270"/>
      <c r="G390" s="270"/>
      <c r="H390" s="270"/>
      <c r="I390" s="270"/>
      <c r="J390" s="270"/>
      <c r="K390" s="270"/>
    </row>
    <row r="391" ht="15.75" customHeight="1">
      <c r="D391" s="270"/>
      <c r="E391" s="270"/>
      <c r="F391" s="270"/>
      <c r="G391" s="270"/>
      <c r="H391" s="270"/>
      <c r="I391" s="270"/>
      <c r="J391" s="270"/>
      <c r="K391" s="270"/>
    </row>
    <row r="392" ht="15.75" customHeight="1">
      <c r="D392" s="270"/>
      <c r="E392" s="270"/>
      <c r="F392" s="270"/>
      <c r="G392" s="270"/>
      <c r="H392" s="270"/>
      <c r="I392" s="270"/>
      <c r="J392" s="270"/>
      <c r="K392" s="270"/>
    </row>
    <row r="393" ht="15.75" customHeight="1">
      <c r="D393" s="270"/>
      <c r="E393" s="270"/>
      <c r="F393" s="270"/>
      <c r="G393" s="270"/>
      <c r="H393" s="270"/>
      <c r="I393" s="270"/>
      <c r="J393" s="270"/>
      <c r="K393" s="270"/>
    </row>
    <row r="394" ht="15.75" customHeight="1">
      <c r="D394" s="270"/>
      <c r="E394" s="270"/>
      <c r="F394" s="270"/>
      <c r="G394" s="270"/>
      <c r="H394" s="270"/>
      <c r="I394" s="270"/>
      <c r="J394" s="270"/>
      <c r="K394" s="270"/>
    </row>
    <row r="395" ht="15.75" customHeight="1">
      <c r="D395" s="270"/>
      <c r="E395" s="270"/>
      <c r="F395" s="270"/>
      <c r="G395" s="270"/>
      <c r="H395" s="270"/>
      <c r="I395" s="270"/>
      <c r="J395" s="270"/>
      <c r="K395" s="270"/>
    </row>
    <row r="396" ht="15.75" customHeight="1">
      <c r="D396" s="270"/>
      <c r="E396" s="270"/>
      <c r="F396" s="270"/>
      <c r="G396" s="270"/>
      <c r="H396" s="270"/>
      <c r="I396" s="270"/>
      <c r="J396" s="270"/>
      <c r="K396" s="270"/>
    </row>
    <row r="397" ht="15.75" customHeight="1">
      <c r="D397" s="270"/>
      <c r="E397" s="270"/>
      <c r="F397" s="270"/>
      <c r="G397" s="270"/>
      <c r="H397" s="270"/>
      <c r="I397" s="270"/>
      <c r="J397" s="270"/>
      <c r="K397" s="270"/>
    </row>
    <row r="398" ht="15.75" customHeight="1">
      <c r="D398" s="270"/>
      <c r="E398" s="270"/>
      <c r="F398" s="270"/>
      <c r="G398" s="270"/>
      <c r="H398" s="270"/>
      <c r="I398" s="270"/>
      <c r="J398" s="270"/>
      <c r="K398" s="270"/>
    </row>
    <row r="399" ht="15.75" customHeight="1">
      <c r="D399" s="270"/>
      <c r="E399" s="270"/>
      <c r="F399" s="270"/>
      <c r="G399" s="270"/>
      <c r="H399" s="270"/>
      <c r="I399" s="270"/>
      <c r="J399" s="270"/>
      <c r="K399" s="270"/>
    </row>
    <row r="400" ht="15.75" customHeight="1">
      <c r="D400" s="270"/>
      <c r="E400" s="270"/>
      <c r="F400" s="270"/>
      <c r="G400" s="270"/>
      <c r="H400" s="270"/>
      <c r="I400" s="270"/>
      <c r="J400" s="270"/>
      <c r="K400" s="270"/>
    </row>
    <row r="401" ht="15.75" customHeight="1">
      <c r="D401" s="270"/>
      <c r="E401" s="270"/>
      <c r="F401" s="270"/>
      <c r="G401" s="270"/>
      <c r="H401" s="270"/>
      <c r="I401" s="270"/>
      <c r="J401" s="270"/>
      <c r="K401" s="270"/>
    </row>
    <row r="402" ht="15.75" customHeight="1">
      <c r="D402" s="270"/>
      <c r="E402" s="270"/>
      <c r="F402" s="270"/>
      <c r="G402" s="270"/>
      <c r="H402" s="270"/>
      <c r="I402" s="270"/>
      <c r="J402" s="270"/>
      <c r="K402" s="270"/>
    </row>
    <row r="403" ht="15.75" customHeight="1">
      <c r="D403" s="270"/>
      <c r="E403" s="270"/>
      <c r="F403" s="270"/>
      <c r="G403" s="270"/>
      <c r="H403" s="270"/>
      <c r="I403" s="270"/>
      <c r="J403" s="270"/>
      <c r="K403" s="270"/>
    </row>
    <row r="404" ht="15.75" customHeight="1">
      <c r="D404" s="270"/>
      <c r="E404" s="270"/>
      <c r="F404" s="270"/>
      <c r="G404" s="270"/>
      <c r="H404" s="270"/>
      <c r="I404" s="270"/>
      <c r="J404" s="270"/>
      <c r="K404" s="270"/>
    </row>
    <row r="405" ht="15.75" customHeight="1">
      <c r="D405" s="270"/>
      <c r="E405" s="270"/>
      <c r="F405" s="270"/>
      <c r="G405" s="270"/>
      <c r="H405" s="270"/>
      <c r="I405" s="270"/>
      <c r="J405" s="270"/>
      <c r="K405" s="270"/>
    </row>
    <row r="406" ht="15.75" customHeight="1">
      <c r="D406" s="270"/>
      <c r="E406" s="270"/>
      <c r="F406" s="270"/>
      <c r="G406" s="270"/>
      <c r="H406" s="270"/>
      <c r="I406" s="270"/>
      <c r="J406" s="270"/>
      <c r="K406" s="270"/>
    </row>
    <row r="407" ht="15.75" customHeight="1">
      <c r="D407" s="270"/>
      <c r="E407" s="270"/>
      <c r="F407" s="270"/>
      <c r="G407" s="270"/>
      <c r="H407" s="270"/>
      <c r="I407" s="270"/>
      <c r="J407" s="270"/>
      <c r="K407" s="270"/>
    </row>
    <row r="408" ht="15.75" customHeight="1">
      <c r="D408" s="270"/>
      <c r="E408" s="270"/>
      <c r="F408" s="270"/>
      <c r="G408" s="270"/>
      <c r="H408" s="270"/>
      <c r="I408" s="270"/>
      <c r="J408" s="270"/>
      <c r="K408" s="270"/>
    </row>
    <row r="409" ht="15.75" customHeight="1">
      <c r="D409" s="270"/>
      <c r="E409" s="270"/>
      <c r="F409" s="270"/>
      <c r="G409" s="270"/>
      <c r="H409" s="270"/>
      <c r="I409" s="270"/>
      <c r="J409" s="270"/>
      <c r="K409" s="270"/>
    </row>
    <row r="410" ht="15.75" customHeight="1">
      <c r="D410" s="270"/>
      <c r="E410" s="270"/>
      <c r="F410" s="270"/>
      <c r="G410" s="270"/>
      <c r="H410" s="270"/>
      <c r="I410" s="270"/>
      <c r="J410" s="270"/>
      <c r="K410" s="270"/>
    </row>
    <row r="411" ht="15.75" customHeight="1">
      <c r="D411" s="270"/>
      <c r="E411" s="270"/>
      <c r="F411" s="270"/>
      <c r="G411" s="270"/>
      <c r="H411" s="270"/>
      <c r="I411" s="270"/>
      <c r="J411" s="270"/>
      <c r="K411" s="270"/>
    </row>
    <row r="412" ht="15.75" customHeight="1">
      <c r="D412" s="270"/>
      <c r="E412" s="270"/>
      <c r="F412" s="270"/>
      <c r="G412" s="270"/>
      <c r="H412" s="270"/>
      <c r="I412" s="270"/>
      <c r="J412" s="270"/>
      <c r="K412" s="270"/>
    </row>
    <row r="413" ht="15.75" customHeight="1">
      <c r="D413" s="270"/>
      <c r="E413" s="270"/>
      <c r="F413" s="270"/>
      <c r="G413" s="270"/>
      <c r="H413" s="270"/>
      <c r="I413" s="270"/>
      <c r="J413" s="270"/>
      <c r="K413" s="270"/>
    </row>
    <row r="414" ht="15.75" customHeight="1">
      <c r="D414" s="270"/>
      <c r="E414" s="270"/>
      <c r="F414" s="270"/>
      <c r="G414" s="270"/>
      <c r="H414" s="270"/>
      <c r="I414" s="270"/>
      <c r="J414" s="270"/>
      <c r="K414" s="270"/>
    </row>
    <row r="415" ht="15.75" customHeight="1">
      <c r="D415" s="270"/>
      <c r="E415" s="270"/>
      <c r="F415" s="270"/>
      <c r="G415" s="270"/>
      <c r="H415" s="270"/>
      <c r="I415" s="270"/>
      <c r="J415" s="270"/>
      <c r="K415" s="270"/>
    </row>
    <row r="416" ht="15.75" customHeight="1">
      <c r="D416" s="270"/>
      <c r="E416" s="270"/>
      <c r="F416" s="270"/>
      <c r="G416" s="270"/>
      <c r="H416" s="270"/>
      <c r="I416" s="270"/>
      <c r="J416" s="270"/>
      <c r="K416" s="270"/>
    </row>
    <row r="417" ht="15.75" customHeight="1">
      <c r="D417" s="270"/>
      <c r="E417" s="270"/>
      <c r="F417" s="270"/>
      <c r="G417" s="270"/>
      <c r="H417" s="270"/>
      <c r="I417" s="270"/>
      <c r="J417" s="270"/>
      <c r="K417" s="270"/>
    </row>
    <row r="418" ht="15.75" customHeight="1">
      <c r="D418" s="270"/>
      <c r="E418" s="270"/>
      <c r="F418" s="270"/>
      <c r="G418" s="270"/>
      <c r="H418" s="270"/>
      <c r="I418" s="270"/>
      <c r="J418" s="270"/>
      <c r="K418" s="270"/>
    </row>
    <row r="419" ht="15.75" customHeight="1">
      <c r="D419" s="270"/>
      <c r="E419" s="270"/>
      <c r="F419" s="270"/>
      <c r="G419" s="270"/>
      <c r="H419" s="270"/>
      <c r="I419" s="270"/>
      <c r="J419" s="270"/>
      <c r="K419" s="270"/>
    </row>
    <row r="420" ht="15.75" customHeight="1">
      <c r="D420" s="270"/>
      <c r="E420" s="270"/>
      <c r="F420" s="270"/>
      <c r="G420" s="270"/>
      <c r="H420" s="270"/>
      <c r="I420" s="270"/>
      <c r="J420" s="270"/>
      <c r="K420" s="270"/>
    </row>
    <row r="421" ht="15.75" customHeight="1">
      <c r="D421" s="270"/>
      <c r="E421" s="270"/>
      <c r="F421" s="270"/>
      <c r="G421" s="270"/>
      <c r="H421" s="270"/>
      <c r="I421" s="270"/>
      <c r="J421" s="270"/>
      <c r="K421" s="270"/>
    </row>
    <row r="422" ht="15.75" customHeight="1">
      <c r="D422" s="270"/>
      <c r="E422" s="270"/>
      <c r="F422" s="270"/>
      <c r="G422" s="270"/>
      <c r="H422" s="270"/>
      <c r="I422" s="270"/>
      <c r="J422" s="270"/>
      <c r="K422" s="270"/>
    </row>
    <row r="423" ht="15.75" customHeight="1">
      <c r="D423" s="270"/>
      <c r="E423" s="270"/>
      <c r="F423" s="270"/>
      <c r="G423" s="270"/>
      <c r="H423" s="270"/>
      <c r="I423" s="270"/>
      <c r="J423" s="270"/>
      <c r="K423" s="270"/>
    </row>
    <row r="424" ht="15.75" customHeight="1">
      <c r="D424" s="270"/>
      <c r="E424" s="270"/>
      <c r="F424" s="270"/>
      <c r="G424" s="270"/>
      <c r="H424" s="270"/>
      <c r="I424" s="270"/>
      <c r="J424" s="270"/>
      <c r="K424" s="270"/>
    </row>
    <row r="425" ht="15.75" customHeight="1">
      <c r="D425" s="270"/>
      <c r="E425" s="270"/>
      <c r="F425" s="270"/>
      <c r="G425" s="270"/>
      <c r="H425" s="270"/>
      <c r="I425" s="270"/>
      <c r="J425" s="270"/>
      <c r="K425" s="270"/>
    </row>
    <row r="426" ht="15.75" customHeight="1">
      <c r="D426" s="270"/>
      <c r="E426" s="270"/>
      <c r="F426" s="270"/>
      <c r="G426" s="270"/>
      <c r="H426" s="270"/>
      <c r="I426" s="270"/>
      <c r="J426" s="270"/>
      <c r="K426" s="270"/>
    </row>
    <row r="427" ht="15.75" customHeight="1">
      <c r="D427" s="270"/>
      <c r="E427" s="270"/>
      <c r="F427" s="270"/>
      <c r="G427" s="270"/>
      <c r="H427" s="270"/>
      <c r="I427" s="270"/>
      <c r="J427" s="270"/>
      <c r="K427" s="270"/>
    </row>
    <row r="428" ht="15.75" customHeight="1">
      <c r="D428" s="270"/>
      <c r="E428" s="270"/>
      <c r="F428" s="270"/>
      <c r="G428" s="270"/>
      <c r="H428" s="270"/>
      <c r="I428" s="270"/>
      <c r="J428" s="270"/>
      <c r="K428" s="270"/>
    </row>
    <row r="429" ht="15.75" customHeight="1">
      <c r="D429" s="270"/>
      <c r="E429" s="270"/>
      <c r="F429" s="270"/>
      <c r="G429" s="270"/>
      <c r="H429" s="270"/>
      <c r="I429" s="270"/>
      <c r="J429" s="270"/>
      <c r="K429" s="270"/>
    </row>
    <row r="430" ht="15.75" customHeight="1">
      <c r="D430" s="270"/>
      <c r="E430" s="270"/>
      <c r="F430" s="270"/>
      <c r="G430" s="270"/>
      <c r="H430" s="270"/>
      <c r="I430" s="270"/>
      <c r="J430" s="270"/>
      <c r="K430" s="270"/>
    </row>
    <row r="431" ht="15.75" customHeight="1">
      <c r="D431" s="270"/>
      <c r="E431" s="270"/>
      <c r="F431" s="270"/>
      <c r="G431" s="270"/>
      <c r="H431" s="270"/>
      <c r="I431" s="270"/>
      <c r="J431" s="270"/>
      <c r="K431" s="270"/>
    </row>
    <row r="432" ht="15.75" customHeight="1">
      <c r="D432" s="270"/>
      <c r="E432" s="270"/>
      <c r="F432" s="270"/>
      <c r="G432" s="270"/>
      <c r="H432" s="270"/>
      <c r="I432" s="270"/>
      <c r="J432" s="270"/>
      <c r="K432" s="270"/>
    </row>
    <row r="433" ht="15.75" customHeight="1">
      <c r="D433" s="270"/>
      <c r="E433" s="270"/>
      <c r="F433" s="270"/>
      <c r="G433" s="270"/>
      <c r="H433" s="270"/>
      <c r="I433" s="270"/>
      <c r="J433" s="270"/>
      <c r="K433" s="270"/>
    </row>
    <row r="434" ht="15.75" customHeight="1">
      <c r="D434" s="270"/>
      <c r="E434" s="270"/>
      <c r="F434" s="270"/>
      <c r="G434" s="270"/>
      <c r="H434" s="270"/>
      <c r="I434" s="270"/>
      <c r="J434" s="270"/>
      <c r="K434" s="270"/>
    </row>
    <row r="435" ht="15.75" customHeight="1">
      <c r="D435" s="270"/>
      <c r="E435" s="270"/>
      <c r="F435" s="270"/>
      <c r="G435" s="270"/>
      <c r="H435" s="270"/>
      <c r="I435" s="270"/>
      <c r="J435" s="270"/>
      <c r="K435" s="270"/>
    </row>
    <row r="436" ht="15.75" customHeight="1">
      <c r="D436" s="270"/>
      <c r="E436" s="270"/>
      <c r="F436" s="270"/>
      <c r="G436" s="270"/>
      <c r="H436" s="270"/>
      <c r="I436" s="270"/>
      <c r="J436" s="270"/>
      <c r="K436" s="270"/>
    </row>
    <row r="437" ht="15.75" customHeight="1">
      <c r="D437" s="270"/>
      <c r="E437" s="270"/>
      <c r="F437" s="270"/>
      <c r="G437" s="270"/>
      <c r="H437" s="270"/>
      <c r="I437" s="270"/>
      <c r="J437" s="270"/>
      <c r="K437" s="270"/>
    </row>
    <row r="438" ht="15.75" customHeight="1">
      <c r="D438" s="270"/>
      <c r="E438" s="270"/>
      <c r="F438" s="270"/>
      <c r="G438" s="270"/>
      <c r="H438" s="270"/>
      <c r="I438" s="270"/>
      <c r="J438" s="270"/>
      <c r="K438" s="270"/>
    </row>
    <row r="439" ht="15.75" customHeight="1">
      <c r="D439" s="270"/>
      <c r="E439" s="270"/>
      <c r="F439" s="270"/>
      <c r="G439" s="270"/>
      <c r="H439" s="270"/>
      <c r="I439" s="270"/>
      <c r="J439" s="270"/>
      <c r="K439" s="270"/>
    </row>
    <row r="440" ht="15.75" customHeight="1">
      <c r="D440" s="270"/>
      <c r="E440" s="270"/>
      <c r="F440" s="270"/>
      <c r="G440" s="270"/>
      <c r="H440" s="270"/>
      <c r="I440" s="270"/>
      <c r="J440" s="270"/>
      <c r="K440" s="270"/>
    </row>
    <row r="441" ht="15.75" customHeight="1">
      <c r="D441" s="270"/>
      <c r="E441" s="270"/>
      <c r="F441" s="270"/>
      <c r="G441" s="270"/>
      <c r="H441" s="270"/>
      <c r="I441" s="270"/>
      <c r="J441" s="270"/>
      <c r="K441" s="270"/>
    </row>
    <row r="442" ht="15.75" customHeight="1">
      <c r="D442" s="270"/>
      <c r="E442" s="270"/>
      <c r="F442" s="270"/>
      <c r="G442" s="270"/>
      <c r="H442" s="270"/>
      <c r="I442" s="270"/>
      <c r="J442" s="270"/>
      <c r="K442" s="270"/>
    </row>
    <row r="443" ht="15.75" customHeight="1">
      <c r="D443" s="270"/>
      <c r="E443" s="270"/>
      <c r="F443" s="270"/>
      <c r="G443" s="270"/>
      <c r="H443" s="270"/>
      <c r="I443" s="270"/>
      <c r="J443" s="270"/>
      <c r="K443" s="270"/>
    </row>
    <row r="444" ht="15.75" customHeight="1">
      <c r="D444" s="270"/>
      <c r="E444" s="270"/>
      <c r="F444" s="270"/>
      <c r="G444" s="270"/>
      <c r="H444" s="270"/>
      <c r="I444" s="270"/>
      <c r="J444" s="270"/>
      <c r="K444" s="270"/>
    </row>
    <row r="445" ht="15.75" customHeight="1">
      <c r="D445" s="270"/>
      <c r="E445" s="270"/>
      <c r="F445" s="270"/>
      <c r="G445" s="270"/>
      <c r="H445" s="270"/>
      <c r="I445" s="270"/>
      <c r="J445" s="270"/>
      <c r="K445" s="270"/>
    </row>
    <row r="446" ht="15.75" customHeight="1">
      <c r="D446" s="270"/>
      <c r="E446" s="270"/>
      <c r="F446" s="270"/>
      <c r="G446" s="270"/>
      <c r="H446" s="270"/>
      <c r="I446" s="270"/>
      <c r="J446" s="270"/>
      <c r="K446" s="270"/>
    </row>
    <row r="447" ht="15.75" customHeight="1">
      <c r="D447" s="270"/>
      <c r="E447" s="270"/>
      <c r="F447" s="270"/>
      <c r="G447" s="270"/>
      <c r="H447" s="270"/>
      <c r="I447" s="270"/>
      <c r="J447" s="270"/>
      <c r="K447" s="270"/>
    </row>
    <row r="448" ht="15.75" customHeight="1">
      <c r="D448" s="270"/>
      <c r="E448" s="270"/>
      <c r="F448" s="270"/>
      <c r="G448" s="270"/>
      <c r="H448" s="270"/>
      <c r="I448" s="270"/>
      <c r="J448" s="270"/>
      <c r="K448" s="270"/>
    </row>
    <row r="449" ht="15.75" customHeight="1">
      <c r="D449" s="270"/>
      <c r="E449" s="270"/>
      <c r="F449" s="270"/>
      <c r="G449" s="270"/>
      <c r="H449" s="270"/>
      <c r="I449" s="270"/>
      <c r="J449" s="270"/>
      <c r="K449" s="270"/>
    </row>
    <row r="450" ht="15.75" customHeight="1">
      <c r="D450" s="270"/>
      <c r="E450" s="270"/>
      <c r="F450" s="270"/>
      <c r="G450" s="270"/>
      <c r="H450" s="270"/>
      <c r="I450" s="270"/>
      <c r="J450" s="270"/>
      <c r="K450" s="270"/>
    </row>
    <row r="451" ht="15.75" customHeight="1">
      <c r="D451" s="270"/>
      <c r="E451" s="270"/>
      <c r="F451" s="270"/>
      <c r="G451" s="270"/>
      <c r="H451" s="270"/>
      <c r="I451" s="270"/>
      <c r="J451" s="270"/>
      <c r="K451" s="270"/>
    </row>
    <row r="452" ht="15.75" customHeight="1">
      <c r="D452" s="270"/>
      <c r="E452" s="270"/>
      <c r="F452" s="270"/>
      <c r="G452" s="270"/>
      <c r="H452" s="270"/>
      <c r="I452" s="270"/>
      <c r="J452" s="270"/>
      <c r="K452" s="270"/>
    </row>
    <row r="453" ht="15.75" customHeight="1">
      <c r="D453" s="270"/>
      <c r="E453" s="270"/>
      <c r="F453" s="270"/>
      <c r="G453" s="270"/>
      <c r="H453" s="270"/>
      <c r="I453" s="270"/>
      <c r="J453" s="270"/>
      <c r="K453" s="270"/>
    </row>
    <row r="454" ht="15.75" customHeight="1">
      <c r="D454" s="270"/>
      <c r="E454" s="270"/>
      <c r="F454" s="270"/>
      <c r="G454" s="270"/>
      <c r="H454" s="270"/>
      <c r="I454" s="270"/>
      <c r="J454" s="270"/>
      <c r="K454" s="270"/>
    </row>
    <row r="455" ht="15.75" customHeight="1">
      <c r="D455" s="270"/>
      <c r="E455" s="270"/>
      <c r="F455" s="270"/>
      <c r="G455" s="270"/>
      <c r="H455" s="270"/>
      <c r="I455" s="270"/>
      <c r="J455" s="270"/>
      <c r="K455" s="270"/>
    </row>
    <row r="456" ht="15.75" customHeight="1">
      <c r="D456" s="270"/>
      <c r="E456" s="270"/>
      <c r="F456" s="270"/>
      <c r="G456" s="270"/>
      <c r="H456" s="270"/>
      <c r="I456" s="270"/>
      <c r="J456" s="270"/>
      <c r="K456" s="270"/>
    </row>
    <row r="457" ht="15.75" customHeight="1">
      <c r="D457" s="270"/>
      <c r="E457" s="270"/>
      <c r="F457" s="270"/>
      <c r="G457" s="270"/>
      <c r="H457" s="270"/>
      <c r="I457" s="270"/>
      <c r="J457" s="270"/>
      <c r="K457" s="270"/>
    </row>
    <row r="458" ht="15.75" customHeight="1">
      <c r="D458" s="270"/>
      <c r="E458" s="270"/>
      <c r="F458" s="270"/>
      <c r="G458" s="270"/>
      <c r="H458" s="270"/>
      <c r="I458" s="270"/>
      <c r="J458" s="270"/>
      <c r="K458" s="270"/>
    </row>
    <row r="459" ht="15.75" customHeight="1">
      <c r="D459" s="270"/>
      <c r="E459" s="270"/>
      <c r="F459" s="270"/>
      <c r="G459" s="270"/>
      <c r="H459" s="270"/>
      <c r="I459" s="270"/>
      <c r="J459" s="270"/>
      <c r="K459" s="270"/>
    </row>
    <row r="460" ht="15.75" customHeight="1">
      <c r="D460" s="270"/>
      <c r="E460" s="270"/>
      <c r="F460" s="270"/>
      <c r="G460" s="270"/>
      <c r="H460" s="270"/>
      <c r="I460" s="270"/>
      <c r="J460" s="270"/>
      <c r="K460" s="270"/>
    </row>
    <row r="461" ht="15.75" customHeight="1">
      <c r="D461" s="270"/>
      <c r="E461" s="270"/>
      <c r="F461" s="270"/>
      <c r="G461" s="270"/>
      <c r="H461" s="270"/>
      <c r="I461" s="270"/>
      <c r="J461" s="270"/>
      <c r="K461" s="270"/>
    </row>
    <row r="462" ht="15.75" customHeight="1">
      <c r="D462" s="270"/>
      <c r="E462" s="270"/>
      <c r="F462" s="270"/>
      <c r="G462" s="270"/>
      <c r="H462" s="270"/>
      <c r="I462" s="270"/>
      <c r="J462" s="270"/>
      <c r="K462" s="270"/>
    </row>
    <row r="463" ht="15.75" customHeight="1">
      <c r="D463" s="270"/>
      <c r="E463" s="270"/>
      <c r="F463" s="270"/>
      <c r="G463" s="270"/>
      <c r="H463" s="270"/>
      <c r="I463" s="270"/>
      <c r="J463" s="270"/>
      <c r="K463" s="270"/>
    </row>
    <row r="464" ht="15.75" customHeight="1">
      <c r="D464" s="270"/>
      <c r="E464" s="270"/>
      <c r="F464" s="270"/>
      <c r="G464" s="270"/>
      <c r="H464" s="270"/>
      <c r="I464" s="270"/>
      <c r="J464" s="270"/>
      <c r="K464" s="270"/>
    </row>
    <row r="465" ht="15.75" customHeight="1">
      <c r="D465" s="270"/>
      <c r="E465" s="270"/>
      <c r="F465" s="270"/>
      <c r="G465" s="270"/>
      <c r="H465" s="270"/>
      <c r="I465" s="270"/>
      <c r="J465" s="270"/>
      <c r="K465" s="270"/>
    </row>
    <row r="466" ht="15.75" customHeight="1">
      <c r="D466" s="270"/>
      <c r="E466" s="270"/>
      <c r="F466" s="270"/>
      <c r="G466" s="270"/>
      <c r="H466" s="270"/>
      <c r="I466" s="270"/>
      <c r="J466" s="270"/>
      <c r="K466" s="270"/>
    </row>
    <row r="467" ht="15.75" customHeight="1">
      <c r="D467" s="270"/>
      <c r="E467" s="270"/>
      <c r="F467" s="270"/>
      <c r="G467" s="270"/>
      <c r="H467" s="270"/>
      <c r="I467" s="270"/>
      <c r="J467" s="270"/>
      <c r="K467" s="270"/>
    </row>
    <row r="468" ht="15.75" customHeight="1">
      <c r="D468" s="270"/>
      <c r="E468" s="270"/>
      <c r="F468" s="270"/>
      <c r="G468" s="270"/>
      <c r="H468" s="270"/>
      <c r="I468" s="270"/>
      <c r="J468" s="270"/>
      <c r="K468" s="270"/>
    </row>
    <row r="469" ht="15.75" customHeight="1">
      <c r="D469" s="270"/>
      <c r="E469" s="270"/>
      <c r="F469" s="270"/>
      <c r="G469" s="270"/>
      <c r="H469" s="270"/>
      <c r="I469" s="270"/>
      <c r="J469" s="270"/>
      <c r="K469" s="270"/>
    </row>
    <row r="470" ht="15.75" customHeight="1">
      <c r="D470" s="270"/>
      <c r="E470" s="270"/>
      <c r="F470" s="270"/>
      <c r="G470" s="270"/>
      <c r="H470" s="270"/>
      <c r="I470" s="270"/>
      <c r="J470" s="270"/>
      <c r="K470" s="270"/>
    </row>
    <row r="471" ht="15.75" customHeight="1">
      <c r="D471" s="270"/>
      <c r="E471" s="270"/>
      <c r="F471" s="270"/>
      <c r="G471" s="270"/>
      <c r="H471" s="270"/>
      <c r="I471" s="270"/>
      <c r="J471" s="270"/>
      <c r="K471" s="270"/>
    </row>
    <row r="472" ht="15.75" customHeight="1">
      <c r="D472" s="270"/>
      <c r="E472" s="270"/>
      <c r="F472" s="270"/>
      <c r="G472" s="270"/>
      <c r="H472" s="270"/>
      <c r="I472" s="270"/>
      <c r="J472" s="270"/>
      <c r="K472" s="270"/>
    </row>
    <row r="473" ht="15.75" customHeight="1">
      <c r="D473" s="270"/>
      <c r="E473" s="270"/>
      <c r="F473" s="270"/>
      <c r="G473" s="270"/>
      <c r="H473" s="270"/>
      <c r="I473" s="270"/>
      <c r="J473" s="270"/>
      <c r="K473" s="270"/>
    </row>
    <row r="474" ht="15.75" customHeight="1">
      <c r="D474" s="270"/>
      <c r="E474" s="270"/>
      <c r="F474" s="270"/>
      <c r="G474" s="270"/>
      <c r="H474" s="270"/>
      <c r="I474" s="270"/>
      <c r="J474" s="270"/>
      <c r="K474" s="270"/>
    </row>
    <row r="475" ht="15.75" customHeight="1">
      <c r="D475" s="270"/>
      <c r="E475" s="270"/>
      <c r="F475" s="270"/>
      <c r="G475" s="270"/>
      <c r="H475" s="270"/>
      <c r="I475" s="270"/>
      <c r="J475" s="270"/>
      <c r="K475" s="270"/>
    </row>
    <row r="476" ht="15.75" customHeight="1">
      <c r="D476" s="270"/>
      <c r="E476" s="270"/>
      <c r="F476" s="270"/>
      <c r="G476" s="270"/>
      <c r="H476" s="270"/>
      <c r="I476" s="270"/>
      <c r="J476" s="270"/>
      <c r="K476" s="270"/>
    </row>
    <row r="477" ht="15.75" customHeight="1">
      <c r="D477" s="270"/>
      <c r="E477" s="270"/>
      <c r="F477" s="270"/>
      <c r="G477" s="270"/>
      <c r="H477" s="270"/>
      <c r="I477" s="270"/>
      <c r="J477" s="270"/>
      <c r="K477" s="270"/>
    </row>
    <row r="478" ht="15.75" customHeight="1">
      <c r="D478" s="270"/>
      <c r="E478" s="270"/>
      <c r="F478" s="270"/>
      <c r="G478" s="270"/>
      <c r="H478" s="270"/>
      <c r="I478" s="270"/>
      <c r="J478" s="270"/>
      <c r="K478" s="270"/>
    </row>
    <row r="479" ht="15.75" customHeight="1">
      <c r="D479" s="270"/>
      <c r="E479" s="270"/>
      <c r="F479" s="270"/>
      <c r="G479" s="270"/>
      <c r="H479" s="270"/>
      <c r="I479" s="270"/>
      <c r="J479" s="270"/>
      <c r="K479" s="270"/>
    </row>
    <row r="480" ht="15.75" customHeight="1">
      <c r="D480" s="270"/>
      <c r="E480" s="270"/>
      <c r="F480" s="270"/>
      <c r="G480" s="270"/>
      <c r="H480" s="270"/>
      <c r="I480" s="270"/>
      <c r="J480" s="270"/>
      <c r="K480" s="270"/>
    </row>
    <row r="481" ht="15.75" customHeight="1">
      <c r="D481" s="270"/>
      <c r="E481" s="270"/>
      <c r="F481" s="270"/>
      <c r="G481" s="270"/>
      <c r="H481" s="270"/>
      <c r="I481" s="270"/>
      <c r="J481" s="270"/>
      <c r="K481" s="270"/>
    </row>
    <row r="482" ht="15.75" customHeight="1">
      <c r="D482" s="270"/>
      <c r="E482" s="270"/>
      <c r="F482" s="270"/>
      <c r="G482" s="270"/>
      <c r="H482" s="270"/>
      <c r="I482" s="270"/>
      <c r="J482" s="270"/>
      <c r="K482" s="270"/>
    </row>
    <row r="483" ht="15.75" customHeight="1">
      <c r="D483" s="270"/>
      <c r="E483" s="270"/>
      <c r="F483" s="270"/>
      <c r="G483" s="270"/>
      <c r="H483" s="270"/>
      <c r="I483" s="270"/>
      <c r="J483" s="270"/>
      <c r="K483" s="270"/>
    </row>
    <row r="484" ht="15.75" customHeight="1">
      <c r="D484" s="270"/>
      <c r="E484" s="270"/>
      <c r="F484" s="270"/>
      <c r="G484" s="270"/>
      <c r="H484" s="270"/>
      <c r="I484" s="270"/>
      <c r="J484" s="270"/>
      <c r="K484" s="270"/>
    </row>
    <row r="485" ht="15.75" customHeight="1">
      <c r="D485" s="270"/>
      <c r="E485" s="270"/>
      <c r="F485" s="270"/>
      <c r="G485" s="270"/>
      <c r="H485" s="270"/>
      <c r="I485" s="270"/>
      <c r="J485" s="270"/>
      <c r="K485" s="270"/>
    </row>
    <row r="486" ht="15.75" customHeight="1">
      <c r="D486" s="270"/>
      <c r="E486" s="270"/>
      <c r="F486" s="270"/>
      <c r="G486" s="270"/>
      <c r="H486" s="270"/>
      <c r="I486" s="270"/>
      <c r="J486" s="270"/>
      <c r="K486" s="270"/>
    </row>
    <row r="487" ht="15.75" customHeight="1">
      <c r="D487" s="270"/>
      <c r="E487" s="270"/>
      <c r="F487" s="270"/>
      <c r="G487" s="270"/>
      <c r="H487" s="270"/>
      <c r="I487" s="270"/>
      <c r="J487" s="270"/>
      <c r="K487" s="270"/>
    </row>
    <row r="488" ht="15.75" customHeight="1">
      <c r="D488" s="270"/>
      <c r="E488" s="270"/>
      <c r="F488" s="270"/>
      <c r="G488" s="270"/>
      <c r="H488" s="270"/>
      <c r="I488" s="270"/>
      <c r="J488" s="270"/>
      <c r="K488" s="270"/>
    </row>
    <row r="489" ht="15.75" customHeight="1">
      <c r="D489" s="270"/>
      <c r="E489" s="270"/>
      <c r="F489" s="270"/>
      <c r="G489" s="270"/>
      <c r="H489" s="270"/>
      <c r="I489" s="270"/>
      <c r="J489" s="270"/>
      <c r="K489" s="270"/>
    </row>
    <row r="490" ht="15.75" customHeight="1">
      <c r="D490" s="270"/>
      <c r="E490" s="270"/>
      <c r="F490" s="270"/>
      <c r="G490" s="270"/>
      <c r="H490" s="270"/>
      <c r="I490" s="270"/>
      <c r="J490" s="270"/>
      <c r="K490" s="270"/>
    </row>
    <row r="491" ht="15.75" customHeight="1">
      <c r="D491" s="270"/>
      <c r="E491" s="270"/>
      <c r="F491" s="270"/>
      <c r="G491" s="270"/>
      <c r="H491" s="270"/>
      <c r="I491" s="270"/>
      <c r="J491" s="270"/>
      <c r="K491" s="270"/>
    </row>
    <row r="492" ht="15.75" customHeight="1">
      <c r="D492" s="270"/>
      <c r="E492" s="270"/>
      <c r="F492" s="270"/>
      <c r="G492" s="270"/>
      <c r="H492" s="270"/>
      <c r="I492" s="270"/>
      <c r="J492" s="270"/>
      <c r="K492" s="270"/>
    </row>
    <row r="493" ht="15.75" customHeight="1">
      <c r="D493" s="270"/>
      <c r="E493" s="270"/>
      <c r="F493" s="270"/>
      <c r="G493" s="270"/>
      <c r="H493" s="270"/>
      <c r="I493" s="270"/>
      <c r="J493" s="270"/>
      <c r="K493" s="270"/>
    </row>
    <row r="494" ht="15.75" customHeight="1">
      <c r="D494" s="270"/>
      <c r="E494" s="270"/>
      <c r="F494" s="270"/>
      <c r="G494" s="270"/>
      <c r="H494" s="270"/>
      <c r="I494" s="270"/>
      <c r="J494" s="270"/>
      <c r="K494" s="270"/>
    </row>
    <row r="495" ht="15.75" customHeight="1">
      <c r="D495" s="270"/>
      <c r="E495" s="270"/>
      <c r="F495" s="270"/>
      <c r="G495" s="270"/>
      <c r="H495" s="270"/>
      <c r="I495" s="270"/>
      <c r="J495" s="270"/>
      <c r="K495" s="270"/>
    </row>
    <row r="496" ht="15.75" customHeight="1">
      <c r="D496" s="270"/>
      <c r="E496" s="270"/>
      <c r="F496" s="270"/>
      <c r="G496" s="270"/>
      <c r="H496" s="270"/>
      <c r="I496" s="270"/>
      <c r="J496" s="270"/>
      <c r="K496" s="270"/>
    </row>
    <row r="497" ht="15.75" customHeight="1">
      <c r="D497" s="270"/>
      <c r="E497" s="270"/>
      <c r="F497" s="270"/>
      <c r="G497" s="270"/>
      <c r="H497" s="270"/>
      <c r="I497" s="270"/>
      <c r="J497" s="270"/>
      <c r="K497" s="270"/>
    </row>
    <row r="498" ht="15.75" customHeight="1">
      <c r="D498" s="270"/>
      <c r="E498" s="270"/>
      <c r="F498" s="270"/>
      <c r="G498" s="270"/>
      <c r="H498" s="270"/>
      <c r="I498" s="270"/>
      <c r="J498" s="270"/>
      <c r="K498" s="270"/>
    </row>
    <row r="499" ht="15.75" customHeight="1">
      <c r="D499" s="270"/>
      <c r="E499" s="270"/>
      <c r="F499" s="270"/>
      <c r="G499" s="270"/>
      <c r="H499" s="270"/>
      <c r="I499" s="270"/>
      <c r="J499" s="270"/>
      <c r="K499" s="270"/>
    </row>
    <row r="500" ht="15.75" customHeight="1">
      <c r="D500" s="270"/>
      <c r="E500" s="270"/>
      <c r="F500" s="270"/>
      <c r="G500" s="270"/>
      <c r="H500" s="270"/>
      <c r="I500" s="270"/>
      <c r="J500" s="270"/>
      <c r="K500" s="270"/>
    </row>
    <row r="501" ht="15.75" customHeight="1">
      <c r="D501" s="270"/>
      <c r="E501" s="270"/>
      <c r="F501" s="270"/>
      <c r="G501" s="270"/>
      <c r="H501" s="270"/>
      <c r="I501" s="270"/>
      <c r="J501" s="270"/>
      <c r="K501" s="270"/>
    </row>
    <row r="502" ht="15.75" customHeight="1">
      <c r="D502" s="270"/>
      <c r="E502" s="270"/>
      <c r="F502" s="270"/>
      <c r="G502" s="270"/>
      <c r="H502" s="270"/>
      <c r="I502" s="270"/>
      <c r="J502" s="270"/>
      <c r="K502" s="270"/>
    </row>
    <row r="503" ht="15.75" customHeight="1">
      <c r="D503" s="270"/>
      <c r="E503" s="270"/>
      <c r="F503" s="270"/>
      <c r="G503" s="270"/>
      <c r="H503" s="270"/>
      <c r="I503" s="270"/>
      <c r="J503" s="270"/>
      <c r="K503" s="270"/>
    </row>
    <row r="504" ht="15.75" customHeight="1">
      <c r="D504" s="270"/>
      <c r="E504" s="270"/>
      <c r="F504" s="270"/>
      <c r="G504" s="270"/>
      <c r="H504" s="270"/>
      <c r="I504" s="270"/>
      <c r="J504" s="270"/>
      <c r="K504" s="270"/>
    </row>
    <row r="505" ht="15.75" customHeight="1">
      <c r="D505" s="270"/>
      <c r="E505" s="270"/>
      <c r="F505" s="270"/>
      <c r="G505" s="270"/>
      <c r="H505" s="270"/>
      <c r="I505" s="270"/>
      <c r="J505" s="270"/>
      <c r="K505" s="270"/>
    </row>
    <row r="506" ht="15.75" customHeight="1">
      <c r="D506" s="270"/>
      <c r="E506" s="270"/>
      <c r="F506" s="270"/>
      <c r="G506" s="270"/>
      <c r="H506" s="270"/>
      <c r="I506" s="270"/>
      <c r="J506" s="270"/>
      <c r="K506" s="270"/>
    </row>
    <row r="507" ht="15.75" customHeight="1">
      <c r="D507" s="270"/>
      <c r="E507" s="270"/>
      <c r="F507" s="270"/>
      <c r="G507" s="270"/>
      <c r="H507" s="270"/>
      <c r="I507" s="270"/>
      <c r="J507" s="270"/>
      <c r="K507" s="270"/>
    </row>
    <row r="508" ht="15.75" customHeight="1">
      <c r="D508" s="270"/>
      <c r="E508" s="270"/>
      <c r="F508" s="270"/>
      <c r="G508" s="270"/>
      <c r="H508" s="270"/>
      <c r="I508" s="270"/>
      <c r="J508" s="270"/>
      <c r="K508" s="270"/>
    </row>
    <row r="509" ht="15.75" customHeight="1">
      <c r="D509" s="270"/>
      <c r="E509" s="270"/>
      <c r="F509" s="270"/>
      <c r="G509" s="270"/>
      <c r="H509" s="270"/>
      <c r="I509" s="270"/>
      <c r="J509" s="270"/>
      <c r="K509" s="270"/>
    </row>
    <row r="510" ht="15.75" customHeight="1">
      <c r="D510" s="270"/>
      <c r="E510" s="270"/>
      <c r="F510" s="270"/>
      <c r="G510" s="270"/>
      <c r="H510" s="270"/>
      <c r="I510" s="270"/>
      <c r="J510" s="270"/>
      <c r="K510" s="270"/>
    </row>
    <row r="511" ht="15.75" customHeight="1">
      <c r="D511" s="270"/>
      <c r="E511" s="270"/>
      <c r="F511" s="270"/>
      <c r="G511" s="270"/>
      <c r="H511" s="270"/>
      <c r="I511" s="270"/>
      <c r="J511" s="270"/>
      <c r="K511" s="270"/>
    </row>
    <row r="512" ht="15.75" customHeight="1">
      <c r="D512" s="270"/>
      <c r="E512" s="270"/>
      <c r="F512" s="270"/>
      <c r="G512" s="270"/>
      <c r="H512" s="270"/>
      <c r="I512" s="270"/>
      <c r="J512" s="270"/>
      <c r="K512" s="270"/>
    </row>
    <row r="513" ht="15.75" customHeight="1">
      <c r="D513" s="270"/>
      <c r="E513" s="270"/>
      <c r="F513" s="270"/>
      <c r="G513" s="270"/>
      <c r="H513" s="270"/>
      <c r="I513" s="270"/>
      <c r="J513" s="270"/>
      <c r="K513" s="270"/>
    </row>
    <row r="514" ht="15.75" customHeight="1">
      <c r="D514" s="270"/>
      <c r="E514" s="270"/>
      <c r="F514" s="270"/>
      <c r="G514" s="270"/>
      <c r="H514" s="270"/>
      <c r="I514" s="270"/>
      <c r="J514" s="270"/>
      <c r="K514" s="270"/>
    </row>
    <row r="515" ht="15.75" customHeight="1">
      <c r="D515" s="270"/>
      <c r="E515" s="270"/>
      <c r="F515" s="270"/>
      <c r="G515" s="270"/>
      <c r="H515" s="270"/>
      <c r="I515" s="270"/>
      <c r="J515" s="270"/>
      <c r="K515" s="270"/>
    </row>
    <row r="516" ht="15.75" customHeight="1">
      <c r="D516" s="270"/>
      <c r="E516" s="270"/>
      <c r="F516" s="270"/>
      <c r="G516" s="270"/>
      <c r="H516" s="270"/>
      <c r="I516" s="270"/>
      <c r="J516" s="270"/>
      <c r="K516" s="270"/>
    </row>
    <row r="517" ht="15.75" customHeight="1">
      <c r="D517" s="270"/>
      <c r="E517" s="270"/>
      <c r="F517" s="270"/>
      <c r="G517" s="270"/>
      <c r="H517" s="270"/>
      <c r="I517" s="270"/>
      <c r="J517" s="270"/>
      <c r="K517" s="270"/>
    </row>
    <row r="518" ht="15.75" customHeight="1">
      <c r="D518" s="270"/>
      <c r="E518" s="270"/>
      <c r="F518" s="270"/>
      <c r="G518" s="270"/>
      <c r="H518" s="270"/>
      <c r="I518" s="270"/>
      <c r="J518" s="270"/>
      <c r="K518" s="270"/>
    </row>
    <row r="519" ht="15.75" customHeight="1">
      <c r="D519" s="270"/>
      <c r="E519" s="270"/>
      <c r="F519" s="270"/>
      <c r="G519" s="270"/>
      <c r="H519" s="270"/>
      <c r="I519" s="270"/>
      <c r="J519" s="270"/>
      <c r="K519" s="270"/>
    </row>
    <row r="520" ht="15.75" customHeight="1">
      <c r="D520" s="270"/>
      <c r="E520" s="270"/>
      <c r="F520" s="270"/>
      <c r="G520" s="270"/>
      <c r="H520" s="270"/>
      <c r="I520" s="270"/>
      <c r="J520" s="270"/>
      <c r="K520" s="270"/>
    </row>
    <row r="521" ht="15.75" customHeight="1">
      <c r="D521" s="270"/>
      <c r="E521" s="270"/>
      <c r="F521" s="270"/>
      <c r="G521" s="270"/>
      <c r="H521" s="270"/>
      <c r="I521" s="270"/>
      <c r="J521" s="270"/>
      <c r="K521" s="270"/>
    </row>
    <row r="522" ht="15.75" customHeight="1">
      <c r="D522" s="270"/>
      <c r="E522" s="270"/>
      <c r="F522" s="270"/>
      <c r="G522" s="270"/>
      <c r="H522" s="270"/>
      <c r="I522" s="270"/>
      <c r="J522" s="270"/>
      <c r="K522" s="270"/>
    </row>
    <row r="523" ht="15.75" customHeight="1">
      <c r="D523" s="270"/>
      <c r="E523" s="270"/>
      <c r="F523" s="270"/>
      <c r="G523" s="270"/>
      <c r="H523" s="270"/>
      <c r="I523" s="270"/>
      <c r="J523" s="270"/>
      <c r="K523" s="270"/>
    </row>
    <row r="524" ht="15.75" customHeight="1">
      <c r="D524" s="270"/>
      <c r="E524" s="270"/>
      <c r="F524" s="270"/>
      <c r="G524" s="270"/>
      <c r="H524" s="270"/>
      <c r="I524" s="270"/>
      <c r="J524" s="270"/>
      <c r="K524" s="270"/>
    </row>
    <row r="525" ht="15.75" customHeight="1">
      <c r="D525" s="270"/>
      <c r="E525" s="270"/>
      <c r="F525" s="270"/>
      <c r="G525" s="270"/>
      <c r="H525" s="270"/>
      <c r="I525" s="270"/>
      <c r="J525" s="270"/>
      <c r="K525" s="270"/>
    </row>
    <row r="526" ht="15.75" customHeight="1">
      <c r="D526" s="270"/>
      <c r="E526" s="270"/>
      <c r="F526" s="270"/>
      <c r="G526" s="270"/>
      <c r="H526" s="270"/>
      <c r="I526" s="270"/>
      <c r="J526" s="270"/>
      <c r="K526" s="270"/>
    </row>
    <row r="527" ht="15.75" customHeight="1">
      <c r="D527" s="270"/>
      <c r="E527" s="270"/>
      <c r="F527" s="270"/>
      <c r="G527" s="270"/>
      <c r="H527" s="270"/>
      <c r="I527" s="270"/>
      <c r="J527" s="270"/>
      <c r="K527" s="270"/>
    </row>
    <row r="528" ht="15.75" customHeight="1">
      <c r="D528" s="270"/>
      <c r="E528" s="270"/>
      <c r="F528" s="270"/>
      <c r="G528" s="270"/>
      <c r="H528" s="270"/>
      <c r="I528" s="270"/>
      <c r="J528" s="270"/>
      <c r="K528" s="270"/>
    </row>
    <row r="529" ht="15.75" customHeight="1">
      <c r="D529" s="270"/>
      <c r="E529" s="270"/>
      <c r="F529" s="270"/>
      <c r="G529" s="270"/>
      <c r="H529" s="270"/>
      <c r="I529" s="270"/>
      <c r="J529" s="270"/>
      <c r="K529" s="270"/>
    </row>
    <row r="530" ht="15.75" customHeight="1">
      <c r="D530" s="270"/>
      <c r="E530" s="270"/>
      <c r="F530" s="270"/>
      <c r="G530" s="270"/>
      <c r="H530" s="270"/>
      <c r="I530" s="270"/>
      <c r="J530" s="270"/>
      <c r="K530" s="270"/>
    </row>
    <row r="531" ht="15.75" customHeight="1">
      <c r="D531" s="270"/>
      <c r="E531" s="270"/>
      <c r="F531" s="270"/>
      <c r="G531" s="270"/>
      <c r="H531" s="270"/>
      <c r="I531" s="270"/>
      <c r="J531" s="270"/>
      <c r="K531" s="270"/>
    </row>
    <row r="532" ht="15.75" customHeight="1">
      <c r="D532" s="270"/>
      <c r="E532" s="270"/>
      <c r="F532" s="270"/>
      <c r="G532" s="270"/>
      <c r="H532" s="270"/>
      <c r="I532" s="270"/>
      <c r="J532" s="270"/>
      <c r="K532" s="270"/>
    </row>
    <row r="533" ht="15.75" customHeight="1">
      <c r="D533" s="270"/>
      <c r="E533" s="270"/>
      <c r="F533" s="270"/>
      <c r="G533" s="270"/>
      <c r="H533" s="270"/>
      <c r="I533" s="270"/>
      <c r="J533" s="270"/>
      <c r="K533" s="270"/>
    </row>
    <row r="534" ht="15.75" customHeight="1">
      <c r="D534" s="270"/>
      <c r="E534" s="270"/>
      <c r="F534" s="270"/>
      <c r="G534" s="270"/>
      <c r="H534" s="270"/>
      <c r="I534" s="270"/>
      <c r="J534" s="270"/>
      <c r="K534" s="270"/>
    </row>
    <row r="535" ht="15.75" customHeight="1">
      <c r="D535" s="270"/>
      <c r="E535" s="270"/>
      <c r="F535" s="270"/>
      <c r="G535" s="270"/>
      <c r="H535" s="270"/>
      <c r="I535" s="270"/>
      <c r="J535" s="270"/>
      <c r="K535" s="270"/>
    </row>
    <row r="536" ht="15.75" customHeight="1">
      <c r="D536" s="270"/>
      <c r="E536" s="270"/>
      <c r="F536" s="270"/>
      <c r="G536" s="270"/>
      <c r="H536" s="270"/>
      <c r="I536" s="270"/>
      <c r="J536" s="270"/>
      <c r="K536" s="270"/>
    </row>
    <row r="537" ht="15.75" customHeight="1">
      <c r="D537" s="270"/>
      <c r="E537" s="270"/>
      <c r="F537" s="270"/>
      <c r="G537" s="270"/>
      <c r="H537" s="270"/>
      <c r="I537" s="270"/>
      <c r="J537" s="270"/>
      <c r="K537" s="270"/>
    </row>
    <row r="538" ht="15.75" customHeight="1">
      <c r="D538" s="270"/>
      <c r="E538" s="270"/>
      <c r="F538" s="270"/>
      <c r="G538" s="270"/>
      <c r="H538" s="270"/>
      <c r="I538" s="270"/>
      <c r="J538" s="270"/>
      <c r="K538" s="270"/>
    </row>
    <row r="539" ht="15.75" customHeight="1">
      <c r="D539" s="270"/>
      <c r="E539" s="270"/>
      <c r="F539" s="270"/>
      <c r="G539" s="270"/>
      <c r="H539" s="270"/>
      <c r="I539" s="270"/>
      <c r="J539" s="270"/>
      <c r="K539" s="270"/>
    </row>
    <row r="540" ht="15.75" customHeight="1">
      <c r="D540" s="270"/>
      <c r="E540" s="270"/>
      <c r="F540" s="270"/>
      <c r="G540" s="270"/>
      <c r="H540" s="270"/>
      <c r="I540" s="270"/>
      <c r="J540" s="270"/>
      <c r="K540" s="270"/>
    </row>
    <row r="541" ht="15.75" customHeight="1">
      <c r="D541" s="270"/>
      <c r="E541" s="270"/>
      <c r="F541" s="270"/>
      <c r="G541" s="270"/>
      <c r="H541" s="270"/>
      <c r="I541" s="270"/>
      <c r="J541" s="270"/>
      <c r="K541" s="270"/>
    </row>
    <row r="542" ht="15.75" customHeight="1">
      <c r="D542" s="270"/>
      <c r="E542" s="270"/>
      <c r="F542" s="270"/>
      <c r="G542" s="270"/>
      <c r="H542" s="270"/>
      <c r="I542" s="270"/>
      <c r="J542" s="270"/>
      <c r="K542" s="270"/>
    </row>
    <row r="543" ht="15.75" customHeight="1">
      <c r="D543" s="270"/>
      <c r="E543" s="270"/>
      <c r="F543" s="270"/>
      <c r="G543" s="270"/>
      <c r="H543" s="270"/>
      <c r="I543" s="270"/>
      <c r="J543" s="270"/>
      <c r="K543" s="270"/>
    </row>
    <row r="544" ht="15.75" customHeight="1">
      <c r="D544" s="270"/>
      <c r="E544" s="270"/>
      <c r="F544" s="270"/>
      <c r="G544" s="270"/>
      <c r="H544" s="270"/>
      <c r="I544" s="270"/>
      <c r="J544" s="270"/>
      <c r="K544" s="270"/>
    </row>
    <row r="545" ht="15.75" customHeight="1">
      <c r="D545" s="270"/>
      <c r="E545" s="270"/>
      <c r="F545" s="270"/>
      <c r="G545" s="270"/>
      <c r="H545" s="270"/>
      <c r="I545" s="270"/>
      <c r="J545" s="270"/>
      <c r="K545" s="270"/>
    </row>
    <row r="546" ht="15.75" customHeight="1">
      <c r="D546" s="270"/>
      <c r="E546" s="270"/>
      <c r="F546" s="270"/>
      <c r="G546" s="270"/>
      <c r="H546" s="270"/>
      <c r="I546" s="270"/>
      <c r="J546" s="270"/>
      <c r="K546" s="270"/>
    </row>
    <row r="547" ht="15.75" customHeight="1">
      <c r="D547" s="270"/>
      <c r="E547" s="270"/>
      <c r="F547" s="270"/>
      <c r="G547" s="270"/>
      <c r="H547" s="270"/>
      <c r="I547" s="270"/>
      <c r="J547" s="270"/>
      <c r="K547" s="270"/>
    </row>
    <row r="548" ht="15.75" customHeight="1">
      <c r="D548" s="270"/>
      <c r="E548" s="270"/>
      <c r="F548" s="270"/>
      <c r="G548" s="270"/>
      <c r="H548" s="270"/>
      <c r="I548" s="270"/>
      <c r="J548" s="270"/>
      <c r="K548" s="270"/>
    </row>
    <row r="549" ht="15.75" customHeight="1">
      <c r="D549" s="270"/>
      <c r="E549" s="270"/>
      <c r="F549" s="270"/>
      <c r="G549" s="270"/>
      <c r="H549" s="270"/>
      <c r="I549" s="270"/>
      <c r="J549" s="270"/>
      <c r="K549" s="270"/>
    </row>
    <row r="550" ht="15.75" customHeight="1">
      <c r="D550" s="270"/>
      <c r="E550" s="270"/>
      <c r="F550" s="270"/>
      <c r="G550" s="270"/>
      <c r="H550" s="270"/>
      <c r="I550" s="270"/>
      <c r="J550" s="270"/>
      <c r="K550" s="270"/>
    </row>
    <row r="551" ht="15.75" customHeight="1">
      <c r="D551" s="270"/>
      <c r="E551" s="270"/>
      <c r="F551" s="270"/>
      <c r="G551" s="270"/>
      <c r="H551" s="270"/>
      <c r="I551" s="270"/>
      <c r="J551" s="270"/>
      <c r="K551" s="270"/>
    </row>
    <row r="552" ht="15.75" customHeight="1">
      <c r="D552" s="270"/>
      <c r="E552" s="270"/>
      <c r="F552" s="270"/>
      <c r="G552" s="270"/>
      <c r="H552" s="270"/>
      <c r="I552" s="270"/>
      <c r="J552" s="270"/>
      <c r="K552" s="270"/>
    </row>
    <row r="553" ht="15.75" customHeight="1">
      <c r="D553" s="270"/>
      <c r="E553" s="270"/>
      <c r="F553" s="270"/>
      <c r="G553" s="270"/>
      <c r="H553" s="270"/>
      <c r="I553" s="270"/>
      <c r="J553" s="270"/>
      <c r="K553" s="270"/>
    </row>
    <row r="554" ht="15.75" customHeight="1">
      <c r="D554" s="270"/>
      <c r="E554" s="270"/>
      <c r="F554" s="270"/>
      <c r="G554" s="270"/>
      <c r="H554" s="270"/>
      <c r="I554" s="270"/>
      <c r="J554" s="270"/>
      <c r="K554" s="270"/>
    </row>
    <row r="555" ht="15.75" customHeight="1">
      <c r="D555" s="270"/>
      <c r="E555" s="270"/>
      <c r="F555" s="270"/>
      <c r="G555" s="270"/>
      <c r="H555" s="270"/>
      <c r="I555" s="270"/>
      <c r="J555" s="270"/>
      <c r="K555" s="270"/>
    </row>
    <row r="556" ht="15.75" customHeight="1">
      <c r="D556" s="270"/>
      <c r="E556" s="270"/>
      <c r="F556" s="270"/>
      <c r="G556" s="270"/>
      <c r="H556" s="270"/>
      <c r="I556" s="270"/>
      <c r="J556" s="270"/>
      <c r="K556" s="270"/>
    </row>
    <row r="557" ht="15.75" customHeight="1">
      <c r="D557" s="270"/>
      <c r="E557" s="270"/>
      <c r="F557" s="270"/>
      <c r="G557" s="270"/>
      <c r="H557" s="270"/>
      <c r="I557" s="270"/>
      <c r="J557" s="270"/>
      <c r="K557" s="270"/>
    </row>
    <row r="558" ht="15.75" customHeight="1">
      <c r="D558" s="270"/>
      <c r="E558" s="270"/>
      <c r="F558" s="270"/>
      <c r="G558" s="270"/>
      <c r="H558" s="270"/>
      <c r="I558" s="270"/>
      <c r="J558" s="270"/>
      <c r="K558" s="270"/>
    </row>
    <row r="559" ht="15.75" customHeight="1">
      <c r="D559" s="270"/>
      <c r="E559" s="270"/>
      <c r="F559" s="270"/>
      <c r="G559" s="270"/>
      <c r="H559" s="270"/>
      <c r="I559" s="270"/>
      <c r="J559" s="270"/>
      <c r="K559" s="270"/>
    </row>
    <row r="560" ht="15.75" customHeight="1">
      <c r="D560" s="270"/>
      <c r="E560" s="270"/>
      <c r="F560" s="270"/>
      <c r="G560" s="270"/>
      <c r="H560" s="270"/>
      <c r="I560" s="270"/>
      <c r="J560" s="270"/>
      <c r="K560" s="270"/>
    </row>
    <row r="561" ht="15.75" customHeight="1">
      <c r="D561" s="270"/>
      <c r="E561" s="270"/>
      <c r="F561" s="270"/>
      <c r="G561" s="270"/>
      <c r="H561" s="270"/>
      <c r="I561" s="270"/>
      <c r="J561" s="270"/>
      <c r="K561" s="270"/>
    </row>
    <row r="562" ht="15.75" customHeight="1">
      <c r="D562" s="270"/>
      <c r="E562" s="270"/>
      <c r="F562" s="270"/>
      <c r="G562" s="270"/>
      <c r="H562" s="270"/>
      <c r="I562" s="270"/>
      <c r="J562" s="270"/>
      <c r="K562" s="270"/>
    </row>
    <row r="563" ht="15.75" customHeight="1">
      <c r="D563" s="270"/>
      <c r="E563" s="270"/>
      <c r="F563" s="270"/>
      <c r="G563" s="270"/>
      <c r="H563" s="270"/>
      <c r="I563" s="270"/>
      <c r="J563" s="270"/>
      <c r="K563" s="270"/>
    </row>
    <row r="564" ht="15.75" customHeight="1">
      <c r="D564" s="270"/>
      <c r="E564" s="270"/>
      <c r="F564" s="270"/>
      <c r="G564" s="270"/>
      <c r="H564" s="270"/>
      <c r="I564" s="270"/>
      <c r="J564" s="270"/>
      <c r="K564" s="270"/>
    </row>
    <row r="565" ht="15.75" customHeight="1">
      <c r="D565" s="270"/>
      <c r="E565" s="270"/>
      <c r="F565" s="270"/>
      <c r="G565" s="270"/>
      <c r="H565" s="270"/>
      <c r="I565" s="270"/>
      <c r="J565" s="270"/>
      <c r="K565" s="270"/>
    </row>
    <row r="566" ht="15.75" customHeight="1">
      <c r="D566" s="270"/>
      <c r="E566" s="270"/>
      <c r="F566" s="270"/>
      <c r="G566" s="270"/>
      <c r="H566" s="270"/>
      <c r="I566" s="270"/>
      <c r="J566" s="270"/>
      <c r="K566" s="270"/>
    </row>
    <row r="567" ht="15.75" customHeight="1">
      <c r="D567" s="270"/>
      <c r="E567" s="270"/>
      <c r="F567" s="270"/>
      <c r="G567" s="270"/>
      <c r="H567" s="270"/>
      <c r="I567" s="270"/>
      <c r="J567" s="270"/>
      <c r="K567" s="270"/>
    </row>
    <row r="568" ht="15.75" customHeight="1">
      <c r="D568" s="270"/>
      <c r="E568" s="270"/>
      <c r="F568" s="270"/>
      <c r="G568" s="270"/>
      <c r="H568" s="270"/>
      <c r="I568" s="270"/>
      <c r="J568" s="270"/>
      <c r="K568" s="270"/>
    </row>
    <row r="569" ht="15.75" customHeight="1">
      <c r="D569" s="270"/>
      <c r="E569" s="270"/>
      <c r="F569" s="270"/>
      <c r="G569" s="270"/>
      <c r="H569" s="270"/>
      <c r="I569" s="270"/>
      <c r="J569" s="270"/>
      <c r="K569" s="270"/>
    </row>
    <row r="570" ht="15.75" customHeight="1">
      <c r="D570" s="270"/>
      <c r="E570" s="270"/>
      <c r="F570" s="270"/>
      <c r="G570" s="270"/>
      <c r="H570" s="270"/>
      <c r="I570" s="270"/>
      <c r="J570" s="270"/>
      <c r="K570" s="270"/>
    </row>
    <row r="571" ht="15.75" customHeight="1">
      <c r="D571" s="270"/>
      <c r="E571" s="270"/>
      <c r="F571" s="270"/>
      <c r="G571" s="270"/>
      <c r="H571" s="270"/>
      <c r="I571" s="270"/>
      <c r="J571" s="270"/>
      <c r="K571" s="270"/>
    </row>
    <row r="572" ht="15.75" customHeight="1">
      <c r="D572" s="270"/>
      <c r="E572" s="270"/>
      <c r="F572" s="270"/>
      <c r="G572" s="270"/>
      <c r="H572" s="270"/>
      <c r="I572" s="270"/>
      <c r="J572" s="270"/>
      <c r="K572" s="270"/>
    </row>
    <row r="573" ht="15.75" customHeight="1">
      <c r="D573" s="270"/>
      <c r="E573" s="270"/>
      <c r="F573" s="270"/>
      <c r="G573" s="270"/>
      <c r="H573" s="270"/>
      <c r="I573" s="270"/>
      <c r="J573" s="270"/>
      <c r="K573" s="270"/>
    </row>
    <row r="574" ht="15.75" customHeight="1">
      <c r="D574" s="270"/>
      <c r="E574" s="270"/>
      <c r="F574" s="270"/>
      <c r="G574" s="270"/>
      <c r="H574" s="270"/>
      <c r="I574" s="270"/>
      <c r="J574" s="270"/>
      <c r="K574" s="270"/>
    </row>
    <row r="575" ht="15.75" customHeight="1">
      <c r="D575" s="270"/>
      <c r="E575" s="270"/>
      <c r="F575" s="270"/>
      <c r="G575" s="270"/>
      <c r="H575" s="270"/>
      <c r="I575" s="270"/>
      <c r="J575" s="270"/>
      <c r="K575" s="270"/>
    </row>
    <row r="576" ht="15.75" customHeight="1">
      <c r="D576" s="270"/>
      <c r="E576" s="270"/>
      <c r="F576" s="270"/>
      <c r="G576" s="270"/>
      <c r="H576" s="270"/>
      <c r="I576" s="270"/>
      <c r="J576" s="270"/>
      <c r="K576" s="270"/>
    </row>
    <row r="577" ht="15.75" customHeight="1">
      <c r="D577" s="270"/>
      <c r="E577" s="270"/>
      <c r="F577" s="270"/>
      <c r="G577" s="270"/>
      <c r="H577" s="270"/>
      <c r="I577" s="270"/>
      <c r="J577" s="270"/>
      <c r="K577" s="270"/>
    </row>
    <row r="578" ht="15.75" customHeight="1">
      <c r="D578" s="270"/>
      <c r="E578" s="270"/>
      <c r="F578" s="270"/>
      <c r="G578" s="270"/>
      <c r="H578" s="270"/>
      <c r="I578" s="270"/>
      <c r="J578" s="270"/>
      <c r="K578" s="270"/>
    </row>
    <row r="579" ht="15.75" customHeight="1">
      <c r="D579" s="270"/>
      <c r="E579" s="270"/>
      <c r="F579" s="270"/>
      <c r="G579" s="270"/>
      <c r="H579" s="270"/>
      <c r="I579" s="270"/>
      <c r="J579" s="270"/>
      <c r="K579" s="270"/>
    </row>
    <row r="580" ht="15.75" customHeight="1">
      <c r="D580" s="270"/>
      <c r="E580" s="270"/>
      <c r="F580" s="270"/>
      <c r="G580" s="270"/>
      <c r="H580" s="270"/>
      <c r="I580" s="270"/>
      <c r="J580" s="270"/>
      <c r="K580" s="270"/>
    </row>
    <row r="581" ht="15.75" customHeight="1">
      <c r="D581" s="270"/>
      <c r="E581" s="270"/>
      <c r="F581" s="270"/>
      <c r="G581" s="270"/>
      <c r="H581" s="270"/>
      <c r="I581" s="270"/>
      <c r="J581" s="270"/>
      <c r="K581" s="270"/>
    </row>
    <row r="582" ht="15.75" customHeight="1">
      <c r="D582" s="270"/>
      <c r="E582" s="270"/>
      <c r="F582" s="270"/>
      <c r="G582" s="270"/>
      <c r="H582" s="270"/>
      <c r="I582" s="270"/>
      <c r="J582" s="270"/>
      <c r="K582" s="270"/>
    </row>
    <row r="583" ht="15.75" customHeight="1">
      <c r="D583" s="270"/>
      <c r="E583" s="270"/>
      <c r="F583" s="270"/>
      <c r="G583" s="270"/>
      <c r="H583" s="270"/>
      <c r="I583" s="270"/>
      <c r="J583" s="270"/>
      <c r="K583" s="270"/>
    </row>
    <row r="584" ht="15.75" customHeight="1">
      <c r="D584" s="270"/>
      <c r="E584" s="270"/>
      <c r="F584" s="270"/>
      <c r="G584" s="270"/>
      <c r="H584" s="270"/>
      <c r="I584" s="270"/>
      <c r="J584" s="270"/>
      <c r="K584" s="270"/>
    </row>
    <row r="585" ht="15.75" customHeight="1">
      <c r="D585" s="270"/>
      <c r="E585" s="270"/>
      <c r="F585" s="270"/>
      <c r="G585" s="270"/>
      <c r="H585" s="270"/>
      <c r="I585" s="270"/>
      <c r="J585" s="270"/>
      <c r="K585" s="270"/>
    </row>
    <row r="586" ht="15.75" customHeight="1">
      <c r="D586" s="270"/>
      <c r="E586" s="270"/>
      <c r="F586" s="270"/>
      <c r="G586" s="270"/>
      <c r="H586" s="270"/>
      <c r="I586" s="270"/>
      <c r="J586" s="270"/>
      <c r="K586" s="270"/>
    </row>
    <row r="587" ht="15.75" customHeight="1">
      <c r="D587" s="270"/>
      <c r="E587" s="270"/>
      <c r="F587" s="270"/>
      <c r="G587" s="270"/>
      <c r="H587" s="270"/>
      <c r="I587" s="270"/>
      <c r="J587" s="270"/>
      <c r="K587" s="270"/>
    </row>
    <row r="588" ht="15.75" customHeight="1">
      <c r="D588" s="270"/>
      <c r="E588" s="270"/>
      <c r="F588" s="270"/>
      <c r="G588" s="270"/>
      <c r="H588" s="270"/>
      <c r="I588" s="270"/>
      <c r="J588" s="270"/>
      <c r="K588" s="270"/>
    </row>
    <row r="589" ht="15.75" customHeight="1">
      <c r="D589" s="270"/>
      <c r="E589" s="270"/>
      <c r="F589" s="270"/>
      <c r="G589" s="270"/>
      <c r="H589" s="270"/>
      <c r="I589" s="270"/>
      <c r="J589" s="270"/>
      <c r="K589" s="270"/>
    </row>
    <row r="590" ht="15.75" customHeight="1">
      <c r="D590" s="270"/>
      <c r="E590" s="270"/>
      <c r="F590" s="270"/>
      <c r="G590" s="270"/>
      <c r="H590" s="270"/>
      <c r="I590" s="270"/>
      <c r="J590" s="270"/>
      <c r="K590" s="270"/>
    </row>
    <row r="591" ht="15.75" customHeight="1">
      <c r="D591" s="270"/>
      <c r="E591" s="270"/>
      <c r="F591" s="270"/>
      <c r="G591" s="270"/>
      <c r="H591" s="270"/>
      <c r="I591" s="270"/>
      <c r="J591" s="270"/>
      <c r="K591" s="270"/>
    </row>
    <row r="592" ht="15.75" customHeight="1">
      <c r="D592" s="270"/>
      <c r="E592" s="270"/>
      <c r="F592" s="270"/>
      <c r="G592" s="270"/>
      <c r="H592" s="270"/>
      <c r="I592" s="270"/>
      <c r="J592" s="270"/>
      <c r="K592" s="270"/>
    </row>
    <row r="593" ht="15.75" customHeight="1">
      <c r="D593" s="270"/>
      <c r="E593" s="270"/>
      <c r="F593" s="270"/>
      <c r="G593" s="270"/>
      <c r="H593" s="270"/>
      <c r="I593" s="270"/>
      <c r="J593" s="270"/>
      <c r="K593" s="270"/>
    </row>
    <row r="594" ht="15.75" customHeight="1">
      <c r="D594" s="270"/>
      <c r="E594" s="270"/>
      <c r="F594" s="270"/>
      <c r="G594" s="270"/>
      <c r="H594" s="270"/>
      <c r="I594" s="270"/>
      <c r="J594" s="270"/>
      <c r="K594" s="270"/>
    </row>
    <row r="595" ht="15.75" customHeight="1">
      <c r="D595" s="270"/>
      <c r="E595" s="270"/>
      <c r="F595" s="270"/>
      <c r="G595" s="270"/>
      <c r="H595" s="270"/>
      <c r="I595" s="270"/>
      <c r="J595" s="270"/>
      <c r="K595" s="270"/>
    </row>
    <row r="596" ht="15.75" customHeight="1">
      <c r="D596" s="270"/>
      <c r="E596" s="270"/>
      <c r="F596" s="270"/>
      <c r="G596" s="270"/>
      <c r="H596" s="270"/>
      <c r="I596" s="270"/>
      <c r="J596" s="270"/>
      <c r="K596" s="270"/>
    </row>
    <row r="597" ht="15.75" customHeight="1">
      <c r="D597" s="270"/>
      <c r="E597" s="270"/>
      <c r="F597" s="270"/>
      <c r="G597" s="270"/>
      <c r="H597" s="270"/>
      <c r="I597" s="270"/>
      <c r="J597" s="270"/>
      <c r="K597" s="270"/>
    </row>
    <row r="598" ht="15.75" customHeight="1">
      <c r="D598" s="270"/>
      <c r="E598" s="270"/>
      <c r="F598" s="270"/>
      <c r="G598" s="270"/>
      <c r="H598" s="270"/>
      <c r="I598" s="270"/>
      <c r="J598" s="270"/>
      <c r="K598" s="270"/>
    </row>
    <row r="599" ht="15.75" customHeight="1">
      <c r="D599" s="270"/>
      <c r="E599" s="270"/>
      <c r="F599" s="270"/>
      <c r="G599" s="270"/>
      <c r="H599" s="270"/>
      <c r="I599" s="270"/>
      <c r="J599" s="270"/>
      <c r="K599" s="270"/>
    </row>
    <row r="600" ht="15.75" customHeight="1">
      <c r="D600" s="270"/>
      <c r="E600" s="270"/>
      <c r="F600" s="270"/>
      <c r="G600" s="270"/>
      <c r="H600" s="270"/>
      <c r="I600" s="270"/>
      <c r="J600" s="270"/>
      <c r="K600" s="270"/>
    </row>
    <row r="601" ht="15.75" customHeight="1">
      <c r="D601" s="270"/>
      <c r="E601" s="270"/>
      <c r="F601" s="270"/>
      <c r="G601" s="270"/>
      <c r="H601" s="270"/>
      <c r="I601" s="270"/>
      <c r="J601" s="270"/>
      <c r="K601" s="270"/>
    </row>
    <row r="602" ht="15.75" customHeight="1">
      <c r="D602" s="270"/>
      <c r="E602" s="270"/>
      <c r="F602" s="270"/>
      <c r="G602" s="270"/>
      <c r="H602" s="270"/>
      <c r="I602" s="270"/>
      <c r="J602" s="270"/>
      <c r="K602" s="270"/>
    </row>
    <row r="603" ht="15.75" customHeight="1">
      <c r="D603" s="270"/>
      <c r="E603" s="270"/>
      <c r="F603" s="270"/>
      <c r="G603" s="270"/>
      <c r="H603" s="270"/>
      <c r="I603" s="270"/>
      <c r="J603" s="270"/>
      <c r="K603" s="270"/>
    </row>
    <row r="604" ht="15.75" customHeight="1">
      <c r="D604" s="270"/>
      <c r="E604" s="270"/>
      <c r="F604" s="270"/>
      <c r="G604" s="270"/>
      <c r="H604" s="270"/>
      <c r="I604" s="270"/>
      <c r="J604" s="270"/>
      <c r="K604" s="270"/>
    </row>
    <row r="605" ht="15.75" customHeight="1">
      <c r="D605" s="270"/>
      <c r="E605" s="270"/>
      <c r="F605" s="270"/>
      <c r="G605" s="270"/>
      <c r="H605" s="270"/>
      <c r="I605" s="270"/>
      <c r="J605" s="270"/>
      <c r="K605" s="270"/>
    </row>
    <row r="606" ht="15.75" customHeight="1">
      <c r="D606" s="270"/>
      <c r="E606" s="270"/>
      <c r="F606" s="270"/>
      <c r="G606" s="270"/>
      <c r="H606" s="270"/>
      <c r="I606" s="270"/>
      <c r="J606" s="270"/>
      <c r="K606" s="270"/>
    </row>
    <row r="607" ht="15.75" customHeight="1">
      <c r="D607" s="270"/>
      <c r="E607" s="270"/>
      <c r="F607" s="270"/>
      <c r="G607" s="270"/>
      <c r="H607" s="270"/>
      <c r="I607" s="270"/>
      <c r="J607" s="270"/>
      <c r="K607" s="270"/>
    </row>
    <row r="608" ht="15.75" customHeight="1">
      <c r="D608" s="270"/>
      <c r="E608" s="270"/>
      <c r="F608" s="270"/>
      <c r="G608" s="270"/>
      <c r="H608" s="270"/>
      <c r="I608" s="270"/>
      <c r="J608" s="270"/>
      <c r="K608" s="270"/>
    </row>
    <row r="609" ht="15.75" customHeight="1">
      <c r="D609" s="270"/>
      <c r="E609" s="270"/>
      <c r="F609" s="270"/>
      <c r="G609" s="270"/>
      <c r="H609" s="270"/>
      <c r="I609" s="270"/>
      <c r="J609" s="270"/>
      <c r="K609" s="270"/>
    </row>
    <row r="610" ht="15.75" customHeight="1">
      <c r="D610" s="270"/>
      <c r="E610" s="270"/>
      <c r="F610" s="270"/>
      <c r="G610" s="270"/>
      <c r="H610" s="270"/>
      <c r="I610" s="270"/>
      <c r="J610" s="270"/>
      <c r="K610" s="270"/>
    </row>
    <row r="611" ht="15.75" customHeight="1">
      <c r="D611" s="270"/>
      <c r="E611" s="270"/>
      <c r="F611" s="270"/>
      <c r="G611" s="270"/>
      <c r="H611" s="270"/>
      <c r="I611" s="270"/>
      <c r="J611" s="270"/>
      <c r="K611" s="270"/>
    </row>
    <row r="612" ht="15.75" customHeight="1">
      <c r="D612" s="270"/>
      <c r="E612" s="270"/>
      <c r="F612" s="270"/>
      <c r="G612" s="270"/>
      <c r="H612" s="270"/>
      <c r="I612" s="270"/>
      <c r="J612" s="270"/>
      <c r="K612" s="270"/>
    </row>
    <row r="613" ht="15.75" customHeight="1">
      <c r="D613" s="270"/>
      <c r="E613" s="270"/>
      <c r="F613" s="270"/>
      <c r="G613" s="270"/>
      <c r="H613" s="270"/>
      <c r="I613" s="270"/>
      <c r="J613" s="270"/>
      <c r="K613" s="270"/>
    </row>
    <row r="614" ht="15.75" customHeight="1">
      <c r="D614" s="270"/>
      <c r="E614" s="270"/>
      <c r="F614" s="270"/>
      <c r="G614" s="270"/>
      <c r="H614" s="270"/>
      <c r="I614" s="270"/>
      <c r="J614" s="270"/>
      <c r="K614" s="270"/>
    </row>
    <row r="615" ht="15.75" customHeight="1">
      <c r="D615" s="270"/>
      <c r="E615" s="270"/>
      <c r="F615" s="270"/>
      <c r="G615" s="270"/>
      <c r="H615" s="270"/>
      <c r="I615" s="270"/>
      <c r="J615" s="270"/>
      <c r="K615" s="270"/>
    </row>
    <row r="616" ht="15.75" customHeight="1">
      <c r="D616" s="270"/>
      <c r="E616" s="270"/>
      <c r="F616" s="270"/>
      <c r="G616" s="270"/>
      <c r="H616" s="270"/>
      <c r="I616" s="270"/>
      <c r="J616" s="270"/>
      <c r="K616" s="270"/>
    </row>
    <row r="617" ht="15.75" customHeight="1">
      <c r="D617" s="270"/>
      <c r="E617" s="270"/>
      <c r="F617" s="270"/>
      <c r="G617" s="270"/>
      <c r="H617" s="270"/>
      <c r="I617" s="270"/>
      <c r="J617" s="270"/>
      <c r="K617" s="270"/>
    </row>
    <row r="618" ht="15.75" customHeight="1">
      <c r="D618" s="270"/>
      <c r="E618" s="270"/>
      <c r="F618" s="270"/>
      <c r="G618" s="270"/>
      <c r="H618" s="270"/>
      <c r="I618" s="270"/>
      <c r="J618" s="270"/>
      <c r="K618" s="270"/>
    </row>
    <row r="619" ht="15.75" customHeight="1">
      <c r="D619" s="270"/>
      <c r="E619" s="270"/>
      <c r="F619" s="270"/>
      <c r="G619" s="270"/>
      <c r="H619" s="270"/>
      <c r="I619" s="270"/>
      <c r="J619" s="270"/>
      <c r="K619" s="270"/>
    </row>
    <row r="620" ht="15.75" customHeight="1">
      <c r="D620" s="270"/>
      <c r="E620" s="270"/>
      <c r="F620" s="270"/>
      <c r="G620" s="270"/>
      <c r="H620" s="270"/>
      <c r="I620" s="270"/>
      <c r="J620" s="270"/>
      <c r="K620" s="270"/>
    </row>
    <row r="621" ht="15.75" customHeight="1">
      <c r="D621" s="270"/>
      <c r="E621" s="270"/>
      <c r="F621" s="270"/>
      <c r="G621" s="270"/>
      <c r="H621" s="270"/>
      <c r="I621" s="270"/>
      <c r="J621" s="270"/>
      <c r="K621" s="270"/>
    </row>
    <row r="622" ht="15.75" customHeight="1">
      <c r="D622" s="270"/>
      <c r="E622" s="270"/>
      <c r="F622" s="270"/>
      <c r="G622" s="270"/>
      <c r="H622" s="270"/>
      <c r="I622" s="270"/>
      <c r="J622" s="270"/>
      <c r="K622" s="270"/>
    </row>
    <row r="623" ht="15.75" customHeight="1">
      <c r="D623" s="270"/>
      <c r="E623" s="270"/>
      <c r="F623" s="270"/>
      <c r="G623" s="270"/>
      <c r="H623" s="270"/>
      <c r="I623" s="270"/>
      <c r="J623" s="270"/>
      <c r="K623" s="270"/>
    </row>
    <row r="624" ht="15.75" customHeight="1">
      <c r="D624" s="270"/>
      <c r="E624" s="270"/>
      <c r="F624" s="270"/>
      <c r="G624" s="270"/>
      <c r="H624" s="270"/>
      <c r="I624" s="270"/>
      <c r="J624" s="270"/>
      <c r="K624" s="270"/>
    </row>
    <row r="625" ht="15.75" customHeight="1">
      <c r="D625" s="270"/>
      <c r="E625" s="270"/>
      <c r="F625" s="270"/>
      <c r="G625" s="270"/>
      <c r="H625" s="270"/>
      <c r="I625" s="270"/>
      <c r="J625" s="270"/>
      <c r="K625" s="270"/>
    </row>
    <row r="626" ht="15.75" customHeight="1">
      <c r="D626" s="270"/>
      <c r="E626" s="270"/>
      <c r="F626" s="270"/>
      <c r="G626" s="270"/>
      <c r="H626" s="270"/>
      <c r="I626" s="270"/>
      <c r="J626" s="270"/>
      <c r="K626" s="270"/>
    </row>
    <row r="627" ht="15.75" customHeight="1">
      <c r="D627" s="270"/>
      <c r="E627" s="270"/>
      <c r="F627" s="270"/>
      <c r="G627" s="270"/>
      <c r="H627" s="270"/>
      <c r="I627" s="270"/>
      <c r="J627" s="270"/>
      <c r="K627" s="270"/>
    </row>
    <row r="628" ht="15.75" customHeight="1">
      <c r="D628" s="270"/>
      <c r="E628" s="270"/>
      <c r="F628" s="270"/>
      <c r="G628" s="270"/>
      <c r="H628" s="270"/>
      <c r="I628" s="270"/>
      <c r="J628" s="270"/>
      <c r="K628" s="270"/>
    </row>
    <row r="629" ht="15.75" customHeight="1">
      <c r="D629" s="270"/>
      <c r="E629" s="270"/>
      <c r="F629" s="270"/>
      <c r="G629" s="270"/>
      <c r="H629" s="270"/>
      <c r="I629" s="270"/>
      <c r="J629" s="270"/>
      <c r="K629" s="270"/>
    </row>
    <row r="630" ht="15.75" customHeight="1">
      <c r="D630" s="270"/>
      <c r="E630" s="270"/>
      <c r="F630" s="270"/>
      <c r="G630" s="270"/>
      <c r="H630" s="270"/>
      <c r="I630" s="270"/>
      <c r="J630" s="270"/>
      <c r="K630" s="270"/>
    </row>
    <row r="631" ht="15.75" customHeight="1">
      <c r="D631" s="270"/>
      <c r="E631" s="270"/>
      <c r="F631" s="270"/>
      <c r="G631" s="270"/>
      <c r="H631" s="270"/>
      <c r="I631" s="270"/>
      <c r="J631" s="270"/>
      <c r="K631" s="270"/>
    </row>
    <row r="632" ht="15.75" customHeight="1">
      <c r="D632" s="270"/>
      <c r="E632" s="270"/>
      <c r="F632" s="270"/>
      <c r="G632" s="270"/>
      <c r="H632" s="270"/>
      <c r="I632" s="270"/>
      <c r="J632" s="270"/>
      <c r="K632" s="270"/>
    </row>
    <row r="633" ht="15.75" customHeight="1">
      <c r="D633" s="270"/>
      <c r="E633" s="270"/>
      <c r="F633" s="270"/>
      <c r="G633" s="270"/>
      <c r="H633" s="270"/>
      <c r="I633" s="270"/>
      <c r="J633" s="270"/>
      <c r="K633" s="270"/>
    </row>
    <row r="634" ht="15.75" customHeight="1">
      <c r="D634" s="270"/>
      <c r="E634" s="270"/>
      <c r="F634" s="270"/>
      <c r="G634" s="270"/>
      <c r="H634" s="270"/>
      <c r="I634" s="270"/>
      <c r="J634" s="270"/>
      <c r="K634" s="270"/>
    </row>
    <row r="635" ht="15.75" customHeight="1">
      <c r="D635" s="270"/>
      <c r="E635" s="270"/>
      <c r="F635" s="270"/>
      <c r="G635" s="270"/>
      <c r="H635" s="270"/>
      <c r="I635" s="270"/>
      <c r="J635" s="270"/>
      <c r="K635" s="270"/>
    </row>
    <row r="636" ht="15.75" customHeight="1">
      <c r="D636" s="270"/>
      <c r="E636" s="270"/>
      <c r="F636" s="270"/>
      <c r="G636" s="270"/>
      <c r="H636" s="270"/>
      <c r="I636" s="270"/>
      <c r="J636" s="270"/>
      <c r="K636" s="270"/>
    </row>
    <row r="637" ht="15.75" customHeight="1">
      <c r="D637" s="270"/>
      <c r="E637" s="270"/>
      <c r="F637" s="270"/>
      <c r="G637" s="270"/>
      <c r="H637" s="270"/>
      <c r="I637" s="270"/>
      <c r="J637" s="270"/>
      <c r="K637" s="270"/>
    </row>
    <row r="638" ht="15.75" customHeight="1">
      <c r="D638" s="270"/>
      <c r="E638" s="270"/>
      <c r="F638" s="270"/>
      <c r="G638" s="270"/>
      <c r="H638" s="270"/>
      <c r="I638" s="270"/>
      <c r="J638" s="270"/>
      <c r="K638" s="270"/>
    </row>
    <row r="639" ht="15.75" customHeight="1">
      <c r="D639" s="270"/>
      <c r="E639" s="270"/>
      <c r="F639" s="270"/>
      <c r="G639" s="270"/>
      <c r="H639" s="270"/>
      <c r="I639" s="270"/>
      <c r="J639" s="270"/>
      <c r="K639" s="270"/>
    </row>
    <row r="640" ht="15.75" customHeight="1">
      <c r="D640" s="270"/>
      <c r="E640" s="270"/>
      <c r="F640" s="270"/>
      <c r="G640" s="270"/>
      <c r="H640" s="270"/>
      <c r="I640" s="270"/>
      <c r="J640" s="270"/>
      <c r="K640" s="270"/>
    </row>
    <row r="641" ht="15.75" customHeight="1">
      <c r="D641" s="270"/>
      <c r="E641" s="270"/>
      <c r="F641" s="270"/>
      <c r="G641" s="270"/>
      <c r="H641" s="270"/>
      <c r="I641" s="270"/>
      <c r="J641" s="270"/>
      <c r="K641" s="270"/>
    </row>
    <row r="642" ht="15.75" customHeight="1">
      <c r="D642" s="270"/>
      <c r="E642" s="270"/>
      <c r="F642" s="270"/>
      <c r="G642" s="270"/>
      <c r="H642" s="270"/>
      <c r="I642" s="270"/>
      <c r="J642" s="270"/>
      <c r="K642" s="270"/>
    </row>
    <row r="643" ht="15.75" customHeight="1">
      <c r="D643" s="270"/>
      <c r="E643" s="270"/>
      <c r="F643" s="270"/>
      <c r="G643" s="270"/>
      <c r="H643" s="270"/>
      <c r="I643" s="270"/>
      <c r="J643" s="270"/>
      <c r="K643" s="270"/>
    </row>
    <row r="644" ht="15.75" customHeight="1">
      <c r="D644" s="270"/>
      <c r="E644" s="270"/>
      <c r="F644" s="270"/>
      <c r="G644" s="270"/>
      <c r="H644" s="270"/>
      <c r="I644" s="270"/>
      <c r="J644" s="270"/>
      <c r="K644" s="270"/>
    </row>
    <row r="645" ht="15.75" customHeight="1">
      <c r="D645" s="270"/>
      <c r="E645" s="270"/>
      <c r="F645" s="270"/>
      <c r="G645" s="270"/>
      <c r="H645" s="270"/>
      <c r="I645" s="270"/>
      <c r="J645" s="270"/>
      <c r="K645" s="270"/>
    </row>
    <row r="646" ht="15.75" customHeight="1">
      <c r="D646" s="270"/>
      <c r="E646" s="270"/>
      <c r="F646" s="270"/>
      <c r="G646" s="270"/>
      <c r="H646" s="270"/>
      <c r="I646" s="270"/>
      <c r="J646" s="270"/>
      <c r="K646" s="270"/>
    </row>
    <row r="647" ht="15.75" customHeight="1">
      <c r="D647" s="270"/>
      <c r="E647" s="270"/>
      <c r="F647" s="270"/>
      <c r="G647" s="270"/>
      <c r="H647" s="270"/>
      <c r="I647" s="270"/>
      <c r="J647" s="270"/>
      <c r="K647" s="270"/>
    </row>
    <row r="648" ht="15.75" customHeight="1">
      <c r="D648" s="270"/>
      <c r="E648" s="270"/>
      <c r="F648" s="270"/>
      <c r="G648" s="270"/>
      <c r="H648" s="270"/>
      <c r="I648" s="270"/>
      <c r="J648" s="270"/>
      <c r="K648" s="270"/>
    </row>
    <row r="649" ht="15.75" customHeight="1">
      <c r="D649" s="270"/>
      <c r="E649" s="270"/>
      <c r="F649" s="270"/>
      <c r="G649" s="270"/>
      <c r="H649" s="270"/>
      <c r="I649" s="270"/>
      <c r="J649" s="270"/>
      <c r="K649" s="270"/>
    </row>
    <row r="650" ht="15.75" customHeight="1">
      <c r="D650" s="270"/>
      <c r="E650" s="270"/>
      <c r="F650" s="270"/>
      <c r="G650" s="270"/>
      <c r="H650" s="270"/>
      <c r="I650" s="270"/>
      <c r="J650" s="270"/>
      <c r="K650" s="270"/>
    </row>
    <row r="651" ht="15.75" customHeight="1">
      <c r="D651" s="270"/>
      <c r="E651" s="270"/>
      <c r="F651" s="270"/>
      <c r="G651" s="270"/>
      <c r="H651" s="270"/>
      <c r="I651" s="270"/>
      <c r="J651" s="270"/>
      <c r="K651" s="270"/>
    </row>
    <row r="652" ht="15.75" customHeight="1">
      <c r="D652" s="270"/>
      <c r="E652" s="270"/>
      <c r="F652" s="270"/>
      <c r="G652" s="270"/>
      <c r="H652" s="270"/>
      <c r="I652" s="270"/>
      <c r="J652" s="270"/>
      <c r="K652" s="270"/>
    </row>
    <row r="653" ht="15.75" customHeight="1">
      <c r="D653" s="270"/>
      <c r="E653" s="270"/>
      <c r="F653" s="270"/>
      <c r="G653" s="270"/>
      <c r="H653" s="270"/>
      <c r="I653" s="270"/>
      <c r="J653" s="270"/>
      <c r="K653" s="270"/>
    </row>
    <row r="654" ht="15.75" customHeight="1">
      <c r="D654" s="270"/>
      <c r="E654" s="270"/>
      <c r="F654" s="270"/>
      <c r="G654" s="270"/>
      <c r="H654" s="270"/>
      <c r="I654" s="270"/>
      <c r="J654" s="270"/>
      <c r="K654" s="270"/>
    </row>
    <row r="655" ht="15.75" customHeight="1">
      <c r="D655" s="270"/>
      <c r="E655" s="270"/>
      <c r="F655" s="270"/>
      <c r="G655" s="270"/>
      <c r="H655" s="270"/>
      <c r="I655" s="270"/>
      <c r="J655" s="270"/>
      <c r="K655" s="270"/>
    </row>
    <row r="656" ht="15.75" customHeight="1">
      <c r="D656" s="270"/>
      <c r="E656" s="270"/>
      <c r="F656" s="270"/>
      <c r="G656" s="270"/>
      <c r="H656" s="270"/>
      <c r="I656" s="270"/>
      <c r="J656" s="270"/>
      <c r="K656" s="270"/>
    </row>
    <row r="657" ht="15.75" customHeight="1">
      <c r="D657" s="270"/>
      <c r="E657" s="270"/>
      <c r="F657" s="270"/>
      <c r="G657" s="270"/>
      <c r="H657" s="270"/>
      <c r="I657" s="270"/>
      <c r="J657" s="270"/>
      <c r="K657" s="270"/>
    </row>
    <row r="658" ht="15.75" customHeight="1">
      <c r="D658" s="270"/>
      <c r="E658" s="270"/>
      <c r="F658" s="270"/>
      <c r="G658" s="270"/>
      <c r="H658" s="270"/>
      <c r="I658" s="270"/>
      <c r="J658" s="270"/>
      <c r="K658" s="270"/>
    </row>
    <row r="659" ht="15.75" customHeight="1">
      <c r="D659" s="270"/>
      <c r="E659" s="270"/>
      <c r="F659" s="270"/>
      <c r="G659" s="270"/>
      <c r="H659" s="270"/>
      <c r="I659" s="270"/>
      <c r="J659" s="270"/>
      <c r="K659" s="270"/>
    </row>
    <row r="660" ht="15.75" customHeight="1">
      <c r="D660" s="270"/>
      <c r="E660" s="270"/>
      <c r="F660" s="270"/>
      <c r="G660" s="270"/>
      <c r="H660" s="270"/>
      <c r="I660" s="270"/>
      <c r="J660" s="270"/>
      <c r="K660" s="270"/>
    </row>
    <row r="661" ht="15.75" customHeight="1">
      <c r="D661" s="270"/>
      <c r="E661" s="270"/>
      <c r="F661" s="270"/>
      <c r="G661" s="270"/>
      <c r="H661" s="270"/>
      <c r="I661" s="270"/>
      <c r="J661" s="270"/>
      <c r="K661" s="270"/>
    </row>
    <row r="662" ht="15.75" customHeight="1">
      <c r="D662" s="270"/>
      <c r="E662" s="270"/>
      <c r="F662" s="270"/>
      <c r="G662" s="270"/>
      <c r="H662" s="270"/>
      <c r="I662" s="270"/>
      <c r="J662" s="270"/>
      <c r="K662" s="270"/>
    </row>
    <row r="663" ht="15.75" customHeight="1">
      <c r="D663" s="270"/>
      <c r="E663" s="270"/>
      <c r="F663" s="270"/>
      <c r="G663" s="270"/>
      <c r="H663" s="270"/>
      <c r="I663" s="270"/>
      <c r="J663" s="270"/>
      <c r="K663" s="270"/>
    </row>
    <row r="664" ht="15.75" customHeight="1">
      <c r="D664" s="270"/>
      <c r="E664" s="270"/>
      <c r="F664" s="270"/>
      <c r="G664" s="270"/>
      <c r="H664" s="270"/>
      <c r="I664" s="270"/>
      <c r="J664" s="270"/>
      <c r="K664" s="270"/>
    </row>
    <row r="665" ht="15.75" customHeight="1">
      <c r="D665" s="270"/>
      <c r="E665" s="270"/>
      <c r="F665" s="270"/>
      <c r="G665" s="270"/>
      <c r="H665" s="270"/>
      <c r="I665" s="270"/>
      <c r="J665" s="270"/>
      <c r="K665" s="270"/>
    </row>
    <row r="666" ht="15.75" customHeight="1">
      <c r="D666" s="270"/>
      <c r="E666" s="270"/>
      <c r="F666" s="270"/>
      <c r="G666" s="270"/>
      <c r="H666" s="270"/>
      <c r="I666" s="270"/>
      <c r="J666" s="270"/>
      <c r="K666" s="270"/>
    </row>
    <row r="667" ht="15.75" customHeight="1">
      <c r="D667" s="270"/>
      <c r="E667" s="270"/>
      <c r="F667" s="270"/>
      <c r="G667" s="270"/>
      <c r="H667" s="270"/>
      <c r="I667" s="270"/>
      <c r="J667" s="270"/>
      <c r="K667" s="270"/>
    </row>
    <row r="668" ht="15.75" customHeight="1">
      <c r="D668" s="270"/>
      <c r="E668" s="270"/>
      <c r="F668" s="270"/>
      <c r="G668" s="270"/>
      <c r="H668" s="270"/>
      <c r="I668" s="270"/>
      <c r="J668" s="270"/>
      <c r="K668" s="270"/>
    </row>
    <row r="669" ht="15.75" customHeight="1">
      <c r="D669" s="270"/>
      <c r="E669" s="270"/>
      <c r="F669" s="270"/>
      <c r="G669" s="270"/>
      <c r="H669" s="270"/>
      <c r="I669" s="270"/>
      <c r="J669" s="270"/>
      <c r="K669" s="270"/>
    </row>
    <row r="670" ht="15.75" customHeight="1">
      <c r="D670" s="270"/>
      <c r="E670" s="270"/>
      <c r="F670" s="270"/>
      <c r="G670" s="270"/>
      <c r="H670" s="270"/>
      <c r="I670" s="270"/>
      <c r="J670" s="270"/>
      <c r="K670" s="270"/>
    </row>
    <row r="671" ht="15.75" customHeight="1">
      <c r="D671" s="270"/>
      <c r="E671" s="270"/>
      <c r="F671" s="270"/>
      <c r="G671" s="270"/>
      <c r="H671" s="270"/>
      <c r="I671" s="270"/>
      <c r="J671" s="270"/>
      <c r="K671" s="270"/>
    </row>
    <row r="672" ht="15.75" customHeight="1">
      <c r="D672" s="270"/>
      <c r="E672" s="270"/>
      <c r="F672" s="270"/>
      <c r="G672" s="270"/>
      <c r="H672" s="270"/>
      <c r="I672" s="270"/>
      <c r="J672" s="270"/>
      <c r="K672" s="270"/>
    </row>
    <row r="673" ht="15.75" customHeight="1">
      <c r="D673" s="270"/>
      <c r="E673" s="270"/>
      <c r="F673" s="270"/>
      <c r="G673" s="270"/>
      <c r="H673" s="270"/>
      <c r="I673" s="270"/>
      <c r="J673" s="270"/>
      <c r="K673" s="270"/>
    </row>
    <row r="674" ht="15.75" customHeight="1">
      <c r="D674" s="270"/>
      <c r="E674" s="270"/>
      <c r="F674" s="270"/>
      <c r="G674" s="270"/>
      <c r="H674" s="270"/>
      <c r="I674" s="270"/>
      <c r="J674" s="270"/>
      <c r="K674" s="270"/>
    </row>
    <row r="675" ht="15.75" customHeight="1">
      <c r="D675" s="270"/>
      <c r="E675" s="270"/>
      <c r="F675" s="270"/>
      <c r="G675" s="270"/>
      <c r="H675" s="270"/>
      <c r="I675" s="270"/>
      <c r="J675" s="270"/>
      <c r="K675" s="270"/>
    </row>
    <row r="676" ht="15.75" customHeight="1">
      <c r="D676" s="270"/>
      <c r="E676" s="270"/>
      <c r="F676" s="270"/>
      <c r="G676" s="270"/>
      <c r="H676" s="270"/>
      <c r="I676" s="270"/>
      <c r="J676" s="270"/>
      <c r="K676" s="270"/>
    </row>
    <row r="677" ht="15.75" customHeight="1">
      <c r="D677" s="270"/>
      <c r="E677" s="270"/>
      <c r="F677" s="270"/>
      <c r="G677" s="270"/>
      <c r="H677" s="270"/>
      <c r="I677" s="270"/>
      <c r="J677" s="270"/>
      <c r="K677" s="270"/>
    </row>
    <row r="678" ht="15.75" customHeight="1">
      <c r="D678" s="270"/>
      <c r="E678" s="270"/>
      <c r="F678" s="270"/>
      <c r="G678" s="270"/>
      <c r="H678" s="270"/>
      <c r="I678" s="270"/>
      <c r="J678" s="270"/>
      <c r="K678" s="270"/>
    </row>
    <row r="679" ht="15.75" customHeight="1">
      <c r="D679" s="270"/>
      <c r="E679" s="270"/>
      <c r="F679" s="270"/>
      <c r="G679" s="270"/>
      <c r="H679" s="270"/>
      <c r="I679" s="270"/>
      <c r="J679" s="270"/>
      <c r="K679" s="270"/>
    </row>
    <row r="680" ht="15.75" customHeight="1">
      <c r="D680" s="270"/>
      <c r="E680" s="270"/>
      <c r="F680" s="270"/>
      <c r="G680" s="270"/>
      <c r="H680" s="270"/>
      <c r="I680" s="270"/>
      <c r="J680" s="270"/>
      <c r="K680" s="270"/>
    </row>
    <row r="681" ht="15.75" customHeight="1">
      <c r="D681" s="270"/>
      <c r="E681" s="270"/>
      <c r="F681" s="270"/>
      <c r="G681" s="270"/>
      <c r="H681" s="270"/>
      <c r="I681" s="270"/>
      <c r="J681" s="270"/>
      <c r="K681" s="270"/>
    </row>
    <row r="682" ht="15.75" customHeight="1">
      <c r="D682" s="270"/>
      <c r="E682" s="270"/>
      <c r="F682" s="270"/>
      <c r="G682" s="270"/>
      <c r="H682" s="270"/>
      <c r="I682" s="270"/>
      <c r="J682" s="270"/>
      <c r="K682" s="270"/>
    </row>
    <row r="683" ht="15.75" customHeight="1">
      <c r="D683" s="270"/>
      <c r="E683" s="270"/>
      <c r="F683" s="270"/>
      <c r="G683" s="270"/>
      <c r="H683" s="270"/>
      <c r="I683" s="270"/>
      <c r="J683" s="270"/>
      <c r="K683" s="270"/>
    </row>
    <row r="684" ht="15.75" customHeight="1">
      <c r="D684" s="270"/>
      <c r="E684" s="270"/>
      <c r="F684" s="270"/>
      <c r="G684" s="270"/>
      <c r="H684" s="270"/>
      <c r="I684" s="270"/>
      <c r="J684" s="270"/>
      <c r="K684" s="270"/>
    </row>
    <row r="685" ht="15.75" customHeight="1">
      <c r="D685" s="270"/>
      <c r="E685" s="270"/>
      <c r="F685" s="270"/>
      <c r="G685" s="270"/>
      <c r="H685" s="270"/>
      <c r="I685" s="270"/>
      <c r="J685" s="270"/>
      <c r="K685" s="270"/>
    </row>
    <row r="686" ht="15.75" customHeight="1">
      <c r="D686" s="270"/>
      <c r="E686" s="270"/>
      <c r="F686" s="270"/>
      <c r="G686" s="270"/>
      <c r="H686" s="270"/>
      <c r="I686" s="270"/>
      <c r="J686" s="270"/>
      <c r="K686" s="270"/>
    </row>
    <row r="687" ht="15.75" customHeight="1">
      <c r="D687" s="270"/>
      <c r="E687" s="270"/>
      <c r="F687" s="270"/>
      <c r="G687" s="270"/>
      <c r="H687" s="270"/>
      <c r="I687" s="270"/>
      <c r="J687" s="270"/>
      <c r="K687" s="270"/>
    </row>
    <row r="688" ht="15.75" customHeight="1">
      <c r="D688" s="270"/>
      <c r="E688" s="270"/>
      <c r="F688" s="270"/>
      <c r="G688" s="270"/>
      <c r="H688" s="270"/>
      <c r="I688" s="270"/>
      <c r="J688" s="270"/>
      <c r="K688" s="270"/>
    </row>
    <row r="689" ht="15.75" customHeight="1">
      <c r="D689" s="270"/>
      <c r="E689" s="270"/>
      <c r="F689" s="270"/>
      <c r="G689" s="270"/>
      <c r="H689" s="270"/>
      <c r="I689" s="270"/>
      <c r="J689" s="270"/>
      <c r="K689" s="270"/>
    </row>
    <row r="690" ht="15.75" customHeight="1">
      <c r="D690" s="270"/>
      <c r="E690" s="270"/>
      <c r="F690" s="270"/>
      <c r="G690" s="270"/>
      <c r="H690" s="270"/>
      <c r="I690" s="270"/>
      <c r="J690" s="270"/>
      <c r="K690" s="270"/>
    </row>
    <row r="691" ht="15.75" customHeight="1">
      <c r="D691" s="270"/>
      <c r="E691" s="270"/>
      <c r="F691" s="270"/>
      <c r="G691" s="270"/>
      <c r="H691" s="270"/>
      <c r="I691" s="270"/>
      <c r="J691" s="270"/>
      <c r="K691" s="270"/>
    </row>
    <row r="692" ht="15.75" customHeight="1">
      <c r="D692" s="270"/>
      <c r="E692" s="270"/>
      <c r="F692" s="270"/>
      <c r="G692" s="270"/>
      <c r="H692" s="270"/>
      <c r="I692" s="270"/>
      <c r="J692" s="270"/>
      <c r="K692" s="270"/>
    </row>
    <row r="693" ht="15.75" customHeight="1">
      <c r="D693" s="270"/>
      <c r="E693" s="270"/>
      <c r="F693" s="270"/>
      <c r="G693" s="270"/>
      <c r="H693" s="270"/>
      <c r="I693" s="270"/>
      <c r="J693" s="270"/>
      <c r="K693" s="270"/>
    </row>
    <row r="694" ht="15.75" customHeight="1">
      <c r="D694" s="270"/>
      <c r="E694" s="270"/>
      <c r="F694" s="270"/>
      <c r="G694" s="270"/>
      <c r="H694" s="270"/>
      <c r="I694" s="270"/>
      <c r="J694" s="270"/>
      <c r="K694" s="270"/>
    </row>
    <row r="695" ht="15.75" customHeight="1">
      <c r="D695" s="270"/>
      <c r="E695" s="270"/>
      <c r="F695" s="270"/>
      <c r="G695" s="270"/>
      <c r="H695" s="270"/>
      <c r="I695" s="270"/>
      <c r="J695" s="270"/>
      <c r="K695" s="270"/>
    </row>
    <row r="696" ht="15.75" customHeight="1">
      <c r="D696" s="270"/>
      <c r="E696" s="270"/>
      <c r="F696" s="270"/>
      <c r="G696" s="270"/>
      <c r="H696" s="270"/>
      <c r="I696" s="270"/>
      <c r="J696" s="270"/>
      <c r="K696" s="270"/>
    </row>
    <row r="697" ht="15.75" customHeight="1">
      <c r="D697" s="270"/>
      <c r="E697" s="270"/>
      <c r="F697" s="270"/>
      <c r="G697" s="270"/>
      <c r="H697" s="270"/>
      <c r="I697" s="270"/>
      <c r="J697" s="270"/>
      <c r="K697" s="270"/>
    </row>
    <row r="698" ht="15.75" customHeight="1">
      <c r="D698" s="270"/>
      <c r="E698" s="270"/>
      <c r="F698" s="270"/>
      <c r="G698" s="270"/>
      <c r="H698" s="270"/>
      <c r="I698" s="270"/>
      <c r="J698" s="270"/>
      <c r="K698" s="270"/>
    </row>
    <row r="699" ht="15.75" customHeight="1">
      <c r="D699" s="270"/>
      <c r="E699" s="270"/>
      <c r="F699" s="270"/>
      <c r="G699" s="270"/>
      <c r="H699" s="270"/>
      <c r="I699" s="270"/>
      <c r="J699" s="270"/>
      <c r="K699" s="270"/>
    </row>
    <row r="700" ht="15.75" customHeight="1">
      <c r="D700" s="270"/>
      <c r="E700" s="270"/>
      <c r="F700" s="270"/>
      <c r="G700" s="270"/>
      <c r="H700" s="270"/>
      <c r="I700" s="270"/>
      <c r="J700" s="270"/>
      <c r="K700" s="270"/>
    </row>
    <row r="701" ht="15.75" customHeight="1">
      <c r="D701" s="270"/>
      <c r="E701" s="270"/>
      <c r="F701" s="270"/>
      <c r="G701" s="270"/>
      <c r="H701" s="270"/>
      <c r="I701" s="270"/>
      <c r="J701" s="270"/>
      <c r="K701" s="270"/>
    </row>
    <row r="702" ht="15.75" customHeight="1">
      <c r="D702" s="270"/>
      <c r="E702" s="270"/>
      <c r="F702" s="270"/>
      <c r="G702" s="270"/>
      <c r="H702" s="270"/>
      <c r="I702" s="270"/>
      <c r="J702" s="270"/>
      <c r="K702" s="270"/>
    </row>
    <row r="703" ht="15.75" customHeight="1">
      <c r="D703" s="270"/>
      <c r="E703" s="270"/>
      <c r="F703" s="270"/>
      <c r="G703" s="270"/>
      <c r="H703" s="270"/>
      <c r="I703" s="270"/>
      <c r="J703" s="270"/>
      <c r="K703" s="270"/>
    </row>
    <row r="704" ht="15.75" customHeight="1">
      <c r="D704" s="270"/>
      <c r="E704" s="270"/>
      <c r="F704" s="270"/>
      <c r="G704" s="270"/>
      <c r="H704" s="270"/>
      <c r="I704" s="270"/>
      <c r="J704" s="270"/>
      <c r="K704" s="270"/>
    </row>
    <row r="705" ht="15.75" customHeight="1">
      <c r="D705" s="270"/>
      <c r="E705" s="270"/>
      <c r="F705" s="270"/>
      <c r="G705" s="270"/>
      <c r="H705" s="270"/>
      <c r="I705" s="270"/>
      <c r="J705" s="270"/>
      <c r="K705" s="270"/>
    </row>
    <row r="706" ht="15.75" customHeight="1">
      <c r="D706" s="270"/>
      <c r="E706" s="270"/>
      <c r="F706" s="270"/>
      <c r="G706" s="270"/>
      <c r="H706" s="270"/>
      <c r="I706" s="270"/>
      <c r="J706" s="270"/>
      <c r="K706" s="270"/>
    </row>
    <row r="707" ht="15.75" customHeight="1">
      <c r="D707" s="270"/>
      <c r="E707" s="270"/>
      <c r="F707" s="270"/>
      <c r="G707" s="270"/>
      <c r="H707" s="270"/>
      <c r="I707" s="270"/>
      <c r="J707" s="270"/>
      <c r="K707" s="270"/>
    </row>
    <row r="708" ht="15.75" customHeight="1">
      <c r="D708" s="270"/>
      <c r="E708" s="270"/>
      <c r="F708" s="270"/>
      <c r="G708" s="270"/>
      <c r="H708" s="270"/>
      <c r="I708" s="270"/>
      <c r="J708" s="270"/>
      <c r="K708" s="270"/>
    </row>
    <row r="709" ht="15.75" customHeight="1">
      <c r="D709" s="270"/>
      <c r="E709" s="270"/>
      <c r="F709" s="270"/>
      <c r="G709" s="270"/>
      <c r="H709" s="270"/>
      <c r="I709" s="270"/>
      <c r="J709" s="270"/>
      <c r="K709" s="270"/>
    </row>
    <row r="710" ht="15.75" customHeight="1">
      <c r="D710" s="270"/>
      <c r="E710" s="270"/>
      <c r="F710" s="270"/>
      <c r="G710" s="270"/>
      <c r="H710" s="270"/>
      <c r="I710" s="270"/>
      <c r="J710" s="270"/>
      <c r="K710" s="270"/>
    </row>
    <row r="711" ht="15.75" customHeight="1">
      <c r="D711" s="270"/>
      <c r="E711" s="270"/>
      <c r="F711" s="270"/>
      <c r="G711" s="270"/>
      <c r="H711" s="270"/>
      <c r="I711" s="270"/>
      <c r="J711" s="270"/>
      <c r="K711" s="270"/>
    </row>
    <row r="712" ht="15.75" customHeight="1">
      <c r="D712" s="270"/>
      <c r="E712" s="270"/>
      <c r="F712" s="270"/>
      <c r="G712" s="270"/>
      <c r="H712" s="270"/>
      <c r="I712" s="270"/>
      <c r="J712" s="270"/>
      <c r="K712" s="270"/>
    </row>
    <row r="713" ht="15.75" customHeight="1">
      <c r="D713" s="270"/>
      <c r="E713" s="270"/>
      <c r="F713" s="270"/>
      <c r="G713" s="270"/>
      <c r="H713" s="270"/>
      <c r="I713" s="270"/>
      <c r="J713" s="270"/>
      <c r="K713" s="270"/>
    </row>
    <row r="714" ht="15.75" customHeight="1">
      <c r="D714" s="270"/>
      <c r="E714" s="270"/>
      <c r="F714" s="270"/>
      <c r="G714" s="270"/>
      <c r="H714" s="270"/>
      <c r="I714" s="270"/>
      <c r="J714" s="270"/>
      <c r="K714" s="270"/>
    </row>
    <row r="715" ht="15.75" customHeight="1">
      <c r="D715" s="270"/>
      <c r="E715" s="270"/>
      <c r="F715" s="270"/>
      <c r="G715" s="270"/>
      <c r="H715" s="270"/>
      <c r="I715" s="270"/>
      <c r="J715" s="270"/>
      <c r="K715" s="270"/>
    </row>
    <row r="716" ht="15.75" customHeight="1">
      <c r="D716" s="270"/>
      <c r="E716" s="270"/>
      <c r="F716" s="270"/>
      <c r="G716" s="270"/>
      <c r="H716" s="270"/>
      <c r="I716" s="270"/>
      <c r="J716" s="270"/>
      <c r="K716" s="270"/>
    </row>
    <row r="717" ht="15.75" customHeight="1">
      <c r="D717" s="270"/>
      <c r="E717" s="270"/>
      <c r="F717" s="270"/>
      <c r="G717" s="270"/>
      <c r="H717" s="270"/>
      <c r="I717" s="270"/>
      <c r="J717" s="270"/>
      <c r="K717" s="270"/>
    </row>
    <row r="718" ht="15.75" customHeight="1">
      <c r="D718" s="270"/>
      <c r="E718" s="270"/>
      <c r="F718" s="270"/>
      <c r="G718" s="270"/>
      <c r="H718" s="270"/>
      <c r="I718" s="270"/>
      <c r="J718" s="270"/>
      <c r="K718" s="270"/>
    </row>
    <row r="719" ht="15.75" customHeight="1">
      <c r="D719" s="270"/>
      <c r="E719" s="270"/>
      <c r="F719" s="270"/>
      <c r="G719" s="270"/>
      <c r="H719" s="270"/>
      <c r="I719" s="270"/>
      <c r="J719" s="270"/>
      <c r="K719" s="270"/>
    </row>
    <row r="720" ht="15.75" customHeight="1">
      <c r="D720" s="270"/>
      <c r="E720" s="270"/>
      <c r="F720" s="270"/>
      <c r="G720" s="270"/>
      <c r="H720" s="270"/>
      <c r="I720" s="270"/>
      <c r="J720" s="270"/>
      <c r="K720" s="270"/>
    </row>
    <row r="721" ht="15.75" customHeight="1">
      <c r="D721" s="270"/>
      <c r="E721" s="270"/>
      <c r="F721" s="270"/>
      <c r="G721" s="270"/>
      <c r="H721" s="270"/>
      <c r="I721" s="270"/>
      <c r="J721" s="270"/>
      <c r="K721" s="270"/>
    </row>
    <row r="722" ht="15.75" customHeight="1">
      <c r="D722" s="270"/>
      <c r="E722" s="270"/>
      <c r="F722" s="270"/>
      <c r="G722" s="270"/>
      <c r="H722" s="270"/>
      <c r="I722" s="270"/>
      <c r="J722" s="270"/>
      <c r="K722" s="270"/>
    </row>
    <row r="723" ht="15.75" customHeight="1">
      <c r="D723" s="270"/>
      <c r="E723" s="270"/>
      <c r="F723" s="270"/>
      <c r="G723" s="270"/>
      <c r="H723" s="270"/>
      <c r="I723" s="270"/>
      <c r="J723" s="270"/>
      <c r="K723" s="270"/>
    </row>
    <row r="724" ht="15.75" customHeight="1">
      <c r="D724" s="270"/>
      <c r="E724" s="270"/>
      <c r="F724" s="270"/>
      <c r="G724" s="270"/>
      <c r="H724" s="270"/>
      <c r="I724" s="270"/>
      <c r="J724" s="270"/>
      <c r="K724" s="270"/>
    </row>
    <row r="725" ht="15.75" customHeight="1">
      <c r="D725" s="270"/>
      <c r="E725" s="270"/>
      <c r="F725" s="270"/>
      <c r="G725" s="270"/>
      <c r="H725" s="270"/>
      <c r="I725" s="270"/>
      <c r="J725" s="270"/>
      <c r="K725" s="270"/>
    </row>
    <row r="726" ht="15.75" customHeight="1">
      <c r="D726" s="270"/>
      <c r="E726" s="270"/>
      <c r="F726" s="270"/>
      <c r="G726" s="270"/>
      <c r="H726" s="270"/>
      <c r="I726" s="270"/>
      <c r="J726" s="270"/>
      <c r="K726" s="270"/>
    </row>
    <row r="727" ht="15.75" customHeight="1">
      <c r="D727" s="270"/>
      <c r="E727" s="270"/>
      <c r="F727" s="270"/>
      <c r="G727" s="270"/>
      <c r="H727" s="270"/>
      <c r="I727" s="270"/>
      <c r="J727" s="270"/>
      <c r="K727" s="270"/>
    </row>
    <row r="728" ht="15.75" customHeight="1">
      <c r="D728" s="270"/>
      <c r="E728" s="270"/>
      <c r="F728" s="270"/>
      <c r="G728" s="270"/>
      <c r="H728" s="270"/>
      <c r="I728" s="270"/>
      <c r="J728" s="270"/>
      <c r="K728" s="270"/>
    </row>
    <row r="729" ht="15.75" customHeight="1">
      <c r="D729" s="270"/>
      <c r="E729" s="270"/>
      <c r="F729" s="270"/>
      <c r="G729" s="270"/>
      <c r="H729" s="270"/>
      <c r="I729" s="270"/>
      <c r="J729" s="270"/>
      <c r="K729" s="270"/>
    </row>
    <row r="730" ht="15.75" customHeight="1">
      <c r="D730" s="270"/>
      <c r="E730" s="270"/>
      <c r="F730" s="270"/>
      <c r="G730" s="270"/>
      <c r="H730" s="270"/>
      <c r="I730" s="270"/>
      <c r="J730" s="270"/>
      <c r="K730" s="270"/>
    </row>
    <row r="731" ht="15.75" customHeight="1">
      <c r="D731" s="270"/>
      <c r="E731" s="270"/>
      <c r="F731" s="270"/>
      <c r="G731" s="270"/>
      <c r="H731" s="270"/>
      <c r="I731" s="270"/>
      <c r="J731" s="270"/>
      <c r="K731" s="270"/>
    </row>
    <row r="732" ht="15.75" customHeight="1">
      <c r="D732" s="270"/>
      <c r="E732" s="270"/>
      <c r="F732" s="270"/>
      <c r="G732" s="270"/>
      <c r="H732" s="270"/>
      <c r="I732" s="270"/>
      <c r="J732" s="270"/>
      <c r="K732" s="270"/>
    </row>
    <row r="733" ht="15.75" customHeight="1">
      <c r="D733" s="270"/>
      <c r="E733" s="270"/>
      <c r="F733" s="270"/>
      <c r="G733" s="270"/>
      <c r="H733" s="270"/>
      <c r="I733" s="270"/>
      <c r="J733" s="270"/>
      <c r="K733" s="270"/>
    </row>
    <row r="734" ht="15.75" customHeight="1">
      <c r="D734" s="270"/>
      <c r="E734" s="270"/>
      <c r="F734" s="270"/>
      <c r="G734" s="270"/>
      <c r="H734" s="270"/>
      <c r="I734" s="270"/>
      <c r="J734" s="270"/>
      <c r="K734" s="270"/>
    </row>
    <row r="735" ht="15.75" customHeight="1">
      <c r="D735" s="270"/>
      <c r="E735" s="270"/>
      <c r="F735" s="270"/>
      <c r="G735" s="270"/>
      <c r="H735" s="270"/>
      <c r="I735" s="270"/>
      <c r="J735" s="270"/>
      <c r="K735" s="270"/>
    </row>
    <row r="736" ht="15.75" customHeight="1">
      <c r="D736" s="270"/>
      <c r="E736" s="270"/>
      <c r="F736" s="270"/>
      <c r="G736" s="270"/>
      <c r="H736" s="270"/>
      <c r="I736" s="270"/>
      <c r="J736" s="270"/>
      <c r="K736" s="270"/>
    </row>
    <row r="737" ht="15.75" customHeight="1">
      <c r="D737" s="270"/>
      <c r="E737" s="270"/>
      <c r="F737" s="270"/>
      <c r="G737" s="270"/>
      <c r="H737" s="270"/>
      <c r="I737" s="270"/>
      <c r="J737" s="270"/>
      <c r="K737" s="270"/>
    </row>
    <row r="738" ht="15.75" customHeight="1">
      <c r="D738" s="270"/>
      <c r="E738" s="270"/>
      <c r="F738" s="270"/>
      <c r="G738" s="270"/>
      <c r="H738" s="270"/>
      <c r="I738" s="270"/>
      <c r="J738" s="270"/>
      <c r="K738" s="270"/>
    </row>
    <row r="739" ht="15.75" customHeight="1">
      <c r="D739" s="270"/>
      <c r="E739" s="270"/>
      <c r="F739" s="270"/>
      <c r="G739" s="270"/>
      <c r="H739" s="270"/>
      <c r="I739" s="270"/>
      <c r="J739" s="270"/>
      <c r="K739" s="270"/>
    </row>
    <row r="740" ht="15.75" customHeight="1">
      <c r="D740" s="270"/>
      <c r="E740" s="270"/>
      <c r="F740" s="270"/>
      <c r="G740" s="270"/>
      <c r="H740" s="270"/>
      <c r="I740" s="270"/>
      <c r="J740" s="270"/>
      <c r="K740" s="270"/>
    </row>
    <row r="741" ht="15.75" customHeight="1">
      <c r="D741" s="270"/>
      <c r="E741" s="270"/>
      <c r="F741" s="270"/>
      <c r="G741" s="270"/>
      <c r="H741" s="270"/>
      <c r="I741" s="270"/>
      <c r="J741" s="270"/>
      <c r="K741" s="270"/>
    </row>
    <row r="742" ht="15.75" customHeight="1">
      <c r="D742" s="270"/>
      <c r="E742" s="270"/>
      <c r="F742" s="270"/>
      <c r="G742" s="270"/>
      <c r="H742" s="270"/>
      <c r="I742" s="270"/>
      <c r="J742" s="270"/>
      <c r="K742" s="270"/>
    </row>
    <row r="743" ht="15.75" customHeight="1">
      <c r="D743" s="270"/>
      <c r="E743" s="270"/>
      <c r="F743" s="270"/>
      <c r="G743" s="270"/>
      <c r="H743" s="270"/>
      <c r="I743" s="270"/>
      <c r="J743" s="270"/>
      <c r="K743" s="270"/>
    </row>
    <row r="744" ht="15.75" customHeight="1">
      <c r="D744" s="270"/>
      <c r="E744" s="270"/>
      <c r="F744" s="270"/>
      <c r="G744" s="270"/>
      <c r="H744" s="270"/>
      <c r="I744" s="270"/>
      <c r="J744" s="270"/>
      <c r="K744" s="270"/>
    </row>
    <row r="745" ht="15.75" customHeight="1">
      <c r="D745" s="270"/>
      <c r="E745" s="270"/>
      <c r="F745" s="270"/>
      <c r="G745" s="270"/>
      <c r="H745" s="270"/>
      <c r="I745" s="270"/>
      <c r="J745" s="270"/>
      <c r="K745" s="270"/>
    </row>
    <row r="746" ht="15.75" customHeight="1">
      <c r="D746" s="270"/>
      <c r="E746" s="270"/>
      <c r="F746" s="270"/>
      <c r="G746" s="270"/>
      <c r="H746" s="270"/>
      <c r="I746" s="270"/>
      <c r="J746" s="270"/>
      <c r="K746" s="270"/>
    </row>
    <row r="747" ht="15.75" customHeight="1">
      <c r="D747" s="270"/>
      <c r="E747" s="270"/>
      <c r="F747" s="270"/>
      <c r="G747" s="270"/>
      <c r="H747" s="270"/>
      <c r="I747" s="270"/>
      <c r="J747" s="270"/>
      <c r="K747" s="270"/>
    </row>
    <row r="748" ht="15.75" customHeight="1">
      <c r="D748" s="270"/>
      <c r="E748" s="270"/>
      <c r="F748" s="270"/>
      <c r="G748" s="270"/>
      <c r="H748" s="270"/>
      <c r="I748" s="270"/>
      <c r="J748" s="270"/>
      <c r="K748" s="270"/>
    </row>
    <row r="749" ht="15.75" customHeight="1">
      <c r="D749" s="270"/>
      <c r="E749" s="270"/>
      <c r="F749" s="270"/>
      <c r="G749" s="270"/>
      <c r="H749" s="270"/>
      <c r="I749" s="270"/>
      <c r="J749" s="270"/>
      <c r="K749" s="270"/>
    </row>
    <row r="750" ht="15.75" customHeight="1">
      <c r="D750" s="270"/>
      <c r="E750" s="270"/>
      <c r="F750" s="270"/>
      <c r="G750" s="270"/>
      <c r="H750" s="270"/>
      <c r="I750" s="270"/>
      <c r="J750" s="270"/>
      <c r="K750" s="270"/>
    </row>
    <row r="751" ht="15.75" customHeight="1">
      <c r="D751" s="270"/>
      <c r="E751" s="270"/>
      <c r="F751" s="270"/>
      <c r="G751" s="270"/>
      <c r="H751" s="270"/>
      <c r="I751" s="270"/>
      <c r="J751" s="270"/>
      <c r="K751" s="270"/>
    </row>
    <row r="752" ht="15.75" customHeight="1">
      <c r="D752" s="270"/>
      <c r="E752" s="270"/>
      <c r="F752" s="270"/>
      <c r="G752" s="270"/>
      <c r="H752" s="270"/>
      <c r="I752" s="270"/>
      <c r="J752" s="270"/>
      <c r="K752" s="270"/>
    </row>
    <row r="753" ht="15.75" customHeight="1">
      <c r="D753" s="270"/>
      <c r="E753" s="270"/>
      <c r="F753" s="270"/>
      <c r="G753" s="270"/>
      <c r="H753" s="270"/>
      <c r="I753" s="270"/>
      <c r="J753" s="270"/>
      <c r="K753" s="270"/>
    </row>
    <row r="754" ht="15.75" customHeight="1">
      <c r="D754" s="270"/>
      <c r="E754" s="270"/>
      <c r="F754" s="270"/>
      <c r="G754" s="270"/>
      <c r="H754" s="270"/>
      <c r="I754" s="270"/>
      <c r="J754" s="270"/>
      <c r="K754" s="270"/>
    </row>
    <row r="755" ht="15.75" customHeight="1">
      <c r="D755" s="270"/>
      <c r="E755" s="270"/>
      <c r="F755" s="270"/>
      <c r="G755" s="270"/>
      <c r="H755" s="270"/>
      <c r="I755" s="270"/>
      <c r="J755" s="270"/>
      <c r="K755" s="270"/>
    </row>
    <row r="756" ht="15.75" customHeight="1">
      <c r="D756" s="270"/>
      <c r="E756" s="270"/>
      <c r="F756" s="270"/>
      <c r="G756" s="270"/>
      <c r="H756" s="270"/>
      <c r="I756" s="270"/>
      <c r="J756" s="270"/>
      <c r="K756" s="270"/>
    </row>
    <row r="757" ht="15.75" customHeight="1">
      <c r="D757" s="270"/>
      <c r="E757" s="270"/>
      <c r="F757" s="270"/>
      <c r="G757" s="270"/>
      <c r="H757" s="270"/>
      <c r="I757" s="270"/>
      <c r="J757" s="270"/>
      <c r="K757" s="270"/>
    </row>
    <row r="758" ht="15.75" customHeight="1">
      <c r="D758" s="270"/>
      <c r="E758" s="270"/>
      <c r="F758" s="270"/>
      <c r="G758" s="270"/>
      <c r="H758" s="270"/>
      <c r="I758" s="270"/>
      <c r="J758" s="270"/>
      <c r="K758" s="270"/>
    </row>
    <row r="759" ht="15.75" customHeight="1">
      <c r="D759" s="270"/>
      <c r="E759" s="270"/>
      <c r="F759" s="270"/>
      <c r="G759" s="270"/>
      <c r="H759" s="270"/>
      <c r="I759" s="270"/>
      <c r="J759" s="270"/>
      <c r="K759" s="270"/>
    </row>
    <row r="760" ht="15.75" customHeight="1">
      <c r="D760" s="270"/>
      <c r="E760" s="270"/>
      <c r="F760" s="270"/>
      <c r="G760" s="270"/>
      <c r="H760" s="270"/>
      <c r="I760" s="270"/>
      <c r="J760" s="270"/>
      <c r="K760" s="270"/>
    </row>
    <row r="761" ht="15.75" customHeight="1">
      <c r="D761" s="270"/>
      <c r="E761" s="270"/>
      <c r="F761" s="270"/>
      <c r="G761" s="270"/>
      <c r="H761" s="270"/>
      <c r="I761" s="270"/>
      <c r="J761" s="270"/>
      <c r="K761" s="270"/>
    </row>
    <row r="762" ht="15.75" customHeight="1">
      <c r="D762" s="270"/>
      <c r="E762" s="270"/>
      <c r="F762" s="270"/>
      <c r="G762" s="270"/>
      <c r="H762" s="270"/>
      <c r="I762" s="270"/>
      <c r="J762" s="270"/>
      <c r="K762" s="270"/>
    </row>
    <row r="763" ht="15.75" customHeight="1">
      <c r="D763" s="270"/>
      <c r="E763" s="270"/>
      <c r="F763" s="270"/>
      <c r="G763" s="270"/>
      <c r="H763" s="270"/>
      <c r="I763" s="270"/>
      <c r="J763" s="270"/>
      <c r="K763" s="270"/>
    </row>
    <row r="764" ht="15.75" customHeight="1">
      <c r="D764" s="270"/>
      <c r="E764" s="270"/>
      <c r="F764" s="270"/>
      <c r="G764" s="270"/>
      <c r="H764" s="270"/>
      <c r="I764" s="270"/>
      <c r="J764" s="270"/>
      <c r="K764" s="270"/>
    </row>
    <row r="765" ht="15.75" customHeight="1">
      <c r="D765" s="270"/>
      <c r="E765" s="270"/>
      <c r="F765" s="270"/>
      <c r="G765" s="270"/>
      <c r="H765" s="270"/>
      <c r="I765" s="270"/>
      <c r="J765" s="270"/>
      <c r="K765" s="270"/>
    </row>
    <row r="766" ht="15.75" customHeight="1">
      <c r="D766" s="270"/>
      <c r="E766" s="270"/>
      <c r="F766" s="270"/>
      <c r="G766" s="270"/>
      <c r="H766" s="270"/>
      <c r="I766" s="270"/>
      <c r="J766" s="270"/>
      <c r="K766" s="270"/>
    </row>
    <row r="767" ht="15.75" customHeight="1">
      <c r="D767" s="270"/>
      <c r="E767" s="270"/>
      <c r="F767" s="270"/>
      <c r="G767" s="270"/>
      <c r="H767" s="270"/>
      <c r="I767" s="270"/>
      <c r="J767" s="270"/>
      <c r="K767" s="270"/>
    </row>
    <row r="768" ht="15.75" customHeight="1">
      <c r="D768" s="270"/>
      <c r="E768" s="270"/>
      <c r="F768" s="270"/>
      <c r="G768" s="270"/>
      <c r="H768" s="270"/>
      <c r="I768" s="270"/>
      <c r="J768" s="270"/>
      <c r="K768" s="270"/>
    </row>
    <row r="769" ht="15.75" customHeight="1">
      <c r="D769" s="270"/>
      <c r="E769" s="270"/>
      <c r="F769" s="270"/>
      <c r="G769" s="270"/>
      <c r="H769" s="270"/>
      <c r="I769" s="270"/>
      <c r="J769" s="270"/>
      <c r="K769" s="270"/>
    </row>
    <row r="770" ht="15.75" customHeight="1">
      <c r="D770" s="270"/>
      <c r="E770" s="270"/>
      <c r="F770" s="270"/>
      <c r="G770" s="270"/>
      <c r="H770" s="270"/>
      <c r="I770" s="270"/>
      <c r="J770" s="270"/>
      <c r="K770" s="270"/>
    </row>
    <row r="771" ht="15.75" customHeight="1">
      <c r="D771" s="270"/>
      <c r="E771" s="270"/>
      <c r="F771" s="270"/>
      <c r="G771" s="270"/>
      <c r="H771" s="270"/>
      <c r="I771" s="270"/>
      <c r="J771" s="270"/>
      <c r="K771" s="270"/>
    </row>
    <row r="772" ht="15.75" customHeight="1">
      <c r="D772" s="270"/>
      <c r="E772" s="270"/>
      <c r="F772" s="270"/>
      <c r="G772" s="270"/>
      <c r="H772" s="270"/>
      <c r="I772" s="270"/>
      <c r="J772" s="270"/>
      <c r="K772" s="270"/>
    </row>
    <row r="773" ht="15.75" customHeight="1">
      <c r="D773" s="270"/>
      <c r="E773" s="270"/>
      <c r="F773" s="270"/>
      <c r="G773" s="270"/>
      <c r="H773" s="270"/>
      <c r="I773" s="270"/>
      <c r="J773" s="270"/>
      <c r="K773" s="270"/>
    </row>
    <row r="774" ht="15.75" customHeight="1">
      <c r="D774" s="270"/>
      <c r="E774" s="270"/>
      <c r="F774" s="270"/>
      <c r="G774" s="270"/>
      <c r="H774" s="270"/>
      <c r="I774" s="270"/>
      <c r="J774" s="270"/>
      <c r="K774" s="270"/>
    </row>
    <row r="775" ht="15.75" customHeight="1">
      <c r="D775" s="270"/>
      <c r="E775" s="270"/>
      <c r="F775" s="270"/>
      <c r="G775" s="270"/>
      <c r="H775" s="270"/>
      <c r="I775" s="270"/>
      <c r="J775" s="270"/>
      <c r="K775" s="270"/>
    </row>
    <row r="776" ht="15.75" customHeight="1">
      <c r="D776" s="270"/>
      <c r="E776" s="270"/>
      <c r="F776" s="270"/>
      <c r="G776" s="270"/>
      <c r="H776" s="270"/>
      <c r="I776" s="270"/>
      <c r="J776" s="270"/>
      <c r="K776" s="270"/>
    </row>
    <row r="777" ht="15.75" customHeight="1">
      <c r="D777" s="270"/>
      <c r="E777" s="270"/>
      <c r="F777" s="270"/>
      <c r="G777" s="270"/>
      <c r="H777" s="270"/>
      <c r="I777" s="270"/>
      <c r="J777" s="270"/>
      <c r="K777" s="270"/>
    </row>
    <row r="778" ht="15.75" customHeight="1">
      <c r="D778" s="270"/>
      <c r="E778" s="270"/>
      <c r="F778" s="270"/>
      <c r="G778" s="270"/>
      <c r="H778" s="270"/>
      <c r="I778" s="270"/>
      <c r="J778" s="270"/>
      <c r="K778" s="270"/>
    </row>
    <row r="779" ht="15.75" customHeight="1">
      <c r="D779" s="270"/>
      <c r="E779" s="270"/>
      <c r="F779" s="270"/>
      <c r="G779" s="270"/>
      <c r="H779" s="270"/>
      <c r="I779" s="270"/>
      <c r="J779" s="270"/>
      <c r="K779" s="270"/>
    </row>
    <row r="780" ht="15.75" customHeight="1">
      <c r="D780" s="270"/>
      <c r="E780" s="270"/>
      <c r="F780" s="270"/>
      <c r="G780" s="270"/>
      <c r="H780" s="270"/>
      <c r="I780" s="270"/>
      <c r="J780" s="270"/>
      <c r="K780" s="270"/>
    </row>
    <row r="781" ht="15.75" customHeight="1">
      <c r="D781" s="270"/>
      <c r="E781" s="270"/>
      <c r="F781" s="270"/>
      <c r="G781" s="270"/>
      <c r="H781" s="270"/>
      <c r="I781" s="270"/>
      <c r="J781" s="270"/>
      <c r="K781" s="270"/>
    </row>
    <row r="782" ht="15.75" customHeight="1">
      <c r="D782" s="270"/>
      <c r="E782" s="270"/>
      <c r="F782" s="270"/>
      <c r="G782" s="270"/>
      <c r="H782" s="270"/>
      <c r="I782" s="270"/>
      <c r="J782" s="270"/>
      <c r="K782" s="270"/>
    </row>
    <row r="783" ht="15.75" customHeight="1">
      <c r="D783" s="270"/>
      <c r="E783" s="270"/>
      <c r="F783" s="270"/>
      <c r="G783" s="270"/>
      <c r="H783" s="270"/>
      <c r="I783" s="270"/>
      <c r="J783" s="270"/>
      <c r="K783" s="270"/>
    </row>
    <row r="784" ht="15.75" customHeight="1">
      <c r="D784" s="270"/>
      <c r="E784" s="270"/>
      <c r="F784" s="270"/>
      <c r="G784" s="270"/>
      <c r="H784" s="270"/>
      <c r="I784" s="270"/>
      <c r="J784" s="270"/>
      <c r="K784" s="270"/>
    </row>
    <row r="785" ht="15.75" customHeight="1">
      <c r="D785" s="270"/>
      <c r="E785" s="270"/>
      <c r="F785" s="270"/>
      <c r="G785" s="270"/>
      <c r="H785" s="270"/>
      <c r="I785" s="270"/>
      <c r="J785" s="270"/>
      <c r="K785" s="270"/>
    </row>
    <row r="786" ht="15.75" customHeight="1">
      <c r="D786" s="270"/>
      <c r="E786" s="270"/>
      <c r="F786" s="270"/>
      <c r="G786" s="270"/>
      <c r="H786" s="270"/>
      <c r="I786" s="270"/>
      <c r="J786" s="270"/>
      <c r="K786" s="270"/>
    </row>
    <row r="787" ht="15.75" customHeight="1">
      <c r="D787" s="270"/>
      <c r="E787" s="270"/>
      <c r="F787" s="270"/>
      <c r="G787" s="270"/>
      <c r="H787" s="270"/>
      <c r="I787" s="270"/>
      <c r="J787" s="270"/>
      <c r="K787" s="270"/>
    </row>
    <row r="788" ht="15.75" customHeight="1">
      <c r="D788" s="270"/>
      <c r="E788" s="270"/>
      <c r="F788" s="270"/>
      <c r="G788" s="270"/>
      <c r="H788" s="270"/>
      <c r="I788" s="270"/>
      <c r="J788" s="270"/>
      <c r="K788" s="270"/>
    </row>
    <row r="789" ht="15.75" customHeight="1">
      <c r="D789" s="270"/>
      <c r="E789" s="270"/>
      <c r="F789" s="270"/>
      <c r="G789" s="270"/>
      <c r="H789" s="270"/>
      <c r="I789" s="270"/>
      <c r="J789" s="270"/>
      <c r="K789" s="270"/>
    </row>
    <row r="790" ht="15.75" customHeight="1">
      <c r="D790" s="270"/>
      <c r="E790" s="270"/>
      <c r="F790" s="270"/>
      <c r="G790" s="270"/>
      <c r="H790" s="270"/>
      <c r="I790" s="270"/>
      <c r="J790" s="270"/>
      <c r="K790" s="270"/>
    </row>
    <row r="791" ht="15.75" customHeight="1">
      <c r="D791" s="270"/>
      <c r="E791" s="270"/>
      <c r="F791" s="270"/>
      <c r="G791" s="270"/>
      <c r="H791" s="270"/>
      <c r="I791" s="270"/>
      <c r="J791" s="270"/>
      <c r="K791" s="270"/>
    </row>
    <row r="792" ht="15.75" customHeight="1">
      <c r="D792" s="270"/>
      <c r="E792" s="270"/>
      <c r="F792" s="270"/>
      <c r="G792" s="270"/>
      <c r="H792" s="270"/>
      <c r="I792" s="270"/>
      <c r="J792" s="270"/>
      <c r="K792" s="270"/>
    </row>
    <row r="793" ht="15.75" customHeight="1">
      <c r="D793" s="270"/>
      <c r="E793" s="270"/>
      <c r="F793" s="270"/>
      <c r="G793" s="270"/>
      <c r="H793" s="270"/>
      <c r="I793" s="270"/>
      <c r="J793" s="270"/>
      <c r="K793" s="270"/>
    </row>
    <row r="794" ht="15.75" customHeight="1">
      <c r="D794" s="270"/>
      <c r="E794" s="270"/>
      <c r="F794" s="270"/>
      <c r="G794" s="270"/>
      <c r="H794" s="270"/>
      <c r="I794" s="270"/>
      <c r="J794" s="270"/>
      <c r="K794" s="270"/>
    </row>
    <row r="795" ht="15.75" customHeight="1">
      <c r="D795" s="270"/>
      <c r="E795" s="270"/>
      <c r="F795" s="270"/>
      <c r="G795" s="270"/>
      <c r="H795" s="270"/>
      <c r="I795" s="270"/>
      <c r="J795" s="270"/>
      <c r="K795" s="270"/>
    </row>
    <row r="796" ht="15.75" customHeight="1">
      <c r="D796" s="270"/>
      <c r="E796" s="270"/>
      <c r="F796" s="270"/>
      <c r="G796" s="270"/>
      <c r="H796" s="270"/>
      <c r="I796" s="270"/>
      <c r="J796" s="270"/>
      <c r="K796" s="270"/>
    </row>
    <row r="797" ht="15.75" customHeight="1">
      <c r="D797" s="270"/>
      <c r="E797" s="270"/>
      <c r="F797" s="270"/>
      <c r="G797" s="270"/>
      <c r="H797" s="270"/>
      <c r="I797" s="270"/>
      <c r="J797" s="270"/>
      <c r="K797" s="270"/>
    </row>
    <row r="798" ht="15.75" customHeight="1">
      <c r="D798" s="270"/>
      <c r="E798" s="270"/>
      <c r="F798" s="270"/>
      <c r="G798" s="270"/>
      <c r="H798" s="270"/>
      <c r="I798" s="270"/>
      <c r="J798" s="270"/>
      <c r="K798" s="270"/>
    </row>
    <row r="799" ht="15.75" customHeight="1">
      <c r="D799" s="270"/>
      <c r="E799" s="270"/>
      <c r="F799" s="270"/>
      <c r="G799" s="270"/>
      <c r="H799" s="270"/>
      <c r="I799" s="270"/>
      <c r="J799" s="270"/>
      <c r="K799" s="270"/>
    </row>
    <row r="800" ht="15.75" customHeight="1">
      <c r="D800" s="270"/>
      <c r="E800" s="270"/>
      <c r="F800" s="270"/>
      <c r="G800" s="270"/>
      <c r="H800" s="270"/>
      <c r="I800" s="270"/>
      <c r="J800" s="270"/>
      <c r="K800" s="270"/>
    </row>
    <row r="801" ht="15.75" customHeight="1">
      <c r="D801" s="270"/>
      <c r="E801" s="270"/>
      <c r="F801" s="270"/>
      <c r="G801" s="270"/>
      <c r="H801" s="270"/>
      <c r="I801" s="270"/>
      <c r="J801" s="270"/>
      <c r="K801" s="270"/>
    </row>
    <row r="802" ht="15.75" customHeight="1">
      <c r="D802" s="270"/>
      <c r="E802" s="270"/>
      <c r="F802" s="270"/>
      <c r="G802" s="270"/>
      <c r="H802" s="270"/>
      <c r="I802" s="270"/>
      <c r="J802" s="270"/>
      <c r="K802" s="270"/>
    </row>
    <row r="803" ht="15.75" customHeight="1">
      <c r="D803" s="270"/>
      <c r="E803" s="270"/>
      <c r="F803" s="270"/>
      <c r="G803" s="270"/>
      <c r="H803" s="270"/>
      <c r="I803" s="270"/>
      <c r="J803" s="270"/>
      <c r="K803" s="270"/>
    </row>
    <row r="804" ht="15.75" customHeight="1">
      <c r="D804" s="270"/>
      <c r="E804" s="270"/>
      <c r="F804" s="270"/>
      <c r="G804" s="270"/>
      <c r="H804" s="270"/>
      <c r="I804" s="270"/>
      <c r="J804" s="270"/>
      <c r="K804" s="270"/>
    </row>
    <row r="805" ht="15.75" customHeight="1">
      <c r="D805" s="270"/>
      <c r="E805" s="270"/>
      <c r="F805" s="270"/>
      <c r="G805" s="270"/>
      <c r="H805" s="270"/>
      <c r="I805" s="270"/>
      <c r="J805" s="270"/>
      <c r="K805" s="270"/>
    </row>
    <row r="806" ht="15.75" customHeight="1">
      <c r="D806" s="270"/>
      <c r="E806" s="270"/>
      <c r="F806" s="270"/>
      <c r="G806" s="270"/>
      <c r="H806" s="270"/>
      <c r="I806" s="270"/>
      <c r="J806" s="270"/>
      <c r="K806" s="270"/>
    </row>
    <row r="807" ht="15.75" customHeight="1">
      <c r="D807" s="270"/>
      <c r="E807" s="270"/>
      <c r="F807" s="270"/>
      <c r="G807" s="270"/>
      <c r="H807" s="270"/>
      <c r="I807" s="270"/>
      <c r="J807" s="270"/>
      <c r="K807" s="270"/>
    </row>
    <row r="808" ht="15.75" customHeight="1">
      <c r="D808" s="270"/>
      <c r="E808" s="270"/>
      <c r="F808" s="270"/>
      <c r="G808" s="270"/>
      <c r="H808" s="270"/>
      <c r="I808" s="270"/>
      <c r="J808" s="270"/>
      <c r="K808" s="270"/>
    </row>
    <row r="809" ht="15.75" customHeight="1">
      <c r="D809" s="270"/>
      <c r="E809" s="270"/>
      <c r="F809" s="270"/>
      <c r="G809" s="270"/>
      <c r="H809" s="270"/>
      <c r="I809" s="270"/>
      <c r="J809" s="270"/>
      <c r="K809" s="270"/>
    </row>
    <row r="810" ht="15.75" customHeight="1">
      <c r="D810" s="270"/>
      <c r="E810" s="270"/>
      <c r="F810" s="270"/>
      <c r="G810" s="270"/>
      <c r="H810" s="270"/>
      <c r="I810" s="270"/>
      <c r="J810" s="270"/>
      <c r="K810" s="270"/>
    </row>
    <row r="811" ht="15.75" customHeight="1">
      <c r="D811" s="270"/>
      <c r="E811" s="270"/>
      <c r="F811" s="270"/>
      <c r="G811" s="270"/>
      <c r="H811" s="270"/>
      <c r="I811" s="270"/>
      <c r="J811" s="270"/>
      <c r="K811" s="270"/>
    </row>
    <row r="812" ht="15.75" customHeight="1">
      <c r="D812" s="270"/>
      <c r="E812" s="270"/>
      <c r="F812" s="270"/>
      <c r="G812" s="270"/>
      <c r="H812" s="270"/>
      <c r="I812" s="270"/>
      <c r="J812" s="270"/>
      <c r="K812" s="270"/>
    </row>
    <row r="813" ht="15.75" customHeight="1">
      <c r="D813" s="270"/>
      <c r="E813" s="270"/>
      <c r="F813" s="270"/>
      <c r="G813" s="270"/>
      <c r="H813" s="270"/>
      <c r="I813" s="270"/>
      <c r="J813" s="270"/>
      <c r="K813" s="270"/>
    </row>
    <row r="814" ht="15.75" customHeight="1">
      <c r="D814" s="270"/>
      <c r="E814" s="270"/>
      <c r="F814" s="270"/>
      <c r="G814" s="270"/>
      <c r="H814" s="270"/>
      <c r="I814" s="270"/>
      <c r="J814" s="270"/>
      <c r="K814" s="270"/>
    </row>
    <row r="815" ht="15.75" customHeight="1">
      <c r="D815" s="270"/>
      <c r="E815" s="270"/>
      <c r="F815" s="270"/>
      <c r="G815" s="270"/>
      <c r="H815" s="270"/>
      <c r="I815" s="270"/>
      <c r="J815" s="270"/>
      <c r="K815" s="270"/>
    </row>
    <row r="816" ht="15.75" customHeight="1">
      <c r="D816" s="270"/>
      <c r="E816" s="270"/>
      <c r="F816" s="270"/>
      <c r="G816" s="270"/>
      <c r="H816" s="270"/>
      <c r="I816" s="270"/>
      <c r="J816" s="270"/>
      <c r="K816" s="270"/>
    </row>
    <row r="817" ht="15.75" customHeight="1">
      <c r="D817" s="270"/>
      <c r="E817" s="270"/>
      <c r="F817" s="270"/>
      <c r="G817" s="270"/>
      <c r="H817" s="270"/>
      <c r="I817" s="270"/>
      <c r="J817" s="270"/>
      <c r="K817" s="270"/>
    </row>
    <row r="818" ht="15.75" customHeight="1">
      <c r="D818" s="270"/>
      <c r="E818" s="270"/>
      <c r="F818" s="270"/>
      <c r="G818" s="270"/>
      <c r="H818" s="270"/>
      <c r="I818" s="270"/>
      <c r="J818" s="270"/>
      <c r="K818" s="270"/>
    </row>
    <row r="819" ht="15.75" customHeight="1">
      <c r="D819" s="270"/>
      <c r="E819" s="270"/>
      <c r="F819" s="270"/>
      <c r="G819" s="270"/>
      <c r="H819" s="270"/>
      <c r="I819" s="270"/>
      <c r="J819" s="270"/>
      <c r="K819" s="270"/>
    </row>
    <row r="820" ht="15.75" customHeight="1">
      <c r="D820" s="270"/>
      <c r="E820" s="270"/>
      <c r="F820" s="270"/>
      <c r="G820" s="270"/>
      <c r="H820" s="270"/>
      <c r="I820" s="270"/>
      <c r="J820" s="270"/>
      <c r="K820" s="270"/>
    </row>
    <row r="821" ht="15.75" customHeight="1">
      <c r="D821" s="270"/>
      <c r="E821" s="270"/>
      <c r="F821" s="270"/>
      <c r="G821" s="270"/>
      <c r="H821" s="270"/>
      <c r="I821" s="270"/>
      <c r="J821" s="270"/>
      <c r="K821" s="270"/>
    </row>
    <row r="822" ht="15.75" customHeight="1">
      <c r="D822" s="270"/>
      <c r="E822" s="270"/>
      <c r="F822" s="270"/>
      <c r="G822" s="270"/>
      <c r="H822" s="270"/>
      <c r="I822" s="270"/>
      <c r="J822" s="270"/>
      <c r="K822" s="270"/>
    </row>
    <row r="823" ht="15.75" customHeight="1">
      <c r="D823" s="270"/>
      <c r="E823" s="270"/>
      <c r="F823" s="270"/>
      <c r="G823" s="270"/>
      <c r="H823" s="270"/>
      <c r="I823" s="270"/>
      <c r="J823" s="270"/>
      <c r="K823" s="270"/>
    </row>
    <row r="824" ht="15.75" customHeight="1">
      <c r="D824" s="270"/>
      <c r="E824" s="270"/>
      <c r="F824" s="270"/>
      <c r="G824" s="270"/>
      <c r="H824" s="270"/>
      <c r="I824" s="270"/>
      <c r="J824" s="270"/>
      <c r="K824" s="270"/>
    </row>
    <row r="825" ht="15.75" customHeight="1">
      <c r="D825" s="270"/>
      <c r="E825" s="270"/>
      <c r="F825" s="270"/>
      <c r="G825" s="270"/>
      <c r="H825" s="270"/>
      <c r="I825" s="270"/>
      <c r="J825" s="270"/>
      <c r="K825" s="270"/>
    </row>
    <row r="826" ht="15.75" customHeight="1">
      <c r="D826" s="270"/>
      <c r="E826" s="270"/>
      <c r="F826" s="270"/>
      <c r="G826" s="270"/>
      <c r="H826" s="270"/>
      <c r="I826" s="270"/>
      <c r="J826" s="270"/>
      <c r="K826" s="270"/>
    </row>
    <row r="827" ht="15.75" customHeight="1">
      <c r="D827" s="270"/>
      <c r="E827" s="270"/>
      <c r="F827" s="270"/>
      <c r="G827" s="270"/>
      <c r="H827" s="270"/>
      <c r="I827" s="270"/>
      <c r="J827" s="270"/>
      <c r="K827" s="270"/>
    </row>
    <row r="828" ht="15.75" customHeight="1">
      <c r="D828" s="270"/>
      <c r="E828" s="270"/>
      <c r="F828" s="270"/>
      <c r="G828" s="270"/>
      <c r="H828" s="270"/>
      <c r="I828" s="270"/>
      <c r="J828" s="270"/>
      <c r="K828" s="270"/>
    </row>
    <row r="829" ht="15.75" customHeight="1">
      <c r="D829" s="270"/>
      <c r="E829" s="270"/>
      <c r="F829" s="270"/>
      <c r="G829" s="270"/>
      <c r="H829" s="270"/>
      <c r="I829" s="270"/>
      <c r="J829" s="270"/>
      <c r="K829" s="270"/>
    </row>
    <row r="830" ht="15.75" customHeight="1">
      <c r="D830" s="270"/>
      <c r="E830" s="270"/>
      <c r="F830" s="270"/>
      <c r="G830" s="270"/>
      <c r="H830" s="270"/>
      <c r="I830" s="270"/>
      <c r="J830" s="270"/>
      <c r="K830" s="270"/>
    </row>
    <row r="831" ht="15.75" customHeight="1">
      <c r="D831" s="270"/>
      <c r="E831" s="270"/>
      <c r="F831" s="270"/>
      <c r="G831" s="270"/>
      <c r="H831" s="270"/>
      <c r="I831" s="270"/>
      <c r="J831" s="270"/>
      <c r="K831" s="270"/>
    </row>
    <row r="832" ht="15.75" customHeight="1">
      <c r="D832" s="270"/>
      <c r="E832" s="270"/>
      <c r="F832" s="270"/>
      <c r="G832" s="270"/>
      <c r="H832" s="270"/>
      <c r="I832" s="270"/>
      <c r="J832" s="270"/>
      <c r="K832" s="270"/>
    </row>
    <row r="833" ht="15.75" customHeight="1">
      <c r="D833" s="270"/>
      <c r="E833" s="270"/>
      <c r="F833" s="270"/>
      <c r="G833" s="270"/>
      <c r="H833" s="270"/>
      <c r="I833" s="270"/>
      <c r="J833" s="270"/>
      <c r="K833" s="270"/>
    </row>
    <row r="834" ht="15.75" customHeight="1">
      <c r="D834" s="270"/>
      <c r="E834" s="270"/>
      <c r="F834" s="270"/>
      <c r="G834" s="270"/>
      <c r="H834" s="270"/>
      <c r="I834" s="270"/>
      <c r="J834" s="270"/>
      <c r="K834" s="270"/>
    </row>
    <row r="835" ht="15.75" customHeight="1">
      <c r="D835" s="270"/>
      <c r="E835" s="270"/>
      <c r="F835" s="270"/>
      <c r="G835" s="270"/>
      <c r="H835" s="270"/>
      <c r="I835" s="270"/>
      <c r="J835" s="270"/>
      <c r="K835" s="270"/>
    </row>
    <row r="836" ht="15.75" customHeight="1">
      <c r="D836" s="270"/>
      <c r="E836" s="270"/>
      <c r="F836" s="270"/>
      <c r="G836" s="270"/>
      <c r="H836" s="270"/>
      <c r="I836" s="270"/>
      <c r="J836" s="270"/>
      <c r="K836" s="270"/>
    </row>
    <row r="837" ht="15.75" customHeight="1">
      <c r="D837" s="270"/>
      <c r="E837" s="270"/>
      <c r="F837" s="270"/>
      <c r="G837" s="270"/>
      <c r="H837" s="270"/>
      <c r="I837" s="270"/>
      <c r="J837" s="270"/>
      <c r="K837" s="270"/>
    </row>
    <row r="838" ht="15.75" customHeight="1">
      <c r="D838" s="270"/>
      <c r="E838" s="270"/>
      <c r="F838" s="270"/>
      <c r="G838" s="270"/>
      <c r="H838" s="270"/>
      <c r="I838" s="270"/>
      <c r="J838" s="270"/>
      <c r="K838" s="270"/>
    </row>
    <row r="839" ht="15.75" customHeight="1">
      <c r="D839" s="270"/>
      <c r="E839" s="270"/>
      <c r="F839" s="270"/>
      <c r="G839" s="270"/>
      <c r="H839" s="270"/>
      <c r="I839" s="270"/>
      <c r="J839" s="270"/>
      <c r="K839" s="270"/>
    </row>
    <row r="840" ht="15.75" customHeight="1">
      <c r="D840" s="270"/>
      <c r="E840" s="270"/>
      <c r="F840" s="270"/>
      <c r="G840" s="270"/>
      <c r="H840" s="270"/>
      <c r="I840" s="270"/>
      <c r="J840" s="270"/>
      <c r="K840" s="270"/>
    </row>
    <row r="841" ht="15.75" customHeight="1">
      <c r="D841" s="270"/>
      <c r="E841" s="270"/>
      <c r="F841" s="270"/>
      <c r="G841" s="270"/>
      <c r="H841" s="270"/>
      <c r="I841" s="270"/>
      <c r="J841" s="270"/>
      <c r="K841" s="270"/>
    </row>
    <row r="842" ht="15.75" customHeight="1">
      <c r="D842" s="270"/>
      <c r="E842" s="270"/>
      <c r="F842" s="270"/>
      <c r="G842" s="270"/>
      <c r="H842" s="270"/>
      <c r="I842" s="270"/>
      <c r="J842" s="270"/>
      <c r="K842" s="270"/>
    </row>
    <row r="843" ht="15.75" customHeight="1">
      <c r="D843" s="270"/>
      <c r="E843" s="270"/>
      <c r="F843" s="270"/>
      <c r="G843" s="270"/>
      <c r="H843" s="270"/>
      <c r="I843" s="270"/>
      <c r="J843" s="270"/>
      <c r="K843" s="270"/>
    </row>
    <row r="844" ht="15.75" customHeight="1">
      <c r="D844" s="270"/>
      <c r="E844" s="270"/>
      <c r="F844" s="270"/>
      <c r="G844" s="270"/>
      <c r="H844" s="270"/>
      <c r="I844" s="270"/>
      <c r="J844" s="270"/>
      <c r="K844" s="270"/>
    </row>
    <row r="845" ht="15.75" customHeight="1">
      <c r="D845" s="270"/>
      <c r="E845" s="270"/>
      <c r="F845" s="270"/>
      <c r="G845" s="270"/>
      <c r="H845" s="270"/>
      <c r="I845" s="270"/>
      <c r="J845" s="270"/>
      <c r="K845" s="270"/>
    </row>
    <row r="846" ht="15.75" customHeight="1">
      <c r="D846" s="270"/>
      <c r="E846" s="270"/>
      <c r="F846" s="270"/>
      <c r="G846" s="270"/>
      <c r="H846" s="270"/>
      <c r="I846" s="270"/>
      <c r="J846" s="270"/>
      <c r="K846" s="270"/>
    </row>
    <row r="847" ht="15.75" customHeight="1">
      <c r="D847" s="270"/>
      <c r="E847" s="270"/>
      <c r="F847" s="270"/>
      <c r="G847" s="270"/>
      <c r="H847" s="270"/>
      <c r="I847" s="270"/>
      <c r="J847" s="270"/>
      <c r="K847" s="270"/>
    </row>
    <row r="848" ht="15.75" customHeight="1">
      <c r="D848" s="270"/>
      <c r="E848" s="270"/>
      <c r="F848" s="270"/>
      <c r="G848" s="270"/>
      <c r="H848" s="270"/>
      <c r="I848" s="270"/>
      <c r="J848" s="270"/>
      <c r="K848" s="270"/>
    </row>
    <row r="849" ht="15.75" customHeight="1">
      <c r="D849" s="270"/>
      <c r="E849" s="270"/>
      <c r="F849" s="270"/>
      <c r="G849" s="270"/>
      <c r="H849" s="270"/>
      <c r="I849" s="270"/>
      <c r="J849" s="270"/>
      <c r="K849" s="270"/>
    </row>
    <row r="850" ht="15.75" customHeight="1">
      <c r="D850" s="270"/>
      <c r="E850" s="270"/>
      <c r="F850" s="270"/>
      <c r="G850" s="270"/>
      <c r="H850" s="270"/>
      <c r="I850" s="270"/>
      <c r="J850" s="270"/>
      <c r="K850" s="270"/>
    </row>
    <row r="851" ht="15.75" customHeight="1">
      <c r="D851" s="270"/>
      <c r="E851" s="270"/>
      <c r="F851" s="270"/>
      <c r="G851" s="270"/>
      <c r="H851" s="270"/>
      <c r="I851" s="270"/>
      <c r="J851" s="270"/>
      <c r="K851" s="270"/>
    </row>
    <row r="852" ht="15.75" customHeight="1">
      <c r="D852" s="270"/>
      <c r="E852" s="270"/>
      <c r="F852" s="270"/>
      <c r="G852" s="270"/>
      <c r="H852" s="270"/>
      <c r="I852" s="270"/>
      <c r="J852" s="270"/>
      <c r="K852" s="270"/>
    </row>
    <row r="853" ht="15.75" customHeight="1">
      <c r="D853" s="270"/>
      <c r="E853" s="270"/>
      <c r="F853" s="270"/>
      <c r="G853" s="270"/>
      <c r="H853" s="270"/>
      <c r="I853" s="270"/>
      <c r="J853" s="270"/>
      <c r="K853" s="270"/>
    </row>
    <row r="854" ht="15.75" customHeight="1">
      <c r="D854" s="270"/>
      <c r="E854" s="270"/>
      <c r="F854" s="270"/>
      <c r="G854" s="270"/>
      <c r="H854" s="270"/>
      <c r="I854" s="270"/>
      <c r="J854" s="270"/>
      <c r="K854" s="270"/>
    </row>
    <row r="855" ht="15.75" customHeight="1">
      <c r="D855" s="270"/>
      <c r="E855" s="270"/>
      <c r="F855" s="270"/>
      <c r="G855" s="270"/>
      <c r="H855" s="270"/>
      <c r="I855" s="270"/>
      <c r="J855" s="270"/>
      <c r="K855" s="270"/>
    </row>
    <row r="856" ht="15.75" customHeight="1">
      <c r="D856" s="270"/>
      <c r="E856" s="270"/>
      <c r="F856" s="270"/>
      <c r="G856" s="270"/>
      <c r="H856" s="270"/>
      <c r="I856" s="270"/>
      <c r="J856" s="270"/>
      <c r="K856" s="270"/>
    </row>
    <row r="857" ht="15.75" customHeight="1">
      <c r="D857" s="270"/>
      <c r="E857" s="270"/>
      <c r="F857" s="270"/>
      <c r="G857" s="270"/>
      <c r="H857" s="270"/>
      <c r="I857" s="270"/>
      <c r="J857" s="270"/>
      <c r="K857" s="270"/>
    </row>
    <row r="858" ht="15.75" customHeight="1">
      <c r="D858" s="270"/>
      <c r="E858" s="270"/>
      <c r="F858" s="270"/>
      <c r="G858" s="270"/>
      <c r="H858" s="270"/>
      <c r="I858" s="270"/>
      <c r="J858" s="270"/>
      <c r="K858" s="270"/>
    </row>
    <row r="859" ht="15.75" customHeight="1">
      <c r="D859" s="270"/>
      <c r="E859" s="270"/>
      <c r="F859" s="270"/>
      <c r="G859" s="270"/>
      <c r="H859" s="270"/>
      <c r="I859" s="270"/>
      <c r="J859" s="270"/>
      <c r="K859" s="270"/>
    </row>
    <row r="860" ht="15.75" customHeight="1">
      <c r="D860" s="270"/>
      <c r="E860" s="270"/>
      <c r="F860" s="270"/>
      <c r="G860" s="270"/>
      <c r="H860" s="270"/>
      <c r="I860" s="270"/>
      <c r="J860" s="270"/>
      <c r="K860" s="270"/>
    </row>
    <row r="861" ht="15.75" customHeight="1">
      <c r="D861" s="270"/>
      <c r="E861" s="270"/>
      <c r="F861" s="270"/>
      <c r="G861" s="270"/>
      <c r="H861" s="270"/>
      <c r="I861" s="270"/>
      <c r="J861" s="270"/>
      <c r="K861" s="270"/>
    </row>
    <row r="862" ht="15.75" customHeight="1">
      <c r="D862" s="270"/>
      <c r="E862" s="270"/>
      <c r="F862" s="270"/>
      <c r="G862" s="270"/>
      <c r="H862" s="270"/>
      <c r="I862" s="270"/>
      <c r="J862" s="270"/>
      <c r="K862" s="270"/>
    </row>
    <row r="863" ht="15.75" customHeight="1">
      <c r="D863" s="270"/>
      <c r="E863" s="270"/>
      <c r="F863" s="270"/>
      <c r="G863" s="270"/>
      <c r="H863" s="270"/>
      <c r="I863" s="270"/>
      <c r="J863" s="270"/>
      <c r="K863" s="270"/>
    </row>
    <row r="864" ht="15.75" customHeight="1">
      <c r="D864" s="270"/>
      <c r="E864" s="270"/>
      <c r="F864" s="270"/>
      <c r="G864" s="270"/>
      <c r="H864" s="270"/>
      <c r="I864" s="270"/>
      <c r="J864" s="270"/>
      <c r="K864" s="270"/>
    </row>
    <row r="865" ht="15.75" customHeight="1">
      <c r="D865" s="270"/>
      <c r="E865" s="270"/>
      <c r="F865" s="270"/>
      <c r="G865" s="270"/>
      <c r="H865" s="270"/>
      <c r="I865" s="270"/>
      <c r="J865" s="270"/>
      <c r="K865" s="270"/>
    </row>
    <row r="866" ht="15.75" customHeight="1">
      <c r="D866" s="270"/>
      <c r="E866" s="270"/>
      <c r="F866" s="270"/>
      <c r="G866" s="270"/>
      <c r="H866" s="270"/>
      <c r="I866" s="270"/>
      <c r="J866" s="270"/>
      <c r="K866" s="270"/>
    </row>
    <row r="867" ht="15.75" customHeight="1">
      <c r="D867" s="270"/>
      <c r="E867" s="270"/>
      <c r="F867" s="270"/>
      <c r="G867" s="270"/>
      <c r="H867" s="270"/>
      <c r="I867" s="270"/>
      <c r="J867" s="270"/>
      <c r="K867" s="270"/>
    </row>
    <row r="868" ht="15.75" customHeight="1">
      <c r="D868" s="270"/>
      <c r="E868" s="270"/>
      <c r="F868" s="270"/>
      <c r="G868" s="270"/>
      <c r="H868" s="270"/>
      <c r="I868" s="270"/>
      <c r="J868" s="270"/>
      <c r="K868" s="270"/>
    </row>
    <row r="869" ht="15.75" customHeight="1">
      <c r="D869" s="270"/>
      <c r="E869" s="270"/>
      <c r="F869" s="270"/>
      <c r="G869" s="270"/>
      <c r="H869" s="270"/>
      <c r="I869" s="270"/>
      <c r="J869" s="270"/>
      <c r="K869" s="270"/>
    </row>
    <row r="870" ht="15.75" customHeight="1">
      <c r="D870" s="270"/>
      <c r="E870" s="270"/>
      <c r="F870" s="270"/>
      <c r="G870" s="270"/>
      <c r="H870" s="270"/>
      <c r="I870" s="270"/>
      <c r="J870" s="270"/>
      <c r="K870" s="270"/>
    </row>
    <row r="871" ht="15.75" customHeight="1">
      <c r="D871" s="270"/>
      <c r="E871" s="270"/>
      <c r="F871" s="270"/>
      <c r="G871" s="270"/>
      <c r="H871" s="270"/>
      <c r="I871" s="270"/>
      <c r="J871" s="270"/>
      <c r="K871" s="270"/>
    </row>
    <row r="872" ht="15.75" customHeight="1">
      <c r="D872" s="270"/>
      <c r="E872" s="270"/>
      <c r="F872" s="270"/>
      <c r="G872" s="270"/>
      <c r="H872" s="270"/>
      <c r="I872" s="270"/>
      <c r="J872" s="270"/>
      <c r="K872" s="270"/>
    </row>
    <row r="873" ht="15.75" customHeight="1">
      <c r="D873" s="270"/>
      <c r="E873" s="270"/>
      <c r="F873" s="270"/>
      <c r="G873" s="270"/>
      <c r="H873" s="270"/>
      <c r="I873" s="270"/>
      <c r="J873" s="270"/>
      <c r="K873" s="270"/>
    </row>
    <row r="874" ht="15.75" customHeight="1">
      <c r="D874" s="270"/>
      <c r="E874" s="270"/>
      <c r="F874" s="270"/>
      <c r="G874" s="270"/>
      <c r="H874" s="270"/>
      <c r="I874" s="270"/>
      <c r="J874" s="270"/>
      <c r="K874" s="270"/>
    </row>
    <row r="875" ht="15.75" customHeight="1">
      <c r="D875" s="270"/>
      <c r="E875" s="270"/>
      <c r="F875" s="270"/>
      <c r="G875" s="270"/>
      <c r="H875" s="270"/>
      <c r="I875" s="270"/>
      <c r="J875" s="270"/>
      <c r="K875" s="270"/>
    </row>
    <row r="876" ht="15.75" customHeight="1">
      <c r="D876" s="270"/>
      <c r="E876" s="270"/>
      <c r="F876" s="270"/>
      <c r="G876" s="270"/>
      <c r="H876" s="270"/>
      <c r="I876" s="270"/>
      <c r="J876" s="270"/>
      <c r="K876" s="270"/>
    </row>
    <row r="877" ht="15.75" customHeight="1">
      <c r="D877" s="270"/>
      <c r="E877" s="270"/>
      <c r="F877" s="270"/>
      <c r="G877" s="270"/>
      <c r="H877" s="270"/>
      <c r="I877" s="270"/>
      <c r="J877" s="270"/>
      <c r="K877" s="270"/>
    </row>
    <row r="878" ht="15.75" customHeight="1">
      <c r="D878" s="270"/>
      <c r="E878" s="270"/>
      <c r="F878" s="270"/>
      <c r="G878" s="270"/>
      <c r="H878" s="270"/>
      <c r="I878" s="270"/>
      <c r="J878" s="270"/>
      <c r="K878" s="270"/>
    </row>
    <row r="879" ht="15.75" customHeight="1">
      <c r="D879" s="270"/>
      <c r="E879" s="270"/>
      <c r="F879" s="270"/>
      <c r="G879" s="270"/>
      <c r="H879" s="270"/>
      <c r="I879" s="270"/>
      <c r="J879" s="270"/>
      <c r="K879" s="270"/>
    </row>
    <row r="880" ht="15.75" customHeight="1">
      <c r="D880" s="270"/>
      <c r="E880" s="270"/>
      <c r="F880" s="270"/>
      <c r="G880" s="270"/>
      <c r="H880" s="270"/>
      <c r="I880" s="270"/>
      <c r="J880" s="270"/>
      <c r="K880" s="270"/>
    </row>
    <row r="881" ht="15.75" customHeight="1">
      <c r="D881" s="270"/>
      <c r="E881" s="270"/>
      <c r="F881" s="270"/>
      <c r="G881" s="270"/>
      <c r="H881" s="270"/>
      <c r="I881" s="270"/>
      <c r="J881" s="270"/>
      <c r="K881" s="270"/>
    </row>
    <row r="882" ht="15.75" customHeight="1">
      <c r="D882" s="270"/>
      <c r="E882" s="270"/>
      <c r="F882" s="270"/>
      <c r="G882" s="270"/>
      <c r="H882" s="270"/>
      <c r="I882" s="270"/>
      <c r="J882" s="270"/>
      <c r="K882" s="270"/>
    </row>
    <row r="883" ht="15.75" customHeight="1">
      <c r="D883" s="270"/>
      <c r="E883" s="270"/>
      <c r="F883" s="270"/>
      <c r="G883" s="270"/>
      <c r="H883" s="270"/>
      <c r="I883" s="270"/>
      <c r="J883" s="270"/>
      <c r="K883" s="270"/>
    </row>
    <row r="884" ht="15.75" customHeight="1">
      <c r="D884" s="270"/>
      <c r="E884" s="270"/>
      <c r="F884" s="270"/>
      <c r="G884" s="270"/>
      <c r="H884" s="270"/>
      <c r="I884" s="270"/>
      <c r="J884" s="270"/>
      <c r="K884" s="270"/>
    </row>
    <row r="885" ht="15.75" customHeight="1">
      <c r="D885" s="270"/>
      <c r="E885" s="270"/>
      <c r="F885" s="270"/>
      <c r="G885" s="270"/>
      <c r="H885" s="270"/>
      <c r="I885" s="270"/>
      <c r="J885" s="270"/>
      <c r="K885" s="270"/>
    </row>
    <row r="886" ht="15.75" customHeight="1">
      <c r="D886" s="270"/>
      <c r="E886" s="270"/>
      <c r="F886" s="270"/>
      <c r="G886" s="270"/>
      <c r="H886" s="270"/>
      <c r="I886" s="270"/>
      <c r="J886" s="270"/>
      <c r="K886" s="270"/>
    </row>
    <row r="887" ht="15.75" customHeight="1">
      <c r="D887" s="270"/>
      <c r="E887" s="270"/>
      <c r="F887" s="270"/>
      <c r="G887" s="270"/>
      <c r="H887" s="270"/>
      <c r="I887" s="270"/>
      <c r="J887" s="270"/>
      <c r="K887" s="270"/>
    </row>
    <row r="888" ht="15.75" customHeight="1">
      <c r="D888" s="270"/>
      <c r="E888" s="270"/>
      <c r="F888" s="270"/>
      <c r="G888" s="270"/>
      <c r="H888" s="270"/>
      <c r="I888" s="270"/>
      <c r="J888" s="270"/>
      <c r="K888" s="270"/>
    </row>
    <row r="889" ht="15.75" customHeight="1">
      <c r="D889" s="270"/>
      <c r="E889" s="270"/>
      <c r="F889" s="270"/>
      <c r="G889" s="270"/>
      <c r="H889" s="270"/>
      <c r="I889" s="270"/>
      <c r="J889" s="270"/>
      <c r="K889" s="270"/>
    </row>
    <row r="890" ht="15.75" customHeight="1">
      <c r="D890" s="270"/>
      <c r="E890" s="270"/>
      <c r="F890" s="270"/>
      <c r="G890" s="270"/>
      <c r="H890" s="270"/>
      <c r="I890" s="270"/>
      <c r="J890" s="270"/>
      <c r="K890" s="270"/>
    </row>
    <row r="891" ht="15.75" customHeight="1">
      <c r="D891" s="270"/>
      <c r="E891" s="270"/>
      <c r="F891" s="270"/>
      <c r="G891" s="270"/>
      <c r="H891" s="270"/>
      <c r="I891" s="270"/>
      <c r="J891" s="270"/>
      <c r="K891" s="270"/>
    </row>
    <row r="892" ht="15.75" customHeight="1">
      <c r="D892" s="270"/>
      <c r="E892" s="270"/>
      <c r="F892" s="270"/>
      <c r="G892" s="270"/>
      <c r="H892" s="270"/>
      <c r="I892" s="270"/>
      <c r="J892" s="270"/>
      <c r="K892" s="270"/>
    </row>
    <row r="893" ht="15.75" customHeight="1">
      <c r="D893" s="270"/>
      <c r="E893" s="270"/>
      <c r="F893" s="270"/>
      <c r="G893" s="270"/>
      <c r="H893" s="270"/>
      <c r="I893" s="270"/>
      <c r="J893" s="270"/>
      <c r="K893" s="270"/>
    </row>
    <row r="894" ht="15.75" customHeight="1">
      <c r="D894" s="270"/>
      <c r="E894" s="270"/>
      <c r="F894" s="270"/>
      <c r="G894" s="270"/>
      <c r="H894" s="270"/>
      <c r="I894" s="270"/>
      <c r="J894" s="270"/>
      <c r="K894" s="270"/>
    </row>
    <row r="895" ht="15.75" customHeight="1">
      <c r="D895" s="270"/>
      <c r="E895" s="270"/>
      <c r="F895" s="270"/>
      <c r="G895" s="270"/>
      <c r="H895" s="270"/>
      <c r="I895" s="270"/>
      <c r="J895" s="270"/>
      <c r="K895" s="270"/>
    </row>
    <row r="896" ht="15.75" customHeight="1">
      <c r="D896" s="270"/>
      <c r="E896" s="270"/>
      <c r="F896" s="270"/>
      <c r="G896" s="270"/>
      <c r="H896" s="270"/>
      <c r="I896" s="270"/>
      <c r="J896" s="270"/>
      <c r="K896" s="270"/>
    </row>
    <row r="897" ht="15.75" customHeight="1">
      <c r="D897" s="270"/>
      <c r="E897" s="270"/>
      <c r="F897" s="270"/>
      <c r="G897" s="270"/>
      <c r="H897" s="270"/>
      <c r="I897" s="270"/>
      <c r="J897" s="270"/>
      <c r="K897" s="270"/>
    </row>
    <row r="898" ht="15.75" customHeight="1">
      <c r="D898" s="270"/>
      <c r="E898" s="270"/>
      <c r="F898" s="270"/>
      <c r="G898" s="270"/>
      <c r="H898" s="270"/>
      <c r="I898" s="270"/>
      <c r="J898" s="270"/>
      <c r="K898" s="270"/>
    </row>
    <row r="899" ht="15.75" customHeight="1">
      <c r="D899" s="270"/>
      <c r="E899" s="270"/>
      <c r="F899" s="270"/>
      <c r="G899" s="270"/>
      <c r="H899" s="270"/>
      <c r="I899" s="270"/>
      <c r="J899" s="270"/>
      <c r="K899" s="270"/>
    </row>
    <row r="900" ht="15.75" customHeight="1">
      <c r="D900" s="270"/>
      <c r="E900" s="270"/>
      <c r="F900" s="270"/>
      <c r="G900" s="270"/>
      <c r="H900" s="270"/>
      <c r="I900" s="270"/>
      <c r="J900" s="270"/>
      <c r="K900" s="270"/>
    </row>
    <row r="901" ht="15.75" customHeight="1">
      <c r="D901" s="270"/>
      <c r="E901" s="270"/>
      <c r="F901" s="270"/>
      <c r="G901" s="270"/>
      <c r="H901" s="270"/>
      <c r="I901" s="270"/>
      <c r="J901" s="270"/>
      <c r="K901" s="270"/>
    </row>
    <row r="902" ht="15.75" customHeight="1">
      <c r="D902" s="270"/>
      <c r="E902" s="270"/>
      <c r="F902" s="270"/>
      <c r="G902" s="270"/>
      <c r="H902" s="270"/>
      <c r="I902" s="270"/>
      <c r="J902" s="270"/>
      <c r="K902" s="270"/>
    </row>
    <row r="903" ht="15.75" customHeight="1">
      <c r="D903" s="270"/>
      <c r="E903" s="270"/>
      <c r="F903" s="270"/>
      <c r="G903" s="270"/>
      <c r="H903" s="270"/>
      <c r="I903" s="270"/>
      <c r="J903" s="270"/>
      <c r="K903" s="270"/>
    </row>
    <row r="904" ht="15.75" customHeight="1">
      <c r="D904" s="270"/>
      <c r="E904" s="270"/>
      <c r="F904" s="270"/>
      <c r="G904" s="270"/>
      <c r="H904" s="270"/>
      <c r="I904" s="270"/>
      <c r="J904" s="270"/>
      <c r="K904" s="270"/>
    </row>
    <row r="905" ht="15.75" customHeight="1">
      <c r="D905" s="270"/>
      <c r="E905" s="270"/>
      <c r="F905" s="270"/>
      <c r="G905" s="270"/>
      <c r="H905" s="270"/>
      <c r="I905" s="270"/>
      <c r="J905" s="270"/>
      <c r="K905" s="270"/>
    </row>
    <row r="906" ht="15.75" customHeight="1">
      <c r="D906" s="270"/>
      <c r="E906" s="270"/>
      <c r="F906" s="270"/>
      <c r="G906" s="270"/>
      <c r="H906" s="270"/>
      <c r="I906" s="270"/>
      <c r="J906" s="270"/>
      <c r="K906" s="270"/>
    </row>
    <row r="907" ht="15.75" customHeight="1">
      <c r="D907" s="270"/>
      <c r="E907" s="270"/>
      <c r="F907" s="270"/>
      <c r="G907" s="270"/>
      <c r="H907" s="270"/>
      <c r="I907" s="270"/>
      <c r="J907" s="270"/>
      <c r="K907" s="270"/>
    </row>
    <row r="908" ht="15.75" customHeight="1">
      <c r="D908" s="270"/>
      <c r="E908" s="270"/>
      <c r="F908" s="270"/>
      <c r="G908" s="270"/>
      <c r="H908" s="270"/>
      <c r="I908" s="270"/>
      <c r="J908" s="270"/>
      <c r="K908" s="270"/>
    </row>
    <row r="909" ht="15.75" customHeight="1">
      <c r="D909" s="270"/>
      <c r="E909" s="270"/>
      <c r="F909" s="270"/>
      <c r="G909" s="270"/>
      <c r="H909" s="270"/>
      <c r="I909" s="270"/>
      <c r="J909" s="270"/>
      <c r="K909" s="270"/>
    </row>
    <row r="910" ht="15.75" customHeight="1">
      <c r="D910" s="270"/>
      <c r="E910" s="270"/>
      <c r="F910" s="270"/>
      <c r="G910" s="270"/>
      <c r="H910" s="270"/>
      <c r="I910" s="270"/>
      <c r="J910" s="270"/>
      <c r="K910" s="270"/>
    </row>
    <row r="911" ht="15.75" customHeight="1">
      <c r="D911" s="270"/>
      <c r="E911" s="270"/>
      <c r="F911" s="270"/>
      <c r="G911" s="270"/>
      <c r="H911" s="270"/>
      <c r="I911" s="270"/>
      <c r="J911" s="270"/>
      <c r="K911" s="270"/>
    </row>
    <row r="912" ht="15.75" customHeight="1">
      <c r="D912" s="270"/>
      <c r="E912" s="270"/>
      <c r="F912" s="270"/>
      <c r="G912" s="270"/>
      <c r="H912" s="270"/>
      <c r="I912" s="270"/>
      <c r="J912" s="270"/>
      <c r="K912" s="270"/>
    </row>
    <row r="913" ht="15.75" customHeight="1">
      <c r="D913" s="270"/>
      <c r="E913" s="270"/>
      <c r="F913" s="270"/>
      <c r="G913" s="270"/>
      <c r="H913" s="270"/>
      <c r="I913" s="270"/>
      <c r="J913" s="270"/>
      <c r="K913" s="270"/>
    </row>
    <row r="914" ht="15.75" customHeight="1">
      <c r="D914" s="270"/>
      <c r="E914" s="270"/>
      <c r="F914" s="270"/>
      <c r="G914" s="270"/>
      <c r="H914" s="270"/>
      <c r="I914" s="270"/>
      <c r="J914" s="270"/>
      <c r="K914" s="270"/>
    </row>
    <row r="915" ht="15.75" customHeight="1">
      <c r="D915" s="270"/>
      <c r="E915" s="270"/>
      <c r="F915" s="270"/>
      <c r="G915" s="270"/>
      <c r="H915" s="270"/>
      <c r="I915" s="270"/>
      <c r="J915" s="270"/>
      <c r="K915" s="270"/>
    </row>
    <row r="916" ht="15.75" customHeight="1">
      <c r="D916" s="270"/>
      <c r="E916" s="270"/>
      <c r="F916" s="270"/>
      <c r="G916" s="270"/>
      <c r="H916" s="270"/>
      <c r="I916" s="270"/>
      <c r="J916" s="270"/>
      <c r="K916" s="270"/>
    </row>
    <row r="917" ht="15.75" customHeight="1">
      <c r="D917" s="270"/>
      <c r="E917" s="270"/>
      <c r="F917" s="270"/>
      <c r="G917" s="270"/>
      <c r="H917" s="270"/>
      <c r="I917" s="270"/>
      <c r="J917" s="270"/>
      <c r="K917" s="270"/>
    </row>
    <row r="918" ht="15.75" customHeight="1">
      <c r="D918" s="270"/>
      <c r="E918" s="270"/>
      <c r="F918" s="270"/>
      <c r="G918" s="270"/>
      <c r="H918" s="270"/>
      <c r="I918" s="270"/>
      <c r="J918" s="270"/>
      <c r="K918" s="270"/>
    </row>
    <row r="919" ht="15.75" customHeight="1">
      <c r="D919" s="270"/>
      <c r="E919" s="270"/>
      <c r="F919" s="270"/>
      <c r="G919" s="270"/>
      <c r="H919" s="270"/>
      <c r="I919" s="270"/>
      <c r="J919" s="270"/>
      <c r="K919" s="270"/>
    </row>
    <row r="920" ht="15.75" customHeight="1">
      <c r="D920" s="270"/>
      <c r="E920" s="270"/>
      <c r="F920" s="270"/>
      <c r="G920" s="270"/>
      <c r="H920" s="270"/>
      <c r="I920" s="270"/>
      <c r="J920" s="270"/>
      <c r="K920" s="270"/>
    </row>
    <row r="921" ht="15.75" customHeight="1">
      <c r="D921" s="270"/>
      <c r="E921" s="270"/>
      <c r="F921" s="270"/>
      <c r="G921" s="270"/>
      <c r="H921" s="270"/>
      <c r="I921" s="270"/>
      <c r="J921" s="270"/>
      <c r="K921" s="270"/>
    </row>
    <row r="922" ht="15.75" customHeight="1">
      <c r="D922" s="270"/>
      <c r="E922" s="270"/>
      <c r="F922" s="270"/>
      <c r="G922" s="270"/>
      <c r="H922" s="270"/>
      <c r="I922" s="270"/>
      <c r="J922" s="270"/>
      <c r="K922" s="270"/>
    </row>
    <row r="923" ht="15.75" customHeight="1">
      <c r="D923" s="270"/>
      <c r="E923" s="270"/>
      <c r="F923" s="270"/>
      <c r="G923" s="270"/>
      <c r="H923" s="270"/>
      <c r="I923" s="270"/>
      <c r="J923" s="270"/>
      <c r="K923" s="270"/>
    </row>
    <row r="924" ht="15.75" customHeight="1">
      <c r="D924" s="270"/>
      <c r="E924" s="270"/>
      <c r="F924" s="270"/>
      <c r="G924" s="270"/>
      <c r="H924" s="270"/>
      <c r="I924" s="270"/>
      <c r="J924" s="270"/>
      <c r="K924" s="270"/>
    </row>
    <row r="925" ht="15.75" customHeight="1">
      <c r="D925" s="270"/>
      <c r="E925" s="270"/>
      <c r="F925" s="270"/>
      <c r="G925" s="270"/>
      <c r="H925" s="270"/>
      <c r="I925" s="270"/>
      <c r="J925" s="270"/>
      <c r="K925" s="270"/>
    </row>
    <row r="926" ht="15.75" customHeight="1">
      <c r="D926" s="270"/>
      <c r="E926" s="270"/>
      <c r="F926" s="270"/>
      <c r="G926" s="270"/>
      <c r="H926" s="270"/>
      <c r="I926" s="270"/>
      <c r="J926" s="270"/>
      <c r="K926" s="270"/>
    </row>
    <row r="927" ht="15.75" customHeight="1">
      <c r="D927" s="270"/>
      <c r="E927" s="270"/>
      <c r="F927" s="270"/>
      <c r="G927" s="270"/>
      <c r="H927" s="270"/>
      <c r="I927" s="270"/>
      <c r="J927" s="270"/>
      <c r="K927" s="270"/>
    </row>
    <row r="928" ht="15.75" customHeight="1">
      <c r="D928" s="270"/>
      <c r="E928" s="270"/>
      <c r="F928" s="270"/>
      <c r="G928" s="270"/>
      <c r="H928" s="270"/>
      <c r="I928" s="270"/>
      <c r="J928" s="270"/>
      <c r="K928" s="270"/>
    </row>
    <row r="929" ht="15.75" customHeight="1">
      <c r="D929" s="270"/>
      <c r="E929" s="270"/>
      <c r="F929" s="270"/>
      <c r="G929" s="270"/>
      <c r="H929" s="270"/>
      <c r="I929" s="270"/>
      <c r="J929" s="270"/>
      <c r="K929" s="270"/>
    </row>
    <row r="930" ht="15.75" customHeight="1">
      <c r="D930" s="270"/>
      <c r="E930" s="270"/>
      <c r="F930" s="270"/>
      <c r="G930" s="270"/>
      <c r="H930" s="270"/>
      <c r="I930" s="270"/>
      <c r="J930" s="270"/>
      <c r="K930" s="270"/>
    </row>
    <row r="931" ht="15.75" customHeight="1">
      <c r="D931" s="270"/>
      <c r="E931" s="270"/>
      <c r="F931" s="270"/>
      <c r="G931" s="270"/>
      <c r="H931" s="270"/>
      <c r="I931" s="270"/>
      <c r="J931" s="270"/>
      <c r="K931" s="270"/>
    </row>
    <row r="932" ht="15.75" customHeight="1">
      <c r="D932" s="270"/>
      <c r="E932" s="270"/>
      <c r="F932" s="270"/>
      <c r="G932" s="270"/>
      <c r="H932" s="270"/>
      <c r="I932" s="270"/>
      <c r="J932" s="270"/>
      <c r="K932" s="270"/>
    </row>
    <row r="933" ht="15.75" customHeight="1">
      <c r="D933" s="270"/>
      <c r="E933" s="270"/>
      <c r="F933" s="270"/>
      <c r="G933" s="270"/>
      <c r="H933" s="270"/>
      <c r="I933" s="270"/>
      <c r="J933" s="270"/>
      <c r="K933" s="270"/>
    </row>
    <row r="934" ht="15.75" customHeight="1">
      <c r="D934" s="270"/>
      <c r="E934" s="270"/>
      <c r="F934" s="270"/>
      <c r="G934" s="270"/>
      <c r="H934" s="270"/>
      <c r="I934" s="270"/>
      <c r="J934" s="270"/>
      <c r="K934" s="270"/>
    </row>
    <row r="935" ht="15.75" customHeight="1">
      <c r="D935" s="270"/>
      <c r="E935" s="270"/>
      <c r="F935" s="270"/>
      <c r="G935" s="270"/>
      <c r="H935" s="270"/>
      <c r="I935" s="270"/>
      <c r="J935" s="270"/>
      <c r="K935" s="270"/>
    </row>
    <row r="936" ht="15.75" customHeight="1">
      <c r="D936" s="270"/>
      <c r="E936" s="270"/>
      <c r="F936" s="270"/>
      <c r="G936" s="270"/>
      <c r="H936" s="270"/>
      <c r="I936" s="270"/>
      <c r="J936" s="270"/>
      <c r="K936" s="270"/>
    </row>
    <row r="937" ht="15.75" customHeight="1">
      <c r="D937" s="270"/>
      <c r="E937" s="270"/>
      <c r="F937" s="270"/>
      <c r="G937" s="270"/>
      <c r="H937" s="270"/>
      <c r="I937" s="270"/>
      <c r="J937" s="270"/>
      <c r="K937" s="270"/>
    </row>
    <row r="938" ht="15.75" customHeight="1">
      <c r="D938" s="270"/>
      <c r="E938" s="270"/>
      <c r="F938" s="270"/>
      <c r="G938" s="270"/>
      <c r="H938" s="270"/>
      <c r="I938" s="270"/>
      <c r="J938" s="270"/>
      <c r="K938" s="270"/>
    </row>
    <row r="939" ht="15.75" customHeight="1">
      <c r="D939" s="270"/>
      <c r="E939" s="270"/>
      <c r="F939" s="270"/>
      <c r="G939" s="270"/>
      <c r="H939" s="270"/>
      <c r="I939" s="270"/>
      <c r="J939" s="270"/>
      <c r="K939" s="270"/>
    </row>
    <row r="940" ht="15.75" customHeight="1">
      <c r="D940" s="270"/>
      <c r="E940" s="270"/>
      <c r="F940" s="270"/>
      <c r="G940" s="270"/>
      <c r="H940" s="270"/>
      <c r="I940" s="270"/>
      <c r="J940" s="270"/>
      <c r="K940" s="270"/>
    </row>
    <row r="941" ht="15.75" customHeight="1">
      <c r="D941" s="270"/>
      <c r="E941" s="270"/>
      <c r="F941" s="270"/>
      <c r="G941" s="270"/>
      <c r="H941" s="270"/>
      <c r="I941" s="270"/>
      <c r="J941" s="270"/>
      <c r="K941" s="270"/>
    </row>
    <row r="942" ht="15.75" customHeight="1">
      <c r="D942" s="270"/>
      <c r="E942" s="270"/>
      <c r="F942" s="270"/>
      <c r="G942" s="270"/>
      <c r="H942" s="270"/>
      <c r="I942" s="270"/>
      <c r="J942" s="270"/>
      <c r="K942" s="270"/>
    </row>
    <row r="943" ht="15.75" customHeight="1">
      <c r="D943" s="270"/>
      <c r="E943" s="270"/>
      <c r="F943" s="270"/>
      <c r="G943" s="270"/>
      <c r="H943" s="270"/>
      <c r="I943" s="270"/>
      <c r="J943" s="270"/>
      <c r="K943" s="270"/>
    </row>
    <row r="944" ht="15.75" customHeight="1">
      <c r="D944" s="270"/>
      <c r="E944" s="270"/>
      <c r="F944" s="270"/>
      <c r="G944" s="270"/>
      <c r="H944" s="270"/>
      <c r="I944" s="270"/>
      <c r="J944" s="270"/>
      <c r="K944" s="270"/>
    </row>
    <row r="945" ht="15.75" customHeight="1">
      <c r="D945" s="270"/>
      <c r="E945" s="270"/>
      <c r="F945" s="270"/>
      <c r="G945" s="270"/>
      <c r="H945" s="270"/>
      <c r="I945" s="270"/>
      <c r="J945" s="270"/>
      <c r="K945" s="270"/>
    </row>
    <row r="946" ht="15.75" customHeight="1">
      <c r="D946" s="270"/>
      <c r="E946" s="270"/>
      <c r="F946" s="270"/>
      <c r="G946" s="270"/>
      <c r="H946" s="270"/>
      <c r="I946" s="270"/>
      <c r="J946" s="270"/>
      <c r="K946" s="270"/>
    </row>
    <row r="947" ht="15.75" customHeight="1">
      <c r="D947" s="270"/>
      <c r="E947" s="270"/>
      <c r="F947" s="270"/>
      <c r="G947" s="270"/>
      <c r="H947" s="270"/>
      <c r="I947" s="270"/>
      <c r="J947" s="270"/>
      <c r="K947" s="270"/>
    </row>
    <row r="948" ht="15.75" customHeight="1">
      <c r="D948" s="270"/>
      <c r="E948" s="270"/>
      <c r="F948" s="270"/>
      <c r="G948" s="270"/>
      <c r="H948" s="270"/>
      <c r="I948" s="270"/>
      <c r="J948" s="270"/>
      <c r="K948" s="270"/>
    </row>
    <row r="949" ht="15.75" customHeight="1">
      <c r="D949" s="270"/>
      <c r="E949" s="270"/>
      <c r="F949" s="270"/>
      <c r="G949" s="270"/>
      <c r="H949" s="270"/>
      <c r="I949" s="270"/>
      <c r="J949" s="270"/>
      <c r="K949" s="270"/>
    </row>
    <row r="950" ht="15.75" customHeight="1">
      <c r="D950" s="270"/>
      <c r="E950" s="270"/>
      <c r="F950" s="270"/>
      <c r="G950" s="270"/>
      <c r="H950" s="270"/>
      <c r="I950" s="270"/>
      <c r="J950" s="270"/>
      <c r="K950" s="270"/>
    </row>
    <row r="951" ht="15.75" customHeight="1">
      <c r="D951" s="270"/>
      <c r="E951" s="270"/>
      <c r="F951" s="270"/>
      <c r="G951" s="270"/>
      <c r="H951" s="270"/>
      <c r="I951" s="270"/>
      <c r="J951" s="270"/>
      <c r="K951" s="270"/>
    </row>
    <row r="952" ht="15.75" customHeight="1">
      <c r="D952" s="270"/>
      <c r="E952" s="270"/>
      <c r="F952" s="270"/>
      <c r="G952" s="270"/>
      <c r="H952" s="270"/>
      <c r="I952" s="270"/>
      <c r="J952" s="270"/>
      <c r="K952" s="270"/>
    </row>
    <row r="953" ht="15.75" customHeight="1">
      <c r="D953" s="270"/>
      <c r="E953" s="270"/>
      <c r="F953" s="270"/>
      <c r="G953" s="270"/>
      <c r="H953" s="270"/>
      <c r="I953" s="270"/>
      <c r="J953" s="270"/>
      <c r="K953" s="270"/>
    </row>
    <row r="954" ht="15.75" customHeight="1">
      <c r="D954" s="270"/>
      <c r="E954" s="270"/>
      <c r="F954" s="270"/>
      <c r="G954" s="270"/>
      <c r="H954" s="270"/>
      <c r="I954" s="270"/>
      <c r="J954" s="270"/>
      <c r="K954" s="270"/>
    </row>
    <row r="955" ht="15.75" customHeight="1">
      <c r="D955" s="270"/>
      <c r="E955" s="270"/>
      <c r="F955" s="270"/>
      <c r="G955" s="270"/>
      <c r="H955" s="270"/>
      <c r="I955" s="270"/>
      <c r="J955" s="270"/>
      <c r="K955" s="270"/>
    </row>
    <row r="956" ht="15.75" customHeight="1">
      <c r="D956" s="270"/>
      <c r="E956" s="270"/>
      <c r="F956" s="270"/>
      <c r="G956" s="270"/>
      <c r="H956" s="270"/>
      <c r="I956" s="270"/>
      <c r="J956" s="270"/>
      <c r="K956" s="270"/>
    </row>
    <row r="957" ht="15.75" customHeight="1">
      <c r="D957" s="270"/>
      <c r="E957" s="270"/>
      <c r="F957" s="270"/>
      <c r="G957" s="270"/>
      <c r="H957" s="270"/>
      <c r="I957" s="270"/>
      <c r="J957" s="270"/>
      <c r="K957" s="270"/>
    </row>
    <row r="958" ht="15.75" customHeight="1">
      <c r="D958" s="270"/>
      <c r="E958" s="270"/>
      <c r="F958" s="270"/>
      <c r="G958" s="270"/>
      <c r="H958" s="270"/>
      <c r="I958" s="270"/>
      <c r="J958" s="270"/>
      <c r="K958" s="270"/>
    </row>
    <row r="959" ht="15.75" customHeight="1">
      <c r="D959" s="270"/>
      <c r="E959" s="270"/>
      <c r="F959" s="270"/>
      <c r="G959" s="270"/>
      <c r="H959" s="270"/>
      <c r="I959" s="270"/>
      <c r="J959" s="270"/>
      <c r="K959" s="270"/>
    </row>
    <row r="960" ht="15.75" customHeight="1">
      <c r="D960" s="270"/>
      <c r="E960" s="270"/>
      <c r="F960" s="270"/>
      <c r="G960" s="270"/>
      <c r="H960" s="270"/>
      <c r="I960" s="270"/>
      <c r="J960" s="270"/>
      <c r="K960" s="270"/>
    </row>
    <row r="961" ht="15.75" customHeight="1">
      <c r="D961" s="270"/>
      <c r="E961" s="270"/>
      <c r="F961" s="270"/>
      <c r="G961" s="270"/>
      <c r="H961" s="270"/>
      <c r="I961" s="270"/>
      <c r="J961" s="270"/>
      <c r="K961" s="270"/>
    </row>
    <row r="962" ht="15.75" customHeight="1">
      <c r="D962" s="270"/>
      <c r="E962" s="270"/>
      <c r="F962" s="270"/>
      <c r="G962" s="270"/>
      <c r="H962" s="270"/>
      <c r="I962" s="270"/>
      <c r="J962" s="270"/>
      <c r="K962" s="270"/>
    </row>
    <row r="963" ht="15.75" customHeight="1">
      <c r="D963" s="270"/>
      <c r="E963" s="270"/>
      <c r="F963" s="270"/>
      <c r="G963" s="270"/>
      <c r="H963" s="270"/>
      <c r="I963" s="270"/>
      <c r="J963" s="270"/>
      <c r="K963" s="270"/>
    </row>
    <row r="964" ht="15.75" customHeight="1">
      <c r="D964" s="270"/>
      <c r="E964" s="270"/>
      <c r="F964" s="270"/>
      <c r="G964" s="270"/>
      <c r="H964" s="270"/>
      <c r="I964" s="270"/>
      <c r="J964" s="270"/>
      <c r="K964" s="270"/>
    </row>
    <row r="965" ht="15.75" customHeight="1">
      <c r="D965" s="270"/>
      <c r="E965" s="270"/>
      <c r="F965" s="270"/>
      <c r="G965" s="270"/>
      <c r="H965" s="270"/>
      <c r="I965" s="270"/>
      <c r="J965" s="270"/>
      <c r="K965" s="270"/>
    </row>
    <row r="966" ht="15.75" customHeight="1">
      <c r="D966" s="270"/>
      <c r="E966" s="270"/>
      <c r="F966" s="270"/>
      <c r="G966" s="270"/>
      <c r="H966" s="270"/>
      <c r="I966" s="270"/>
      <c r="J966" s="270"/>
      <c r="K966" s="270"/>
    </row>
    <row r="967" ht="15.75" customHeight="1">
      <c r="D967" s="270"/>
      <c r="E967" s="270"/>
      <c r="F967" s="270"/>
      <c r="G967" s="270"/>
      <c r="H967" s="270"/>
      <c r="I967" s="270"/>
      <c r="J967" s="270"/>
      <c r="K967" s="270"/>
    </row>
    <row r="968" ht="15.75" customHeight="1">
      <c r="D968" s="270"/>
      <c r="E968" s="270"/>
      <c r="F968" s="270"/>
      <c r="G968" s="270"/>
      <c r="H968" s="270"/>
      <c r="I968" s="270"/>
      <c r="J968" s="270"/>
      <c r="K968" s="270"/>
    </row>
    <row r="969" ht="15.75" customHeight="1">
      <c r="D969" s="270"/>
      <c r="E969" s="270"/>
      <c r="F969" s="270"/>
      <c r="G969" s="270"/>
      <c r="H969" s="270"/>
      <c r="I969" s="270"/>
      <c r="J969" s="270"/>
      <c r="K969" s="270"/>
    </row>
    <row r="970" ht="15.75" customHeight="1">
      <c r="D970" s="270"/>
      <c r="E970" s="270"/>
      <c r="F970" s="270"/>
      <c r="G970" s="270"/>
      <c r="H970" s="270"/>
      <c r="I970" s="270"/>
      <c r="J970" s="270"/>
      <c r="K970" s="270"/>
    </row>
    <row r="971" ht="15.75" customHeight="1">
      <c r="D971" s="270"/>
      <c r="E971" s="270"/>
      <c r="F971" s="270"/>
      <c r="G971" s="270"/>
      <c r="H971" s="270"/>
      <c r="I971" s="270"/>
      <c r="J971" s="270"/>
      <c r="K971" s="270"/>
    </row>
    <row r="972" ht="15.75" customHeight="1">
      <c r="D972" s="270"/>
      <c r="E972" s="270"/>
      <c r="F972" s="270"/>
      <c r="G972" s="270"/>
      <c r="H972" s="270"/>
      <c r="I972" s="270"/>
      <c r="J972" s="270"/>
      <c r="K972" s="270"/>
    </row>
    <row r="973" ht="15.75" customHeight="1">
      <c r="D973" s="270"/>
      <c r="E973" s="270"/>
      <c r="F973" s="270"/>
      <c r="G973" s="270"/>
      <c r="H973" s="270"/>
      <c r="I973" s="270"/>
      <c r="J973" s="270"/>
      <c r="K973" s="270"/>
    </row>
    <row r="974" ht="15.75" customHeight="1">
      <c r="D974" s="270"/>
      <c r="E974" s="270"/>
      <c r="F974" s="270"/>
      <c r="G974" s="270"/>
      <c r="H974" s="270"/>
      <c r="I974" s="270"/>
      <c r="J974" s="270"/>
      <c r="K974" s="270"/>
    </row>
    <row r="975" ht="15.75" customHeight="1">
      <c r="D975" s="270"/>
      <c r="E975" s="270"/>
      <c r="F975" s="270"/>
      <c r="G975" s="270"/>
      <c r="H975" s="270"/>
      <c r="I975" s="270"/>
      <c r="J975" s="270"/>
      <c r="K975" s="270"/>
    </row>
    <row r="976" ht="15.75" customHeight="1">
      <c r="D976" s="270"/>
      <c r="E976" s="270"/>
      <c r="F976" s="270"/>
      <c r="G976" s="270"/>
      <c r="H976" s="270"/>
      <c r="I976" s="270"/>
      <c r="J976" s="270"/>
      <c r="K976" s="270"/>
    </row>
    <row r="977" ht="15.75" customHeight="1">
      <c r="D977" s="270"/>
      <c r="E977" s="270"/>
      <c r="F977" s="270"/>
      <c r="G977" s="270"/>
      <c r="H977" s="270"/>
      <c r="I977" s="270"/>
      <c r="J977" s="270"/>
      <c r="K977" s="270"/>
    </row>
    <row r="978" ht="15.75" customHeight="1">
      <c r="D978" s="270"/>
      <c r="E978" s="270"/>
      <c r="F978" s="270"/>
      <c r="G978" s="270"/>
      <c r="H978" s="270"/>
      <c r="I978" s="270"/>
      <c r="J978" s="270"/>
      <c r="K978" s="270"/>
    </row>
    <row r="979" ht="15.75" customHeight="1">
      <c r="D979" s="270"/>
      <c r="E979" s="270"/>
      <c r="F979" s="270"/>
      <c r="G979" s="270"/>
      <c r="H979" s="270"/>
      <c r="I979" s="270"/>
      <c r="J979" s="270"/>
      <c r="K979" s="270"/>
    </row>
    <row r="980" ht="15.75" customHeight="1">
      <c r="D980" s="270"/>
      <c r="E980" s="270"/>
      <c r="F980" s="270"/>
      <c r="G980" s="270"/>
      <c r="H980" s="270"/>
      <c r="I980" s="270"/>
      <c r="J980" s="270"/>
      <c r="K980" s="270"/>
    </row>
    <row r="981" ht="15.75" customHeight="1">
      <c r="D981" s="270"/>
      <c r="E981" s="270"/>
      <c r="F981" s="270"/>
      <c r="G981" s="270"/>
      <c r="H981" s="270"/>
      <c r="I981" s="270"/>
      <c r="J981" s="270"/>
      <c r="K981" s="270"/>
    </row>
    <row r="982" ht="15.75" customHeight="1">
      <c r="D982" s="270"/>
      <c r="E982" s="270"/>
      <c r="F982" s="270"/>
      <c r="G982" s="270"/>
      <c r="H982" s="270"/>
      <c r="I982" s="270"/>
      <c r="J982" s="270"/>
      <c r="K982" s="270"/>
    </row>
    <row r="983" ht="15.75" customHeight="1">
      <c r="D983" s="270"/>
      <c r="E983" s="270"/>
      <c r="F983" s="270"/>
      <c r="G983" s="270"/>
      <c r="H983" s="270"/>
      <c r="I983" s="270"/>
      <c r="J983" s="270"/>
      <c r="K983" s="270"/>
    </row>
    <row r="984" ht="15.75" customHeight="1">
      <c r="D984" s="270"/>
      <c r="E984" s="270"/>
      <c r="F984" s="270"/>
      <c r="G984" s="270"/>
      <c r="H984" s="270"/>
      <c r="I984" s="270"/>
      <c r="J984" s="270"/>
      <c r="K984" s="270"/>
    </row>
    <row r="985" ht="15.75" customHeight="1">
      <c r="D985" s="270"/>
      <c r="E985" s="270"/>
      <c r="F985" s="270"/>
      <c r="G985" s="270"/>
      <c r="H985" s="270"/>
      <c r="I985" s="270"/>
      <c r="J985" s="270"/>
      <c r="K985" s="270"/>
    </row>
    <row r="986" ht="15.75" customHeight="1">
      <c r="D986" s="270"/>
      <c r="E986" s="270"/>
      <c r="F986" s="270"/>
      <c r="G986" s="270"/>
      <c r="H986" s="270"/>
      <c r="I986" s="270"/>
      <c r="J986" s="270"/>
      <c r="K986" s="270"/>
    </row>
    <row r="987" ht="15.75" customHeight="1">
      <c r="D987" s="270"/>
      <c r="E987" s="270"/>
      <c r="F987" s="270"/>
      <c r="G987" s="270"/>
      <c r="H987" s="270"/>
      <c r="I987" s="270"/>
      <c r="J987" s="270"/>
      <c r="K987" s="270"/>
    </row>
    <row r="988" ht="15.75" customHeight="1">
      <c r="D988" s="270"/>
      <c r="E988" s="270"/>
      <c r="F988" s="270"/>
      <c r="G988" s="270"/>
      <c r="H988" s="270"/>
      <c r="I988" s="270"/>
      <c r="J988" s="270"/>
      <c r="K988" s="270"/>
    </row>
    <row r="989" ht="15.75" customHeight="1">
      <c r="D989" s="270"/>
      <c r="E989" s="270"/>
      <c r="F989" s="270"/>
      <c r="G989" s="270"/>
      <c r="H989" s="270"/>
      <c r="I989" s="270"/>
      <c r="J989" s="270"/>
      <c r="K989" s="270"/>
    </row>
    <row r="990" ht="15.75" customHeight="1">
      <c r="D990" s="270"/>
      <c r="E990" s="270"/>
      <c r="F990" s="270"/>
      <c r="G990" s="270"/>
      <c r="H990" s="270"/>
      <c r="I990" s="270"/>
      <c r="J990" s="270"/>
      <c r="K990" s="270"/>
    </row>
    <row r="991" ht="15.75" customHeight="1">
      <c r="D991" s="270"/>
      <c r="E991" s="270"/>
      <c r="F991" s="270"/>
      <c r="G991" s="270"/>
      <c r="H991" s="270"/>
      <c r="I991" s="270"/>
      <c r="J991" s="270"/>
      <c r="K991" s="270"/>
    </row>
    <row r="992" ht="15.75" customHeight="1">
      <c r="D992" s="270"/>
      <c r="E992" s="270"/>
      <c r="F992" s="270"/>
      <c r="G992" s="270"/>
      <c r="H992" s="270"/>
      <c r="I992" s="270"/>
      <c r="J992" s="270"/>
      <c r="K992" s="270"/>
    </row>
    <row r="993" ht="15.75" customHeight="1">
      <c r="D993" s="270"/>
      <c r="E993" s="270"/>
      <c r="F993" s="270"/>
      <c r="G993" s="270"/>
      <c r="H993" s="270"/>
      <c r="I993" s="270"/>
      <c r="J993" s="270"/>
      <c r="K993" s="270"/>
    </row>
    <row r="994" ht="15.75" customHeight="1">
      <c r="D994" s="270"/>
      <c r="E994" s="270"/>
      <c r="F994" s="270"/>
      <c r="G994" s="270"/>
      <c r="H994" s="270"/>
      <c r="I994" s="270"/>
      <c r="J994" s="270"/>
      <c r="K994" s="270"/>
    </row>
    <row r="995" ht="15.75" customHeight="1">
      <c r="D995" s="270"/>
      <c r="E995" s="270"/>
      <c r="F995" s="270"/>
      <c r="G995" s="270"/>
      <c r="H995" s="270"/>
      <c r="I995" s="270"/>
      <c r="J995" s="270"/>
      <c r="K995" s="270"/>
    </row>
    <row r="996" ht="15.75" customHeight="1">
      <c r="D996" s="270"/>
      <c r="E996" s="270"/>
      <c r="F996" s="270"/>
      <c r="G996" s="270"/>
      <c r="H996" s="270"/>
      <c r="I996" s="270"/>
      <c r="J996" s="270"/>
      <c r="K996" s="270"/>
    </row>
    <row r="997" ht="15.75" customHeight="1">
      <c r="D997" s="270"/>
      <c r="E997" s="270"/>
      <c r="F997" s="270"/>
      <c r="G997" s="270"/>
      <c r="H997" s="270"/>
      <c r="I997" s="270"/>
      <c r="J997" s="270"/>
      <c r="K997" s="270"/>
    </row>
    <row r="998" ht="15.75" customHeight="1">
      <c r="D998" s="270"/>
      <c r="E998" s="270"/>
      <c r="F998" s="270"/>
      <c r="G998" s="270"/>
      <c r="H998" s="270"/>
      <c r="I998" s="270"/>
      <c r="J998" s="270"/>
      <c r="K998" s="270"/>
    </row>
    <row r="999" ht="15.75" customHeight="1">
      <c r="D999" s="270"/>
      <c r="E999" s="270"/>
      <c r="F999" s="270"/>
      <c r="G999" s="270"/>
      <c r="H999" s="270"/>
      <c r="I999" s="270"/>
      <c r="J999" s="270"/>
      <c r="K999" s="270"/>
    </row>
    <row r="1000" ht="15.75" customHeight="1">
      <c r="D1000" s="270"/>
      <c r="E1000" s="270"/>
      <c r="F1000" s="270"/>
      <c r="G1000" s="270"/>
      <c r="H1000" s="270"/>
      <c r="I1000" s="270"/>
      <c r="J1000" s="270"/>
      <c r="K1000" s="270"/>
    </row>
  </sheetData>
  <dataValidations>
    <dataValidation type="list" allowBlank="1" showErrorMessage="1" sqref="F2:F20">
      <formula1>CVE</formula1>
    </dataValidation>
    <dataValidation type="list" allowBlank="1" showErrorMessage="1" sqref="D2:D20">
      <formula1>"H,M"</formula1>
    </dataValidation>
    <dataValidation type="list" allowBlank="1" showErrorMessage="1" sqref="E2:E20">
      <formula1>EdoCivil</formula1>
    </dataValidation>
    <dataValidation type="date" operator="greaterThan" allowBlank="1" showErrorMessage="1" sqref="I2:I20">
      <formula1>1.0</formula1>
    </dataValidation>
    <dataValidation type="list" allowBlank="1" showErrorMessage="1" sqref="G2:H20">
      <formula1>"SÍ,NO"</formula1>
    </dataValidation>
  </dataValidations>
  <printOptions/>
  <pageMargins bottom="0.7480314960629921" footer="0.0" header="0.0" left="0.03937007874015748" right="0.03937007874015748" top="0.7480314960629921"/>
  <pageSetup fitToHeight="0"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0.71"/>
    <col customWidth="1" min="3" max="3" width="11.0"/>
    <col customWidth="1" min="4" max="4" width="42.29"/>
    <col customWidth="1" min="5" max="5" width="3.29"/>
    <col customWidth="1" min="6" max="6" width="40.71"/>
    <col customWidth="1" min="7" max="8" width="10.71"/>
    <col customWidth="1" min="9" max="9" width="47.71"/>
    <col customWidth="1" min="10" max="26" width="10.71"/>
  </cols>
  <sheetData>
    <row r="1">
      <c r="A1" s="271" t="s">
        <v>2465</v>
      </c>
      <c r="B1" s="272"/>
      <c r="C1" s="273"/>
      <c r="D1" s="273"/>
      <c r="F1" s="274" t="s">
        <v>2465</v>
      </c>
    </row>
    <row r="2">
      <c r="A2" s="38" t="s">
        <v>105</v>
      </c>
      <c r="B2" s="42" t="s">
        <v>111</v>
      </c>
      <c r="C2" s="42" t="s">
        <v>112</v>
      </c>
      <c r="D2" s="42" t="s">
        <v>113</v>
      </c>
      <c r="F2" s="38" t="s">
        <v>105</v>
      </c>
      <c r="G2" s="42" t="s">
        <v>111</v>
      </c>
      <c r="H2" s="42" t="s">
        <v>112</v>
      </c>
      <c r="I2" s="42" t="s">
        <v>113</v>
      </c>
    </row>
    <row r="3">
      <c r="A3" s="57" t="s">
        <v>329</v>
      </c>
      <c r="B3" s="56">
        <v>15.0</v>
      </c>
      <c r="C3" s="56">
        <v>3.328079212E9</v>
      </c>
      <c r="D3" s="60" t="s">
        <v>330</v>
      </c>
      <c r="F3" s="57" t="s">
        <v>342</v>
      </c>
      <c r="G3" s="56">
        <v>15.0</v>
      </c>
      <c r="H3" s="56"/>
      <c r="I3" s="60" t="s">
        <v>343</v>
      </c>
    </row>
    <row r="4">
      <c r="A4" s="57" t="s">
        <v>336</v>
      </c>
      <c r="B4" s="56">
        <v>15.0</v>
      </c>
      <c r="C4" s="56">
        <v>3.334423388E9</v>
      </c>
      <c r="D4" s="60" t="s">
        <v>337</v>
      </c>
      <c r="F4" s="57" t="s">
        <v>921</v>
      </c>
      <c r="G4" s="56">
        <v>14.0</v>
      </c>
      <c r="H4" s="56">
        <v>3.325214476E9</v>
      </c>
      <c r="I4" s="60" t="s">
        <v>922</v>
      </c>
    </row>
    <row r="5">
      <c r="A5" s="57" t="s">
        <v>473</v>
      </c>
      <c r="B5" s="56">
        <v>14.0</v>
      </c>
      <c r="C5" s="56">
        <v>3.31014785E9</v>
      </c>
      <c r="D5" s="60" t="s">
        <v>474</v>
      </c>
      <c r="F5" s="57" t="s">
        <v>1070</v>
      </c>
      <c r="G5" s="56">
        <v>15.0</v>
      </c>
      <c r="H5" s="56"/>
      <c r="I5" s="60" t="s">
        <v>1071</v>
      </c>
    </row>
    <row r="6">
      <c r="A6" s="57" t="s">
        <v>491</v>
      </c>
      <c r="B6" s="56">
        <v>15.0</v>
      </c>
      <c r="C6" s="56"/>
      <c r="D6" s="60" t="s">
        <v>492</v>
      </c>
      <c r="F6" s="57" t="s">
        <v>1177</v>
      </c>
      <c r="G6" s="56">
        <v>15.0</v>
      </c>
      <c r="H6" s="56">
        <v>5.562173928E9</v>
      </c>
      <c r="I6" s="60" t="s">
        <v>1178</v>
      </c>
    </row>
    <row r="7">
      <c r="A7" s="57" t="s">
        <v>556</v>
      </c>
      <c r="B7" s="56">
        <v>15.0</v>
      </c>
      <c r="C7" s="56"/>
      <c r="D7" s="60" t="s">
        <v>555</v>
      </c>
      <c r="F7" s="57" t="s">
        <v>2017</v>
      </c>
      <c r="G7" s="56">
        <v>14.0</v>
      </c>
      <c r="H7" s="56">
        <v>3.6056403E7</v>
      </c>
      <c r="I7" s="60" t="s">
        <v>2018</v>
      </c>
    </row>
    <row r="8">
      <c r="A8" s="57" t="s">
        <v>636</v>
      </c>
      <c r="B8" s="56">
        <v>15.0</v>
      </c>
      <c r="C8" s="56">
        <v>3.337228328E9</v>
      </c>
      <c r="D8" s="60" t="s">
        <v>637</v>
      </c>
    </row>
    <row r="9">
      <c r="A9" s="57" t="s">
        <v>874</v>
      </c>
      <c r="B9" s="56">
        <v>15.0</v>
      </c>
      <c r="C9" s="56"/>
      <c r="D9" s="60" t="s">
        <v>875</v>
      </c>
      <c r="F9" s="274" t="s">
        <v>2466</v>
      </c>
    </row>
    <row r="10">
      <c r="A10" s="57" t="s">
        <v>881</v>
      </c>
      <c r="B10" s="56">
        <v>15.0</v>
      </c>
      <c r="C10" s="56">
        <v>3.322197141E9</v>
      </c>
      <c r="D10" s="60" t="s">
        <v>882</v>
      </c>
      <c r="F10" s="38" t="s">
        <v>105</v>
      </c>
      <c r="G10" s="42" t="s">
        <v>111</v>
      </c>
      <c r="H10" s="42" t="s">
        <v>112</v>
      </c>
      <c r="I10" s="42" t="s">
        <v>113</v>
      </c>
    </row>
    <row r="11">
      <c r="A11" s="57" t="s">
        <v>965</v>
      </c>
      <c r="B11" s="56">
        <v>14.0</v>
      </c>
      <c r="C11" s="56"/>
      <c r="D11" s="60"/>
      <c r="F11" s="57" t="s">
        <v>134</v>
      </c>
      <c r="G11" s="56">
        <v>17.0</v>
      </c>
      <c r="H11" s="56">
        <v>3.325006442E9</v>
      </c>
      <c r="I11" s="60" t="s">
        <v>135</v>
      </c>
    </row>
    <row r="12">
      <c r="A12" s="57" t="s">
        <v>1018</v>
      </c>
      <c r="B12" s="56">
        <v>14.0</v>
      </c>
      <c r="C12" s="56"/>
      <c r="D12" s="60" t="s">
        <v>1019</v>
      </c>
      <c r="F12" s="57" t="s">
        <v>513</v>
      </c>
      <c r="G12" s="56">
        <v>16.0</v>
      </c>
      <c r="H12" s="56"/>
      <c r="I12" s="60" t="s">
        <v>514</v>
      </c>
    </row>
    <row r="13">
      <c r="A13" s="57" t="s">
        <v>1464</v>
      </c>
      <c r="B13" s="56">
        <v>15.0</v>
      </c>
      <c r="C13" s="56">
        <v>3.318412959E9</v>
      </c>
      <c r="D13" s="60" t="s">
        <v>1465</v>
      </c>
      <c r="F13" s="57" t="s">
        <v>533</v>
      </c>
      <c r="G13" s="56">
        <v>16.0</v>
      </c>
      <c r="H13" s="56">
        <v>3.328329014E9</v>
      </c>
      <c r="I13" s="60" t="s">
        <v>534</v>
      </c>
    </row>
    <row r="14">
      <c r="A14" s="57" t="s">
        <v>1536</v>
      </c>
      <c r="B14" s="56">
        <v>14.0</v>
      </c>
      <c r="C14" s="56">
        <v>3.336438343E9</v>
      </c>
      <c r="D14" s="60" t="s">
        <v>1537</v>
      </c>
      <c r="F14" s="57" t="s">
        <v>1227</v>
      </c>
      <c r="G14" s="56">
        <v>17.0</v>
      </c>
      <c r="H14" s="56">
        <v>3.315550055E9</v>
      </c>
      <c r="I14" s="60" t="s">
        <v>1228</v>
      </c>
    </row>
    <row r="15">
      <c r="A15" s="57" t="s">
        <v>1563</v>
      </c>
      <c r="B15" s="56">
        <v>15.0</v>
      </c>
      <c r="C15" s="56">
        <v>3.32321887E9</v>
      </c>
      <c r="D15" s="60" t="s">
        <v>605</v>
      </c>
      <c r="F15" s="57" t="s">
        <v>1488</v>
      </c>
      <c r="G15" s="56">
        <v>16.0</v>
      </c>
      <c r="H15" s="56">
        <v>3.313122738E9</v>
      </c>
      <c r="I15" s="60" t="s">
        <v>1489</v>
      </c>
    </row>
    <row r="16">
      <c r="A16" s="57" t="s">
        <v>1734</v>
      </c>
      <c r="B16" s="56">
        <v>14.0</v>
      </c>
      <c r="C16" s="56">
        <v>3.330289797E9</v>
      </c>
      <c r="D16" s="60" t="s">
        <v>1735</v>
      </c>
      <c r="F16" s="57" t="s">
        <v>1531</v>
      </c>
      <c r="G16" s="56">
        <v>17.0</v>
      </c>
      <c r="H16" s="56">
        <v>3.6085766E7</v>
      </c>
      <c r="I16" s="60" t="s">
        <v>1532</v>
      </c>
    </row>
    <row r="17">
      <c r="A17" s="57" t="s">
        <v>1750</v>
      </c>
      <c r="B17" s="56">
        <v>15.0</v>
      </c>
      <c r="C17" s="56">
        <v>3.921310443E9</v>
      </c>
      <c r="D17" s="60" t="s">
        <v>1751</v>
      </c>
      <c r="F17" s="57" t="s">
        <v>1570</v>
      </c>
      <c r="G17" s="56">
        <v>16.0</v>
      </c>
      <c r="H17" s="56">
        <v>3.310931478E9</v>
      </c>
      <c r="I17" s="60" t="s">
        <v>1571</v>
      </c>
    </row>
    <row r="18">
      <c r="A18" s="57" t="s">
        <v>1800</v>
      </c>
      <c r="B18" s="56">
        <v>15.0</v>
      </c>
      <c r="C18" s="56"/>
      <c r="D18" s="60" t="s">
        <v>1801</v>
      </c>
      <c r="F18" s="57" t="s">
        <v>1597</v>
      </c>
      <c r="G18" s="56">
        <v>16.0</v>
      </c>
      <c r="H18" s="56">
        <v>3.319246889E9</v>
      </c>
      <c r="I18" s="60" t="s">
        <v>1598</v>
      </c>
    </row>
    <row r="19">
      <c r="A19" s="57" t="s">
        <v>1823</v>
      </c>
      <c r="B19" s="56">
        <v>14.0</v>
      </c>
      <c r="C19" s="56"/>
      <c r="D19" s="60" t="s">
        <v>1281</v>
      </c>
      <c r="F19" s="57" t="s">
        <v>1643</v>
      </c>
      <c r="G19" s="56">
        <v>17.0</v>
      </c>
      <c r="H19" s="56"/>
      <c r="I19" s="60" t="s">
        <v>1644</v>
      </c>
    </row>
    <row r="20">
      <c r="A20" s="57" t="s">
        <v>1940</v>
      </c>
      <c r="B20" s="56">
        <v>15.0</v>
      </c>
      <c r="C20" s="56"/>
      <c r="D20" s="60" t="s">
        <v>1941</v>
      </c>
      <c r="F20" s="57" t="s">
        <v>2053</v>
      </c>
      <c r="G20" s="56">
        <v>17.0</v>
      </c>
      <c r="H20" s="56"/>
      <c r="I20" s="60" t="s">
        <v>2054</v>
      </c>
    </row>
    <row r="21" ht="15.75" customHeight="1">
      <c r="A21" s="57" t="s">
        <v>2051</v>
      </c>
      <c r="B21" s="56">
        <v>15.0</v>
      </c>
      <c r="C21" s="56"/>
      <c r="D21" s="60" t="s">
        <v>2052</v>
      </c>
    </row>
    <row r="22" ht="15.75" customHeight="1">
      <c r="A22" s="57" t="s">
        <v>2165</v>
      </c>
      <c r="B22" s="56">
        <v>15.0</v>
      </c>
      <c r="C22" s="56">
        <v>3.334936229E9</v>
      </c>
      <c r="D22" s="60" t="s">
        <v>2166</v>
      </c>
      <c r="F22" s="275" t="s">
        <v>2467</v>
      </c>
    </row>
    <row r="23" ht="15.75" customHeight="1">
      <c r="A23" s="36"/>
      <c r="B23" s="31"/>
      <c r="C23" s="31"/>
      <c r="D23" s="31"/>
      <c r="F23" s="38" t="s">
        <v>105</v>
      </c>
      <c r="G23" s="42" t="s">
        <v>111</v>
      </c>
      <c r="H23" s="42" t="s">
        <v>112</v>
      </c>
      <c r="I23" s="42" t="s">
        <v>113</v>
      </c>
    </row>
    <row r="24" ht="15.75" customHeight="1">
      <c r="A24" s="276" t="s">
        <v>2468</v>
      </c>
      <c r="B24" s="272"/>
      <c r="C24" s="273"/>
      <c r="D24" s="273"/>
      <c r="F24" s="57" t="s">
        <v>127</v>
      </c>
      <c r="G24" s="56">
        <v>19.0</v>
      </c>
      <c r="H24" s="56">
        <v>3.316716256E9</v>
      </c>
      <c r="I24" s="60" t="s">
        <v>129</v>
      </c>
    </row>
    <row r="25" ht="15.75" customHeight="1">
      <c r="A25" s="38" t="s">
        <v>105</v>
      </c>
      <c r="B25" s="42" t="s">
        <v>111</v>
      </c>
      <c r="C25" s="42" t="s">
        <v>112</v>
      </c>
      <c r="D25" s="42" t="s">
        <v>113</v>
      </c>
      <c r="F25" s="57" t="s">
        <v>588</v>
      </c>
      <c r="G25" s="56">
        <v>18.0</v>
      </c>
      <c r="H25" s="56">
        <v>3.329679261E9</v>
      </c>
      <c r="I25" s="60" t="s">
        <v>589</v>
      </c>
    </row>
    <row r="26" ht="15.75" customHeight="1">
      <c r="A26" s="57" t="s">
        <v>482</v>
      </c>
      <c r="B26" s="56">
        <v>17.0</v>
      </c>
      <c r="C26" s="56">
        <v>3.32454595E9</v>
      </c>
      <c r="D26" s="60" t="s">
        <v>483</v>
      </c>
      <c r="F26" s="57" t="s">
        <v>641</v>
      </c>
      <c r="G26" s="56">
        <v>18.0</v>
      </c>
      <c r="H26" s="56" t="s">
        <v>642</v>
      </c>
      <c r="I26" s="60" t="s">
        <v>643</v>
      </c>
    </row>
    <row r="27" ht="15.75" customHeight="1">
      <c r="A27" s="57" t="s">
        <v>527</v>
      </c>
      <c r="B27" s="56">
        <v>17.0</v>
      </c>
      <c r="C27" s="56">
        <v>3.317780958E9</v>
      </c>
      <c r="D27" s="60" t="s">
        <v>528</v>
      </c>
      <c r="F27" s="57" t="s">
        <v>970</v>
      </c>
      <c r="G27" s="56">
        <v>18.0</v>
      </c>
      <c r="H27" s="56" t="s">
        <v>570</v>
      </c>
      <c r="I27" s="60" t="s">
        <v>971</v>
      </c>
    </row>
    <row r="28" ht="15.75" customHeight="1">
      <c r="A28" s="57" t="s">
        <v>554</v>
      </c>
      <c r="B28" s="56">
        <v>17.0</v>
      </c>
      <c r="C28" s="56"/>
      <c r="D28" s="60" t="s">
        <v>555</v>
      </c>
      <c r="F28" s="57" t="s">
        <v>1604</v>
      </c>
      <c r="G28" s="56">
        <v>18.0</v>
      </c>
      <c r="H28" s="56">
        <v>3.315965188E9</v>
      </c>
      <c r="I28" s="60" t="s">
        <v>1605</v>
      </c>
    </row>
    <row r="29" ht="15.75" customHeight="1">
      <c r="A29" s="57" t="s">
        <v>645</v>
      </c>
      <c r="B29" s="56">
        <v>16.0</v>
      </c>
      <c r="C29" s="56">
        <v>3.325700229E9</v>
      </c>
      <c r="D29" s="60" t="s">
        <v>646</v>
      </c>
      <c r="F29" s="57" t="s">
        <v>1712</v>
      </c>
      <c r="G29" s="56">
        <v>18.0</v>
      </c>
      <c r="H29" s="56">
        <v>3.322209501E9</v>
      </c>
      <c r="I29" s="60" t="s">
        <v>1713</v>
      </c>
    </row>
    <row r="30" ht="15.75" customHeight="1">
      <c r="A30" s="57" t="s">
        <v>702</v>
      </c>
      <c r="B30" s="56">
        <v>16.0</v>
      </c>
      <c r="C30" s="56">
        <v>9.711039062E9</v>
      </c>
      <c r="D30" s="60" t="s">
        <v>703</v>
      </c>
      <c r="F30" s="57" t="s">
        <v>1748</v>
      </c>
      <c r="G30" s="56">
        <v>19.0</v>
      </c>
      <c r="H30" s="56">
        <v>3.319964457E9</v>
      </c>
      <c r="I30" s="60" t="s">
        <v>1749</v>
      </c>
    </row>
    <row r="31" ht="15.75" customHeight="1">
      <c r="A31" s="57" t="s">
        <v>887</v>
      </c>
      <c r="B31" s="56">
        <v>17.0</v>
      </c>
      <c r="C31" s="56"/>
      <c r="D31" s="60" t="s">
        <v>888</v>
      </c>
      <c r="F31" s="57" t="s">
        <v>2084</v>
      </c>
      <c r="G31" s="56">
        <v>18.0</v>
      </c>
      <c r="H31" s="56">
        <v>3.32460681E9</v>
      </c>
      <c r="I31" s="60" t="s">
        <v>2085</v>
      </c>
    </row>
    <row r="32" ht="15.75" customHeight="1">
      <c r="A32" s="57" t="s">
        <v>957</v>
      </c>
      <c r="B32" s="56">
        <v>17.0</v>
      </c>
      <c r="C32" s="56"/>
      <c r="D32" s="60" t="s">
        <v>958</v>
      </c>
      <c r="F32" s="57" t="s">
        <v>2150</v>
      </c>
      <c r="G32" s="56">
        <v>18.0</v>
      </c>
      <c r="H32" s="56"/>
      <c r="I32" s="60" t="s">
        <v>2151</v>
      </c>
    </row>
    <row r="33" ht="15.75" customHeight="1">
      <c r="A33" s="57" t="s">
        <v>1007</v>
      </c>
      <c r="B33" s="56">
        <v>16.0</v>
      </c>
      <c r="C33" s="56">
        <v>3.333293778E9</v>
      </c>
      <c r="D33" s="60" t="s">
        <v>1008</v>
      </c>
    </row>
    <row r="34" ht="15.75" customHeight="1">
      <c r="A34" s="57" t="s">
        <v>1231</v>
      </c>
      <c r="B34" s="56">
        <v>17.0</v>
      </c>
      <c r="C34" s="56">
        <v>3.32048041E9</v>
      </c>
      <c r="D34" s="60" t="s">
        <v>1232</v>
      </c>
      <c r="F34" s="275" t="s">
        <v>2469</v>
      </c>
    </row>
    <row r="35" ht="15.75" customHeight="1">
      <c r="A35" s="57" t="s">
        <v>1280</v>
      </c>
      <c r="B35" s="56">
        <v>16.0</v>
      </c>
      <c r="C35" s="56">
        <v>3.323113517E9</v>
      </c>
      <c r="D35" s="60" t="s">
        <v>1281</v>
      </c>
      <c r="F35" s="38" t="s">
        <v>105</v>
      </c>
      <c r="G35" s="42" t="s">
        <v>111</v>
      </c>
      <c r="H35" s="42" t="s">
        <v>112</v>
      </c>
      <c r="I35" s="42" t="s">
        <v>113</v>
      </c>
    </row>
    <row r="36" ht="15.75" customHeight="1">
      <c r="A36" s="57" t="s">
        <v>1298</v>
      </c>
      <c r="B36" s="56">
        <v>17.0</v>
      </c>
      <c r="C36" s="56">
        <v>3.312135713E9</v>
      </c>
      <c r="D36" s="60" t="s">
        <v>1299</v>
      </c>
      <c r="F36" s="57" t="s">
        <v>243</v>
      </c>
      <c r="G36" s="56">
        <v>22.0</v>
      </c>
      <c r="H36" s="56">
        <v>3.316314181E9</v>
      </c>
      <c r="I36" s="60" t="s">
        <v>244</v>
      </c>
    </row>
    <row r="37" ht="15.75" customHeight="1">
      <c r="A37" s="57" t="s">
        <v>1466</v>
      </c>
      <c r="B37" s="56">
        <v>16.0</v>
      </c>
      <c r="C37" s="56">
        <v>3.333367427E9</v>
      </c>
      <c r="D37" s="60" t="s">
        <v>1467</v>
      </c>
      <c r="F37" s="57" t="s">
        <v>270</v>
      </c>
      <c r="G37" s="56">
        <v>21.0</v>
      </c>
      <c r="H37" s="56">
        <v>2.0167835E7</v>
      </c>
      <c r="I37" s="60" t="s">
        <v>268</v>
      </c>
    </row>
    <row r="38" ht="15.75" customHeight="1">
      <c r="A38" s="57" t="s">
        <v>1514</v>
      </c>
      <c r="B38" s="56">
        <v>17.0</v>
      </c>
      <c r="C38" s="56">
        <v>3.313414645E9</v>
      </c>
      <c r="D38" s="60" t="s">
        <v>845</v>
      </c>
      <c r="F38" s="57" t="s">
        <v>606</v>
      </c>
      <c r="G38" s="56">
        <v>22.0</v>
      </c>
      <c r="H38" s="56">
        <v>3.314824413E9</v>
      </c>
      <c r="I38" s="60" t="s">
        <v>607</v>
      </c>
    </row>
    <row r="39" ht="15.75" customHeight="1">
      <c r="A39" s="57" t="s">
        <v>1676</v>
      </c>
      <c r="B39" s="56">
        <v>16.0</v>
      </c>
      <c r="C39" s="56">
        <v>3.323812705E9</v>
      </c>
      <c r="D39" s="60" t="s">
        <v>1677</v>
      </c>
      <c r="F39" s="57" t="s">
        <v>611</v>
      </c>
      <c r="G39" s="56">
        <v>20.0</v>
      </c>
      <c r="H39" s="56">
        <v>3.312167198E9</v>
      </c>
      <c r="I39" s="60" t="s">
        <v>610</v>
      </c>
    </row>
    <row r="40" ht="15.75" customHeight="1">
      <c r="A40" s="57" t="s">
        <v>1809</v>
      </c>
      <c r="B40" s="56">
        <v>17.0</v>
      </c>
      <c r="C40" s="56">
        <v>7.443126912E9</v>
      </c>
      <c r="D40" s="60" t="s">
        <v>1810</v>
      </c>
      <c r="F40" s="57" t="s">
        <v>1273</v>
      </c>
      <c r="G40" s="56">
        <v>21.0</v>
      </c>
      <c r="H40" s="56">
        <v>3.315355986E9</v>
      </c>
      <c r="I40" s="60"/>
    </row>
    <row r="41" ht="15.75" customHeight="1">
      <c r="A41" s="57" t="s">
        <v>1821</v>
      </c>
      <c r="B41" s="56">
        <v>16.0</v>
      </c>
      <c r="C41" s="56"/>
      <c r="D41" s="60" t="s">
        <v>1281</v>
      </c>
      <c r="F41" s="57" t="s">
        <v>1704</v>
      </c>
      <c r="G41" s="56">
        <v>21.0</v>
      </c>
      <c r="H41" s="56">
        <v>3.221026048E9</v>
      </c>
      <c r="I41" s="60" t="s">
        <v>1705</v>
      </c>
    </row>
    <row r="42" ht="15.75" customHeight="1">
      <c r="A42" s="57" t="s">
        <v>1825</v>
      </c>
      <c r="B42" s="56">
        <v>17.0</v>
      </c>
      <c r="C42" s="56">
        <v>3.310141723E9</v>
      </c>
      <c r="D42" s="60" t="s">
        <v>1826</v>
      </c>
      <c r="F42" s="57" t="s">
        <v>1936</v>
      </c>
      <c r="G42" s="56">
        <v>20.0</v>
      </c>
      <c r="H42" s="56">
        <v>3.6080847E7</v>
      </c>
      <c r="I42" s="60" t="s">
        <v>1937</v>
      </c>
    </row>
    <row r="43" ht="15.75" customHeight="1">
      <c r="A43" s="57" t="s">
        <v>1883</v>
      </c>
      <c r="B43" s="56">
        <v>16.0</v>
      </c>
      <c r="C43" s="56"/>
      <c r="D43" s="60" t="s">
        <v>1884</v>
      </c>
      <c r="F43" s="57" t="s">
        <v>2034</v>
      </c>
      <c r="G43" s="56">
        <v>21.0</v>
      </c>
      <c r="H43" s="56">
        <v>3.321441755E9</v>
      </c>
      <c r="I43" s="60" t="s">
        <v>2035</v>
      </c>
    </row>
    <row r="44" ht="15.75" customHeight="1">
      <c r="A44" s="57" t="s">
        <v>1942</v>
      </c>
      <c r="B44" s="56">
        <v>17.0</v>
      </c>
      <c r="C44" s="56">
        <v>3.321295156E9</v>
      </c>
      <c r="D44" s="60" t="s">
        <v>1943</v>
      </c>
    </row>
    <row r="45" ht="15.75" customHeight="1">
      <c r="A45" s="57" t="s">
        <v>2163</v>
      </c>
      <c r="B45" s="56">
        <v>17.0</v>
      </c>
      <c r="C45" s="56"/>
      <c r="D45" s="60" t="s">
        <v>2164</v>
      </c>
      <c r="F45" s="275" t="s">
        <v>2470</v>
      </c>
    </row>
    <row r="46" ht="15.75" customHeight="1">
      <c r="F46" s="38" t="s">
        <v>105</v>
      </c>
      <c r="G46" s="42" t="s">
        <v>111</v>
      </c>
      <c r="H46" s="42" t="s">
        <v>112</v>
      </c>
      <c r="I46" s="42" t="s">
        <v>113</v>
      </c>
    </row>
    <row r="47" ht="15.75" customHeight="1">
      <c r="A47" s="275" t="s">
        <v>2471</v>
      </c>
      <c r="B47" s="272"/>
      <c r="C47" s="273"/>
      <c r="D47" s="273"/>
      <c r="F47" s="57" t="s">
        <v>145</v>
      </c>
      <c r="G47" s="56">
        <v>25.0</v>
      </c>
      <c r="H47" s="56">
        <v>3.335902493E9</v>
      </c>
      <c r="I47" s="60" t="s">
        <v>146</v>
      </c>
    </row>
    <row r="48" ht="15.75" customHeight="1">
      <c r="A48" s="38" t="s">
        <v>105</v>
      </c>
      <c r="B48" s="42" t="s">
        <v>111</v>
      </c>
      <c r="C48" s="42" t="s">
        <v>112</v>
      </c>
      <c r="D48" s="42" t="s">
        <v>113</v>
      </c>
      <c r="F48" s="57" t="s">
        <v>267</v>
      </c>
      <c r="G48" s="56">
        <v>23.0</v>
      </c>
      <c r="H48" s="56">
        <v>3.334888944E9</v>
      </c>
      <c r="I48" s="60" t="s">
        <v>268</v>
      </c>
    </row>
    <row r="49" ht="15.75" customHeight="1">
      <c r="A49" s="57" t="s">
        <v>231</v>
      </c>
      <c r="B49" s="56">
        <v>19.0</v>
      </c>
      <c r="C49" s="56">
        <v>3.6084943E7</v>
      </c>
      <c r="D49" s="60" t="s">
        <v>232</v>
      </c>
      <c r="F49" s="57" t="s">
        <v>564</v>
      </c>
      <c r="G49" s="56">
        <v>24.0</v>
      </c>
      <c r="H49" s="56">
        <v>3.312688826E9</v>
      </c>
      <c r="I49" s="60" t="s">
        <v>565</v>
      </c>
    </row>
    <row r="50" ht="15.75" customHeight="1">
      <c r="A50" s="57" t="s">
        <v>321</v>
      </c>
      <c r="B50" s="56">
        <v>19.0</v>
      </c>
      <c r="C50" s="56" t="s">
        <v>322</v>
      </c>
      <c r="D50" s="60" t="s">
        <v>323</v>
      </c>
      <c r="F50" s="57" t="s">
        <v>609</v>
      </c>
      <c r="G50" s="56">
        <v>23.0</v>
      </c>
      <c r="H50" s="56">
        <v>3.322717698E9</v>
      </c>
      <c r="I50" s="60" t="s">
        <v>610</v>
      </c>
    </row>
    <row r="51" ht="15.75" customHeight="1">
      <c r="A51" s="57" t="s">
        <v>351</v>
      </c>
      <c r="B51" s="56">
        <v>19.0</v>
      </c>
      <c r="C51" s="56">
        <v>3.333301156E9</v>
      </c>
      <c r="D51" s="60" t="s">
        <v>352</v>
      </c>
      <c r="F51" s="57" t="s">
        <v>775</v>
      </c>
      <c r="G51" s="56">
        <v>24.0</v>
      </c>
      <c r="H51" s="56">
        <v>3.6084559E7</v>
      </c>
      <c r="I51" s="60" t="s">
        <v>776</v>
      </c>
    </row>
    <row r="52" ht="15.75" customHeight="1">
      <c r="A52" s="57" t="s">
        <v>363</v>
      </c>
      <c r="B52" s="56">
        <v>18.0</v>
      </c>
      <c r="C52" s="56">
        <v>3.322024509E9</v>
      </c>
      <c r="D52" s="60" t="s">
        <v>364</v>
      </c>
      <c r="F52" s="57" t="s">
        <v>1187</v>
      </c>
      <c r="G52" s="56">
        <v>24.0</v>
      </c>
      <c r="H52" s="56">
        <v>5.611218429E9</v>
      </c>
      <c r="I52" s="60" t="s">
        <v>1188</v>
      </c>
    </row>
    <row r="53" ht="15.75" customHeight="1">
      <c r="A53" s="57" t="s">
        <v>924</v>
      </c>
      <c r="B53" s="56">
        <v>19.0</v>
      </c>
      <c r="C53" s="56">
        <v>3.319916428E9</v>
      </c>
      <c r="D53" s="60" t="s">
        <v>925</v>
      </c>
      <c r="F53" s="57" t="s">
        <v>1317</v>
      </c>
      <c r="G53" s="56">
        <v>24.0</v>
      </c>
      <c r="H53" s="56">
        <v>7.712717388E9</v>
      </c>
      <c r="I53" s="60"/>
    </row>
    <row r="54" ht="15.75" customHeight="1">
      <c r="A54" s="57" t="s">
        <v>928</v>
      </c>
      <c r="B54" s="56">
        <v>19.0</v>
      </c>
      <c r="C54" s="56">
        <v>3.313247563E9</v>
      </c>
      <c r="D54" s="60" t="s">
        <v>929</v>
      </c>
      <c r="F54" s="57"/>
      <c r="G54" s="56"/>
    </row>
    <row r="55" ht="15.75" customHeight="1">
      <c r="A55" s="57" t="s">
        <v>995</v>
      </c>
      <c r="B55" s="56">
        <v>19.0</v>
      </c>
      <c r="C55" s="56">
        <v>3.327929534E9</v>
      </c>
      <c r="D55" s="60" t="s">
        <v>996</v>
      </c>
    </row>
    <row r="56" ht="15.75" customHeight="1">
      <c r="A56" s="57" t="s">
        <v>1009</v>
      </c>
      <c r="B56" s="56">
        <v>18.0</v>
      </c>
      <c r="C56" s="56"/>
      <c r="D56" s="60" t="s">
        <v>1010</v>
      </c>
      <c r="F56" s="271" t="s">
        <v>2472</v>
      </c>
    </row>
    <row r="57" ht="15.75" customHeight="1">
      <c r="A57" s="57" t="s">
        <v>1063</v>
      </c>
      <c r="B57" s="56">
        <v>18.0</v>
      </c>
      <c r="C57" s="56" t="s">
        <v>1064</v>
      </c>
      <c r="D57" s="60" t="s">
        <v>1065</v>
      </c>
      <c r="F57" s="38" t="s">
        <v>105</v>
      </c>
      <c r="G57" s="42" t="s">
        <v>111</v>
      </c>
      <c r="H57" s="42" t="s">
        <v>112</v>
      </c>
      <c r="I57" s="42" t="s">
        <v>113</v>
      </c>
    </row>
    <row r="58" ht="15.75" customHeight="1">
      <c r="A58" s="57" t="s">
        <v>1128</v>
      </c>
      <c r="B58" s="56">
        <v>18.0</v>
      </c>
      <c r="C58" s="56"/>
      <c r="D58" s="60" t="s">
        <v>1129</v>
      </c>
      <c r="F58" s="57" t="s">
        <v>265</v>
      </c>
      <c r="G58" s="56">
        <v>26.0</v>
      </c>
      <c r="H58" s="56">
        <v>3.319991628E9</v>
      </c>
      <c r="I58" s="60" t="s">
        <v>266</v>
      </c>
    </row>
    <row r="59" ht="15.75" customHeight="1">
      <c r="A59" s="57" t="s">
        <v>1166</v>
      </c>
      <c r="B59" s="56">
        <v>19.0</v>
      </c>
      <c r="C59" s="56"/>
      <c r="D59" s="60" t="s">
        <v>1167</v>
      </c>
      <c r="F59" s="57" t="s">
        <v>461</v>
      </c>
      <c r="G59" s="56">
        <v>27.0</v>
      </c>
      <c r="H59" s="56"/>
      <c r="I59" s="60" t="s">
        <v>462</v>
      </c>
    </row>
    <row r="60" ht="15.75" customHeight="1">
      <c r="A60" s="57" t="s">
        <v>1180</v>
      </c>
      <c r="B60" s="56">
        <v>19.0</v>
      </c>
      <c r="C60" s="56">
        <v>3.313369072E9</v>
      </c>
      <c r="D60" s="60" t="s">
        <v>1181</v>
      </c>
      <c r="F60" s="57" t="s">
        <v>1497</v>
      </c>
      <c r="G60" s="56">
        <v>28.0</v>
      </c>
      <c r="H60" s="56" t="s">
        <v>1498</v>
      </c>
      <c r="I60" s="60" t="s">
        <v>1499</v>
      </c>
    </row>
    <row r="61" ht="15.75" customHeight="1">
      <c r="A61" s="57" t="s">
        <v>1229</v>
      </c>
      <c r="B61" s="56">
        <v>18.0</v>
      </c>
      <c r="C61" s="56">
        <v>3.310727255E9</v>
      </c>
      <c r="D61" s="60" t="s">
        <v>1230</v>
      </c>
      <c r="F61" s="57" t="s">
        <v>1559</v>
      </c>
      <c r="G61" s="56">
        <v>26.0</v>
      </c>
      <c r="H61" s="56">
        <v>3.313078144E9</v>
      </c>
      <c r="I61" s="60" t="s">
        <v>1560</v>
      </c>
    </row>
    <row r="62" ht="15.75" customHeight="1">
      <c r="A62" s="57" t="s">
        <v>1276</v>
      </c>
      <c r="B62" s="56">
        <v>19.0</v>
      </c>
      <c r="C62" s="56">
        <v>3.317712426E9</v>
      </c>
      <c r="D62" s="60" t="s">
        <v>1277</v>
      </c>
      <c r="F62" s="57" t="s">
        <v>1649</v>
      </c>
      <c r="G62" s="56">
        <v>26.0</v>
      </c>
      <c r="H62" s="56">
        <v>3.318575318E9</v>
      </c>
      <c r="I62" s="60" t="s">
        <v>1650</v>
      </c>
    </row>
    <row r="63" ht="15.75" customHeight="1">
      <c r="A63" s="57" t="s">
        <v>1442</v>
      </c>
      <c r="B63" s="56">
        <v>19.0</v>
      </c>
      <c r="C63" s="56">
        <v>3.323219118E9</v>
      </c>
      <c r="D63" s="60" t="s">
        <v>1443</v>
      </c>
      <c r="F63" s="57" t="s">
        <v>1667</v>
      </c>
      <c r="G63" s="56">
        <v>26.0</v>
      </c>
      <c r="H63" s="56">
        <v>3.314762592E9</v>
      </c>
      <c r="I63" s="60" t="s">
        <v>1668</v>
      </c>
    </row>
    <row r="64" ht="15.75" customHeight="1">
      <c r="A64" s="57" t="s">
        <v>1470</v>
      </c>
      <c r="B64" s="56">
        <v>18.0</v>
      </c>
      <c r="C64" s="56">
        <v>3.323181768E9</v>
      </c>
      <c r="D64" s="60" t="s">
        <v>1471</v>
      </c>
      <c r="F64" s="57" t="s">
        <v>2025</v>
      </c>
      <c r="G64" s="56">
        <v>26.0</v>
      </c>
      <c r="H64" s="56">
        <v>3.317083896E9</v>
      </c>
      <c r="I64" s="60" t="s">
        <v>2026</v>
      </c>
    </row>
    <row r="65" ht="15.75" customHeight="1">
      <c r="A65" s="57" t="s">
        <v>1529</v>
      </c>
      <c r="B65" s="56">
        <v>19.0</v>
      </c>
      <c r="C65" s="56">
        <v>3.6085766E7</v>
      </c>
      <c r="D65" s="60" t="s">
        <v>1530</v>
      </c>
    </row>
    <row r="66" ht="15.75" customHeight="1">
      <c r="A66" s="57" t="s">
        <v>1630</v>
      </c>
      <c r="B66" s="56">
        <v>19.0</v>
      </c>
      <c r="C66" s="56">
        <v>3.31768947E9</v>
      </c>
      <c r="D66" s="60" t="s">
        <v>1631</v>
      </c>
      <c r="F66" s="271" t="s">
        <v>2473</v>
      </c>
    </row>
    <row r="67" ht="15.75" customHeight="1">
      <c r="A67" s="57" t="s">
        <v>1789</v>
      </c>
      <c r="B67" s="56">
        <v>18.0</v>
      </c>
      <c r="C67" s="56"/>
      <c r="D67" s="60" t="s">
        <v>1790</v>
      </c>
      <c r="F67" s="38" t="s">
        <v>105</v>
      </c>
      <c r="G67" s="42" t="s">
        <v>111</v>
      </c>
      <c r="H67" s="42" t="s">
        <v>112</v>
      </c>
      <c r="I67" s="42" t="s">
        <v>113</v>
      </c>
    </row>
    <row r="68" ht="15.75" customHeight="1">
      <c r="A68" s="57" t="s">
        <v>1871</v>
      </c>
      <c r="B68" s="56">
        <v>19.0</v>
      </c>
      <c r="C68" s="56">
        <v>3.3345435E9</v>
      </c>
      <c r="D68" s="60" t="s">
        <v>1872</v>
      </c>
      <c r="F68" s="57" t="s">
        <v>1284</v>
      </c>
      <c r="G68" s="56">
        <v>35.0</v>
      </c>
      <c r="H68" s="56">
        <v>3.317213885E9</v>
      </c>
      <c r="I68" s="60" t="s">
        <v>1285</v>
      </c>
    </row>
    <row r="69" ht="15.75" customHeight="1">
      <c r="A69" s="57" t="s">
        <v>2045</v>
      </c>
      <c r="B69" s="56">
        <v>18.0</v>
      </c>
      <c r="C69" s="56">
        <v>3.314476105E9</v>
      </c>
      <c r="D69" s="60" t="s">
        <v>2046</v>
      </c>
      <c r="F69" s="57" t="s">
        <v>1311</v>
      </c>
      <c r="G69" s="56">
        <v>34.0</v>
      </c>
      <c r="H69" s="56"/>
      <c r="I69" s="60"/>
    </row>
    <row r="70" ht="15.75" customHeight="1">
      <c r="A70" s="57" t="s">
        <v>2056</v>
      </c>
      <c r="B70" s="56">
        <v>18.0</v>
      </c>
      <c r="C70" s="56">
        <v>3.331080997E9</v>
      </c>
      <c r="D70" s="60" t="s">
        <v>2057</v>
      </c>
      <c r="F70" s="57" t="s">
        <v>1786</v>
      </c>
      <c r="G70" s="56">
        <v>33.0</v>
      </c>
      <c r="H70" s="56"/>
      <c r="I70" s="60" t="s">
        <v>602</v>
      </c>
    </row>
    <row r="71" ht="15.75" customHeight="1"/>
    <row r="72" ht="15.75" customHeight="1">
      <c r="A72" s="275" t="s">
        <v>2474</v>
      </c>
      <c r="B72" s="277"/>
      <c r="C72" s="278"/>
      <c r="D72" s="278"/>
      <c r="F72" s="271" t="s">
        <v>2475</v>
      </c>
    </row>
    <row r="73" ht="15.75" customHeight="1">
      <c r="A73" s="38" t="s">
        <v>105</v>
      </c>
      <c r="B73" s="42" t="s">
        <v>111</v>
      </c>
      <c r="C73" s="42" t="s">
        <v>112</v>
      </c>
      <c r="D73" s="42" t="s">
        <v>113</v>
      </c>
      <c r="F73" s="38" t="s">
        <v>105</v>
      </c>
      <c r="G73" s="42" t="s">
        <v>111</v>
      </c>
      <c r="H73" s="42" t="s">
        <v>112</v>
      </c>
      <c r="I73" s="42" t="s">
        <v>113</v>
      </c>
    </row>
    <row r="74" ht="15.75" customHeight="1">
      <c r="A74" s="57" t="s">
        <v>2251</v>
      </c>
      <c r="B74" s="56">
        <v>20.0</v>
      </c>
      <c r="C74" s="56">
        <v>3.316472226E9</v>
      </c>
      <c r="D74" s="60" t="s">
        <v>119</v>
      </c>
      <c r="F74" s="57" t="s">
        <v>257</v>
      </c>
      <c r="G74" s="56">
        <v>44.0</v>
      </c>
      <c r="H74" s="56" t="s">
        <v>258</v>
      </c>
      <c r="I74" s="60" t="s">
        <v>259</v>
      </c>
    </row>
    <row r="75" ht="15.75" customHeight="1">
      <c r="A75" s="57" t="s">
        <v>593</v>
      </c>
      <c r="B75" s="56">
        <v>20.0</v>
      </c>
      <c r="C75" s="56">
        <v>3.315559254E9</v>
      </c>
      <c r="D75" s="60" t="s">
        <v>594</v>
      </c>
      <c r="F75" s="57" t="s">
        <v>972</v>
      </c>
      <c r="G75" s="56">
        <v>66.0</v>
      </c>
      <c r="H75" s="56">
        <v>3.331064444E9</v>
      </c>
      <c r="I75" s="60" t="s">
        <v>973</v>
      </c>
    </row>
    <row r="76" ht="15.75" customHeight="1">
      <c r="A76" s="57" t="s">
        <v>688</v>
      </c>
      <c r="B76" s="56">
        <v>20.0</v>
      </c>
      <c r="C76" s="56">
        <v>3.323339126E9</v>
      </c>
      <c r="D76" s="60" t="s">
        <v>689</v>
      </c>
      <c r="F76" s="57" t="s">
        <v>1022</v>
      </c>
      <c r="G76" s="56">
        <v>79.0</v>
      </c>
      <c r="H76" s="56">
        <v>3.6085571E7</v>
      </c>
      <c r="I76" s="60" t="s">
        <v>1023</v>
      </c>
    </row>
    <row r="77" ht="15.75" customHeight="1">
      <c r="A77" s="57" t="s">
        <v>864</v>
      </c>
      <c r="B77" s="56">
        <v>21.0</v>
      </c>
      <c r="C77" s="56">
        <v>3.331859582E9</v>
      </c>
      <c r="D77" s="60" t="s">
        <v>865</v>
      </c>
      <c r="F77" s="57" t="s">
        <v>1552</v>
      </c>
      <c r="G77" s="56">
        <v>44.0</v>
      </c>
      <c r="H77" s="56">
        <v>3.310748512E9</v>
      </c>
      <c r="I77" s="60" t="s">
        <v>1553</v>
      </c>
    </row>
    <row r="78" ht="15.75" customHeight="1">
      <c r="A78" s="57" t="s">
        <v>935</v>
      </c>
      <c r="B78" s="56">
        <v>21.0</v>
      </c>
      <c r="C78" s="56">
        <v>3.339057472E9</v>
      </c>
      <c r="D78" s="60" t="s">
        <v>936</v>
      </c>
      <c r="F78" s="57"/>
      <c r="G78" s="56"/>
    </row>
    <row r="79" ht="15.75" customHeight="1">
      <c r="A79" s="57" t="s">
        <v>980</v>
      </c>
      <c r="B79" s="56">
        <v>20.0</v>
      </c>
      <c r="C79" s="56">
        <v>3.321896377E9</v>
      </c>
      <c r="D79" s="60" t="s">
        <v>981</v>
      </c>
      <c r="F79" s="36"/>
      <c r="G79" s="31"/>
    </row>
    <row r="80" ht="15.75" customHeight="1">
      <c r="A80" s="57" t="s">
        <v>1718</v>
      </c>
      <c r="B80" s="56">
        <v>21.0</v>
      </c>
      <c r="C80" s="56"/>
      <c r="D80" s="60" t="s">
        <v>1719</v>
      </c>
      <c r="F80" s="271" t="s">
        <v>2476</v>
      </c>
    </row>
    <row r="81" ht="15.75" customHeight="1">
      <c r="A81" s="57" t="s">
        <v>1974</v>
      </c>
      <c r="B81" s="56">
        <v>21.0</v>
      </c>
      <c r="C81" s="56">
        <v>3.322074491E9</v>
      </c>
      <c r="D81" s="60" t="s">
        <v>1975</v>
      </c>
      <c r="F81" s="38" t="s">
        <v>105</v>
      </c>
      <c r="G81" s="42" t="s">
        <v>111</v>
      </c>
      <c r="H81" s="42" t="s">
        <v>112</v>
      </c>
      <c r="I81" s="42" t="s">
        <v>113</v>
      </c>
    </row>
    <row r="82" ht="15.75" customHeight="1">
      <c r="F82" s="57" t="s">
        <v>1194</v>
      </c>
      <c r="G82" s="56">
        <v>22.0</v>
      </c>
      <c r="H82" s="56">
        <v>3.321083522E9</v>
      </c>
      <c r="I82" s="60" t="s">
        <v>1195</v>
      </c>
    </row>
    <row r="83" ht="15.75" customHeight="1">
      <c r="A83" s="271" t="s">
        <v>2477</v>
      </c>
    </row>
    <row r="84" ht="15.75" customHeight="1">
      <c r="A84" s="38" t="s">
        <v>105</v>
      </c>
      <c r="B84" s="42" t="s">
        <v>111</v>
      </c>
      <c r="C84" s="42" t="s">
        <v>112</v>
      </c>
      <c r="D84" s="42" t="s">
        <v>113</v>
      </c>
      <c r="F84" s="274" t="s">
        <v>2478</v>
      </c>
    </row>
    <row r="85" ht="15.75" customHeight="1">
      <c r="A85" s="57" t="s">
        <v>367</v>
      </c>
      <c r="B85" s="56">
        <v>23.0</v>
      </c>
      <c r="C85" s="56">
        <v>3.311555794E9</v>
      </c>
      <c r="D85" s="60" t="s">
        <v>368</v>
      </c>
      <c r="F85" s="38" t="s">
        <v>105</v>
      </c>
      <c r="G85" s="42" t="s">
        <v>111</v>
      </c>
      <c r="H85" s="42" t="s">
        <v>112</v>
      </c>
      <c r="I85" s="42" t="s">
        <v>113</v>
      </c>
    </row>
    <row r="86" ht="15.75" customHeight="1">
      <c r="A86" s="57" t="s">
        <v>624</v>
      </c>
      <c r="B86" s="56">
        <v>22.0</v>
      </c>
      <c r="C86" s="56">
        <v>3.333202989E9</v>
      </c>
      <c r="D86" s="60"/>
      <c r="F86" s="57" t="s">
        <v>1136</v>
      </c>
      <c r="G86" s="56">
        <v>23.0</v>
      </c>
      <c r="H86" s="56">
        <v>3.310764497E9</v>
      </c>
      <c r="I86" s="60" t="s">
        <v>1647</v>
      </c>
    </row>
    <row r="87" ht="15.75" customHeight="1">
      <c r="A87" s="57" t="s">
        <v>793</v>
      </c>
      <c r="B87" s="56">
        <v>22.0</v>
      </c>
      <c r="C87" s="56">
        <v>3.334794439E9</v>
      </c>
      <c r="D87" s="60" t="s">
        <v>794</v>
      </c>
    </row>
    <row r="88" ht="15.75" customHeight="1">
      <c r="A88" s="57" t="s">
        <v>1105</v>
      </c>
      <c r="B88" s="56">
        <v>24.0</v>
      </c>
      <c r="C88" s="56">
        <v>3.313667413E9</v>
      </c>
      <c r="D88" s="60" t="s">
        <v>1106</v>
      </c>
      <c r="F88" s="274" t="s">
        <v>2479</v>
      </c>
    </row>
    <row r="89" ht="15.75" customHeight="1">
      <c r="A89" s="57" t="s">
        <v>2480</v>
      </c>
      <c r="B89" s="56">
        <v>23.0</v>
      </c>
      <c r="C89" s="56"/>
      <c r="D89" s="60" t="s">
        <v>1235</v>
      </c>
      <c r="F89" s="38" t="s">
        <v>105</v>
      </c>
      <c r="G89" s="42" t="s">
        <v>111</v>
      </c>
      <c r="H89" s="42" t="s">
        <v>112</v>
      </c>
      <c r="I89" s="42" t="s">
        <v>113</v>
      </c>
    </row>
    <row r="90" ht="15.75" customHeight="1">
      <c r="A90" s="57" t="s">
        <v>1522</v>
      </c>
      <c r="B90" s="56">
        <v>25.0</v>
      </c>
      <c r="C90" s="56">
        <v>3.328642963E9</v>
      </c>
      <c r="D90" s="60"/>
      <c r="F90" s="57" t="s">
        <v>1136</v>
      </c>
      <c r="G90" s="56">
        <v>26.0</v>
      </c>
      <c r="H90" s="56">
        <v>3.318445822E9</v>
      </c>
      <c r="I90" s="60" t="s">
        <v>1137</v>
      </c>
    </row>
    <row r="91" ht="15.75" customHeight="1">
      <c r="A91" s="57" t="s">
        <v>1542</v>
      </c>
      <c r="B91" s="56">
        <v>22.0</v>
      </c>
      <c r="C91" s="56">
        <v>3.339705399E9</v>
      </c>
      <c r="D91" s="60" t="s">
        <v>1543</v>
      </c>
      <c r="F91" s="57" t="s">
        <v>1747</v>
      </c>
      <c r="G91" s="56">
        <v>25.0</v>
      </c>
      <c r="H91" s="56">
        <v>6.13111353E9</v>
      </c>
      <c r="I91" s="60" t="s">
        <v>148</v>
      </c>
    </row>
    <row r="92" ht="15.75" customHeight="1">
      <c r="A92" s="57" t="s">
        <v>1621</v>
      </c>
      <c r="B92" s="56">
        <v>25.0</v>
      </c>
      <c r="C92" s="56">
        <v>7.771115331E9</v>
      </c>
      <c r="D92" s="60" t="s">
        <v>1622</v>
      </c>
    </row>
    <row r="93" ht="15.75" customHeight="1">
      <c r="A93" s="57" t="s">
        <v>1781</v>
      </c>
      <c r="B93" s="56">
        <v>23.0</v>
      </c>
      <c r="C93" s="56">
        <v>3.32113104E9</v>
      </c>
      <c r="D93" s="60" t="s">
        <v>1782</v>
      </c>
      <c r="F93" s="274" t="s">
        <v>2481</v>
      </c>
    </row>
    <row r="94" ht="15.75" customHeight="1">
      <c r="A94" s="57" t="s">
        <v>1976</v>
      </c>
      <c r="B94" s="56">
        <v>22.0</v>
      </c>
      <c r="C94" s="56">
        <v>3.311329916E9</v>
      </c>
      <c r="D94" s="60" t="s">
        <v>1975</v>
      </c>
      <c r="F94" s="38" t="s">
        <v>105</v>
      </c>
      <c r="G94" s="42" t="s">
        <v>111</v>
      </c>
      <c r="H94" s="42" t="s">
        <v>112</v>
      </c>
      <c r="I94" s="42" t="s">
        <v>113</v>
      </c>
    </row>
    <row r="95" ht="15.75" customHeight="1">
      <c r="A95" s="57" t="s">
        <v>1992</v>
      </c>
      <c r="B95" s="56">
        <v>22.0</v>
      </c>
      <c r="C95" s="56">
        <v>5.6170669E9</v>
      </c>
      <c r="D95" s="60" t="s">
        <v>1993</v>
      </c>
      <c r="F95" s="57" t="s">
        <v>285</v>
      </c>
      <c r="G95" s="56">
        <v>28.0</v>
      </c>
      <c r="H95" s="56">
        <v>3.323201186E9</v>
      </c>
      <c r="I95" s="60" t="s">
        <v>286</v>
      </c>
    </row>
    <row r="96" ht="15.75" customHeight="1">
      <c r="A96" s="57" t="s">
        <v>2011</v>
      </c>
      <c r="B96" s="56">
        <v>22.0</v>
      </c>
      <c r="C96" s="56">
        <v>3.6056103E7</v>
      </c>
      <c r="D96" s="60" t="s">
        <v>2012</v>
      </c>
      <c r="F96" s="57"/>
      <c r="G96" s="56"/>
      <c r="H96" s="56"/>
      <c r="I96" s="60"/>
    </row>
    <row r="97" ht="15.75" customHeight="1">
      <c r="A97" s="57" t="s">
        <v>2099</v>
      </c>
      <c r="B97" s="56">
        <v>22.0</v>
      </c>
      <c r="C97" s="56">
        <v>3.313147907E9</v>
      </c>
      <c r="D97" s="60" t="s">
        <v>2100</v>
      </c>
    </row>
    <row r="98" ht="15.75" customHeight="1">
      <c r="A98" s="57" t="s">
        <v>2102</v>
      </c>
      <c r="B98" s="56">
        <v>22.0</v>
      </c>
      <c r="C98" s="56">
        <v>3.339646225E9</v>
      </c>
      <c r="D98" s="60" t="s">
        <v>2103</v>
      </c>
      <c r="F98" s="274" t="s">
        <v>2482</v>
      </c>
    </row>
    <row r="99" ht="15.75" customHeight="1">
      <c r="A99" s="36"/>
      <c r="B99" s="31"/>
      <c r="C99" s="31"/>
      <c r="D99" s="31"/>
      <c r="F99" s="38" t="s">
        <v>105</v>
      </c>
      <c r="G99" s="42" t="s">
        <v>111</v>
      </c>
      <c r="H99" s="42" t="s">
        <v>112</v>
      </c>
      <c r="I99" s="42" t="s">
        <v>113</v>
      </c>
    </row>
    <row r="100" ht="15.75" customHeight="1">
      <c r="A100" s="271" t="s">
        <v>2483</v>
      </c>
      <c r="B100" s="31"/>
      <c r="C100" s="31"/>
      <c r="D100" s="31"/>
      <c r="F100" s="57" t="s">
        <v>523</v>
      </c>
      <c r="G100" s="56">
        <v>29.0</v>
      </c>
      <c r="H100" s="56">
        <v>3.31560866E9</v>
      </c>
      <c r="I100" s="60" t="s">
        <v>517</v>
      </c>
    </row>
    <row r="101" ht="15.75" customHeight="1">
      <c r="A101" s="38" t="s">
        <v>105</v>
      </c>
      <c r="B101" s="42" t="s">
        <v>111</v>
      </c>
      <c r="C101" s="42" t="s">
        <v>112</v>
      </c>
      <c r="D101" s="42" t="s">
        <v>113</v>
      </c>
      <c r="F101" s="57" t="s">
        <v>795</v>
      </c>
      <c r="G101" s="56">
        <v>30.0</v>
      </c>
      <c r="H101" s="56">
        <v>3.314485053E9</v>
      </c>
      <c r="I101" s="60" t="s">
        <v>796</v>
      </c>
    </row>
    <row r="102" ht="15.75" customHeight="1">
      <c r="A102" s="57" t="s">
        <v>185</v>
      </c>
      <c r="B102" s="56">
        <v>26.0</v>
      </c>
      <c r="C102" s="56"/>
      <c r="D102" s="60" t="s">
        <v>186</v>
      </c>
      <c r="F102" s="57" t="s">
        <v>835</v>
      </c>
      <c r="G102" s="56">
        <v>29.0</v>
      </c>
      <c r="H102" s="56">
        <v>3.333631107E9</v>
      </c>
      <c r="I102" s="60" t="s">
        <v>836</v>
      </c>
    </row>
    <row r="103" ht="15.75" customHeight="1">
      <c r="A103" s="57" t="s">
        <v>225</v>
      </c>
      <c r="B103" s="56">
        <v>29.0</v>
      </c>
      <c r="C103" s="56"/>
      <c r="D103" s="60" t="s">
        <v>226</v>
      </c>
      <c r="F103" s="57" t="s">
        <v>1371</v>
      </c>
      <c r="G103" s="56">
        <v>30.0</v>
      </c>
      <c r="H103" s="56">
        <v>3.324952425E9</v>
      </c>
      <c r="I103" s="60" t="s">
        <v>1372</v>
      </c>
    </row>
    <row r="104" ht="15.75" customHeight="1">
      <c r="A104" s="57" t="s">
        <v>241</v>
      </c>
      <c r="B104" s="56">
        <v>33.0</v>
      </c>
      <c r="C104" s="56"/>
      <c r="D104" s="60"/>
      <c r="F104" s="57" t="s">
        <v>1384</v>
      </c>
      <c r="G104" s="56">
        <v>30.0</v>
      </c>
      <c r="H104" s="56"/>
      <c r="I104" s="60" t="s">
        <v>1385</v>
      </c>
    </row>
    <row r="105" ht="15.75" customHeight="1">
      <c r="A105" s="57" t="s">
        <v>633</v>
      </c>
      <c r="B105" s="56">
        <v>30.0</v>
      </c>
      <c r="C105" s="56">
        <v>3.315558514E9</v>
      </c>
      <c r="D105" s="60" t="s">
        <v>634</v>
      </c>
    </row>
    <row r="106" ht="15.75" customHeight="1">
      <c r="A106" s="57" t="s">
        <v>635</v>
      </c>
      <c r="B106" s="56">
        <v>34.0</v>
      </c>
      <c r="C106" s="56">
        <v>3.312182604E9</v>
      </c>
      <c r="D106" s="60" t="s">
        <v>634</v>
      </c>
      <c r="F106" s="275" t="s">
        <v>2484</v>
      </c>
    </row>
    <row r="107" ht="15.75" customHeight="1">
      <c r="A107" s="57" t="s">
        <v>1026</v>
      </c>
      <c r="B107" s="56">
        <v>32.0</v>
      </c>
      <c r="C107" s="56">
        <v>3.321646801E9</v>
      </c>
      <c r="D107" s="60" t="s">
        <v>1027</v>
      </c>
      <c r="F107" s="38" t="s">
        <v>105</v>
      </c>
      <c r="G107" s="42" t="s">
        <v>111</v>
      </c>
      <c r="H107" s="42" t="s">
        <v>112</v>
      </c>
      <c r="I107" s="42" t="s">
        <v>113</v>
      </c>
    </row>
    <row r="108" ht="15.75" customHeight="1">
      <c r="A108" s="57" t="s">
        <v>1101</v>
      </c>
      <c r="B108" s="56">
        <v>29.0</v>
      </c>
      <c r="C108" s="56">
        <v>5.521045734E9</v>
      </c>
      <c r="D108" s="60"/>
      <c r="F108" s="57" t="s">
        <v>838</v>
      </c>
      <c r="G108" s="56">
        <v>32.0</v>
      </c>
      <c r="H108" s="56">
        <v>3.327039497E9</v>
      </c>
      <c r="I108" s="60" t="s">
        <v>839</v>
      </c>
    </row>
    <row r="109" ht="15.75" customHeight="1">
      <c r="A109" s="57" t="s">
        <v>1483</v>
      </c>
      <c r="B109" s="56">
        <v>28.0</v>
      </c>
      <c r="C109" s="56">
        <v>3.311099315E9</v>
      </c>
      <c r="D109" s="60" t="s">
        <v>1484</v>
      </c>
      <c r="F109" s="57" t="s">
        <v>1076</v>
      </c>
      <c r="G109" s="56">
        <v>32.0</v>
      </c>
      <c r="H109" s="56">
        <v>3.313152649E9</v>
      </c>
      <c r="I109" s="60" t="s">
        <v>1077</v>
      </c>
    </row>
    <row r="110" ht="15.75" customHeight="1">
      <c r="A110" s="57" t="s">
        <v>1764</v>
      </c>
      <c r="B110" s="56">
        <v>28.0</v>
      </c>
      <c r="C110" s="56">
        <v>4.271365698E9</v>
      </c>
      <c r="D110" s="60" t="s">
        <v>1765</v>
      </c>
      <c r="F110" s="57" t="s">
        <v>2007</v>
      </c>
      <c r="G110" s="56">
        <v>32.0</v>
      </c>
      <c r="H110" s="56">
        <v>3.319422219E9</v>
      </c>
      <c r="I110" s="60" t="s">
        <v>2008</v>
      </c>
    </row>
    <row r="111" ht="15.75" customHeight="1">
      <c r="A111" s="57" t="s">
        <v>1995</v>
      </c>
      <c r="B111" s="56">
        <v>28.0</v>
      </c>
      <c r="C111" s="56">
        <v>3.312070604E9</v>
      </c>
      <c r="D111" s="60" t="s">
        <v>1996</v>
      </c>
    </row>
    <row r="112" ht="15.75" customHeight="1">
      <c r="A112" s="279" t="s">
        <v>2167</v>
      </c>
      <c r="B112" s="56">
        <v>27.0</v>
      </c>
      <c r="C112" s="93">
        <v>3.326712411E9</v>
      </c>
      <c r="D112" s="60" t="s">
        <v>2168</v>
      </c>
      <c r="F112" s="275" t="s">
        <v>2485</v>
      </c>
    </row>
    <row r="113" ht="15.75" customHeight="1">
      <c r="A113" s="36"/>
      <c r="B113" s="31"/>
      <c r="C113" s="31"/>
      <c r="D113" s="31"/>
      <c r="F113" s="38" t="s">
        <v>105</v>
      </c>
      <c r="G113" s="42" t="s">
        <v>111</v>
      </c>
      <c r="H113" s="42" t="s">
        <v>112</v>
      </c>
      <c r="I113" s="42" t="s">
        <v>113</v>
      </c>
    </row>
    <row r="114" ht="15.75" customHeight="1">
      <c r="A114" s="36"/>
      <c r="B114" s="31"/>
      <c r="C114" s="31"/>
      <c r="D114" s="31"/>
      <c r="F114" s="57" t="s">
        <v>761</v>
      </c>
      <c r="G114" s="56">
        <v>34.0</v>
      </c>
      <c r="H114" s="56">
        <v>3.316330392E9</v>
      </c>
      <c r="I114" s="60" t="s">
        <v>532</v>
      </c>
    </row>
    <row r="115" ht="15.75" customHeight="1">
      <c r="A115" s="36"/>
      <c r="B115" s="31"/>
      <c r="C115" s="31"/>
      <c r="D115" s="31"/>
      <c r="F115" s="57" t="s">
        <v>959</v>
      </c>
      <c r="G115" s="56">
        <v>33.0</v>
      </c>
      <c r="H115" s="56">
        <v>3.318829729E9</v>
      </c>
      <c r="I115" s="60" t="s">
        <v>960</v>
      </c>
    </row>
    <row r="116" ht="15.75" customHeight="1">
      <c r="F116" s="57" t="s">
        <v>1968</v>
      </c>
      <c r="G116" s="56">
        <v>34.0</v>
      </c>
      <c r="H116" s="56">
        <v>3.327813366E9</v>
      </c>
      <c r="I116" s="60" t="s">
        <v>334</v>
      </c>
    </row>
    <row r="117" ht="15.75" customHeight="1">
      <c r="A117" s="274" t="s">
        <v>2486</v>
      </c>
    </row>
    <row r="118" ht="15.75" customHeight="1">
      <c r="A118" s="38" t="s">
        <v>105</v>
      </c>
      <c r="B118" s="42" t="s">
        <v>111</v>
      </c>
      <c r="C118" s="42" t="s">
        <v>112</v>
      </c>
      <c r="D118" s="42" t="s">
        <v>113</v>
      </c>
      <c r="F118" s="275" t="s">
        <v>2487</v>
      </c>
    </row>
    <row r="119" ht="15.75" customHeight="1">
      <c r="A119" s="57" t="s">
        <v>1375</v>
      </c>
      <c r="B119" s="56">
        <v>24.0</v>
      </c>
      <c r="C119" s="56">
        <v>3.33355831E9</v>
      </c>
      <c r="D119" s="60" t="s">
        <v>373</v>
      </c>
      <c r="F119" s="38" t="s">
        <v>105</v>
      </c>
      <c r="G119" s="42" t="s">
        <v>111</v>
      </c>
      <c r="H119" s="42" t="s">
        <v>112</v>
      </c>
      <c r="I119" s="42" t="s">
        <v>113</v>
      </c>
    </row>
    <row r="120" ht="15.75" customHeight="1">
      <c r="A120" s="57" t="s">
        <v>1716</v>
      </c>
      <c r="B120" s="56">
        <v>25.0</v>
      </c>
      <c r="C120" s="56">
        <v>2.491277882E9</v>
      </c>
      <c r="D120" s="60" t="s">
        <v>411</v>
      </c>
      <c r="F120" s="57" t="s">
        <v>178</v>
      </c>
      <c r="G120" s="56">
        <v>35.0</v>
      </c>
      <c r="H120" s="56">
        <v>6.612394252E9</v>
      </c>
      <c r="I120" s="60" t="s">
        <v>179</v>
      </c>
    </row>
    <row r="121" ht="15.75" customHeight="1">
      <c r="F121" s="57" t="s">
        <v>369</v>
      </c>
      <c r="G121" s="56">
        <v>36.0</v>
      </c>
      <c r="H121" s="56">
        <v>3.323527757E9</v>
      </c>
      <c r="I121" s="60" t="s">
        <v>370</v>
      </c>
    </row>
    <row r="122" ht="15.75" customHeight="1">
      <c r="A122" s="274" t="s">
        <v>2488</v>
      </c>
      <c r="F122" s="57" t="s">
        <v>595</v>
      </c>
      <c r="G122" s="56">
        <v>35.0</v>
      </c>
      <c r="H122" s="56">
        <v>3.324521167E9</v>
      </c>
      <c r="I122" s="60" t="s">
        <v>596</v>
      </c>
    </row>
    <row r="123" ht="15.75" customHeight="1">
      <c r="A123" s="38" t="s">
        <v>105</v>
      </c>
      <c r="B123" s="42" t="s">
        <v>111</v>
      </c>
      <c r="C123" s="42" t="s">
        <v>112</v>
      </c>
      <c r="D123" s="42" t="s">
        <v>113</v>
      </c>
      <c r="F123" s="57" t="s">
        <v>764</v>
      </c>
      <c r="G123" s="56">
        <v>36.0</v>
      </c>
      <c r="H123" s="56">
        <v>3.312085302E9</v>
      </c>
      <c r="I123" s="60" t="s">
        <v>765</v>
      </c>
    </row>
    <row r="124" ht="15.75" customHeight="1">
      <c r="A124" s="57" t="s">
        <v>719</v>
      </c>
      <c r="B124" s="56">
        <v>26.0</v>
      </c>
      <c r="C124" s="56">
        <v>3.322357449E9</v>
      </c>
      <c r="D124" s="60" t="s">
        <v>720</v>
      </c>
      <c r="F124" s="57" t="s">
        <v>792</v>
      </c>
      <c r="G124" s="56">
        <v>36.0</v>
      </c>
      <c r="H124" s="56">
        <v>3.312363298E9</v>
      </c>
      <c r="I124" s="60"/>
    </row>
    <row r="125" ht="15.75" customHeight="1">
      <c r="A125" s="57" t="s">
        <v>1258</v>
      </c>
      <c r="B125" s="56">
        <v>27.0</v>
      </c>
      <c r="C125" s="56">
        <v>6.642577898E9</v>
      </c>
      <c r="D125" s="60" t="s">
        <v>1259</v>
      </c>
      <c r="F125" s="57" t="s">
        <v>841</v>
      </c>
      <c r="G125" s="56">
        <v>36.0</v>
      </c>
      <c r="H125" s="56">
        <v>3.322966475E9</v>
      </c>
      <c r="I125" s="60" t="s">
        <v>842</v>
      </c>
    </row>
    <row r="126" ht="15.75" customHeight="1">
      <c r="A126" s="57" t="s">
        <v>1632</v>
      </c>
      <c r="B126" s="56">
        <v>27.0</v>
      </c>
      <c r="C126" s="56">
        <v>3.321239006E9</v>
      </c>
      <c r="D126" s="60" t="s">
        <v>1633</v>
      </c>
      <c r="F126" s="57" t="s">
        <v>930</v>
      </c>
      <c r="G126" s="56">
        <v>36.0</v>
      </c>
      <c r="H126" s="56">
        <v>3.31337089E9</v>
      </c>
      <c r="I126" s="60" t="s">
        <v>931</v>
      </c>
    </row>
    <row r="127" ht="15.75" customHeight="1">
      <c r="F127" s="57" t="s">
        <v>1223</v>
      </c>
      <c r="G127" s="56">
        <v>36.0</v>
      </c>
      <c r="H127" s="56">
        <v>3.333930369E9</v>
      </c>
      <c r="I127" s="60" t="s">
        <v>1224</v>
      </c>
    </row>
    <row r="128" ht="15.75" customHeight="1">
      <c r="A128" s="274" t="s">
        <v>2489</v>
      </c>
      <c r="F128" s="57" t="s">
        <v>1438</v>
      </c>
      <c r="G128" s="56">
        <v>35.0</v>
      </c>
      <c r="H128" s="56">
        <v>3.317832346E9</v>
      </c>
      <c r="I128" s="60" t="s">
        <v>1439</v>
      </c>
    </row>
    <row r="129" ht="15.75" customHeight="1">
      <c r="A129" s="38" t="s">
        <v>105</v>
      </c>
      <c r="B129" s="42" t="s">
        <v>111</v>
      </c>
      <c r="C129" s="42" t="s">
        <v>112</v>
      </c>
      <c r="D129" s="42" t="s">
        <v>113</v>
      </c>
    </row>
    <row r="130" ht="15.75" customHeight="1">
      <c r="A130" s="57" t="s">
        <v>1150</v>
      </c>
      <c r="B130" s="56">
        <v>31.0</v>
      </c>
      <c r="C130" s="56">
        <v>3.32092583E9</v>
      </c>
      <c r="D130" s="60" t="s">
        <v>1151</v>
      </c>
      <c r="F130" s="275" t="s">
        <v>2490</v>
      </c>
    </row>
    <row r="131" ht="15.75" customHeight="1">
      <c r="A131" s="57" t="s">
        <v>2049</v>
      </c>
      <c r="B131" s="56">
        <v>30.0</v>
      </c>
      <c r="C131" s="56">
        <v>3.320847141E9</v>
      </c>
      <c r="D131" s="60" t="s">
        <v>2050</v>
      </c>
      <c r="F131" s="38" t="s">
        <v>105</v>
      </c>
      <c r="G131" s="42" t="s">
        <v>111</v>
      </c>
      <c r="H131" s="42" t="s">
        <v>112</v>
      </c>
      <c r="I131" s="42" t="s">
        <v>113</v>
      </c>
    </row>
    <row r="132" ht="15.75" customHeight="1">
      <c r="F132" s="57" t="s">
        <v>516</v>
      </c>
      <c r="G132" s="56">
        <v>37.0</v>
      </c>
      <c r="H132" s="56">
        <v>3.319289902E9</v>
      </c>
      <c r="I132" s="60" t="s">
        <v>517</v>
      </c>
    </row>
    <row r="133" ht="15.75" customHeight="1">
      <c r="A133" s="274" t="s">
        <v>2491</v>
      </c>
      <c r="F133" s="57" t="s">
        <v>1432</v>
      </c>
      <c r="G133" s="56">
        <v>39.0</v>
      </c>
      <c r="H133" s="56">
        <v>3.310644157E9</v>
      </c>
      <c r="I133" s="60" t="s">
        <v>1433</v>
      </c>
    </row>
    <row r="134" ht="15.75" customHeight="1">
      <c r="A134" s="38" t="s">
        <v>105</v>
      </c>
      <c r="B134" s="42" t="s">
        <v>111</v>
      </c>
      <c r="C134" s="42" t="s">
        <v>112</v>
      </c>
      <c r="D134" s="42" t="s">
        <v>113</v>
      </c>
      <c r="F134" s="57" t="s">
        <v>1721</v>
      </c>
      <c r="G134" s="56">
        <v>37.0</v>
      </c>
      <c r="H134" s="56">
        <v>3.374585946E9</v>
      </c>
      <c r="I134" s="60" t="s">
        <v>794</v>
      </c>
    </row>
    <row r="135" ht="15.75" customHeight="1">
      <c r="A135" s="57" t="s">
        <v>306</v>
      </c>
      <c r="B135" s="56">
        <v>34.0</v>
      </c>
      <c r="C135" s="56">
        <v>1.6659037E7</v>
      </c>
      <c r="D135" s="60" t="s">
        <v>307</v>
      </c>
      <c r="F135" s="57" t="s">
        <v>1938</v>
      </c>
      <c r="G135" s="56">
        <v>39.0</v>
      </c>
      <c r="H135" s="56">
        <v>3.312987565E9</v>
      </c>
      <c r="I135" s="60" t="s">
        <v>1939</v>
      </c>
    </row>
    <row r="136" ht="15.75" customHeight="1">
      <c r="A136" s="57" t="s">
        <v>518</v>
      </c>
      <c r="B136" s="56">
        <v>34.0</v>
      </c>
      <c r="C136" s="56">
        <v>3.311500936E9</v>
      </c>
      <c r="D136" s="60" t="s">
        <v>519</v>
      </c>
      <c r="F136" s="57"/>
      <c r="G136" s="56"/>
    </row>
    <row r="137" ht="15.75" customHeight="1">
      <c r="A137" s="57" t="s">
        <v>1001</v>
      </c>
      <c r="B137" s="56">
        <v>34.0</v>
      </c>
      <c r="C137" s="56">
        <v>3.339029027E9</v>
      </c>
      <c r="D137" s="60" t="s">
        <v>1002</v>
      </c>
    </row>
    <row r="138" ht="15.75" customHeight="1">
      <c r="A138" s="57" t="s">
        <v>1928</v>
      </c>
      <c r="B138" s="56">
        <v>32.0</v>
      </c>
      <c r="C138" s="56">
        <v>3.317646052E9</v>
      </c>
      <c r="D138" s="60" t="s">
        <v>796</v>
      </c>
      <c r="F138" s="275" t="s">
        <v>2492</v>
      </c>
    </row>
    <row r="139" ht="15.75" customHeight="1">
      <c r="F139" s="38" t="s">
        <v>105</v>
      </c>
      <c r="G139" s="42" t="s">
        <v>111</v>
      </c>
      <c r="H139" s="42" t="s">
        <v>112</v>
      </c>
      <c r="I139" s="42" t="s">
        <v>113</v>
      </c>
    </row>
    <row r="140" ht="15.75" customHeight="1">
      <c r="A140" s="274" t="s">
        <v>2493</v>
      </c>
      <c r="F140" s="57" t="s">
        <v>255</v>
      </c>
      <c r="G140" s="56">
        <v>41.0</v>
      </c>
      <c r="H140" s="56">
        <v>3.316063463E9</v>
      </c>
      <c r="I140" s="60" t="s">
        <v>256</v>
      </c>
    </row>
    <row r="141" ht="15.75" customHeight="1">
      <c r="A141" s="38" t="s">
        <v>105</v>
      </c>
      <c r="B141" s="42" t="s">
        <v>111</v>
      </c>
      <c r="C141" s="42" t="s">
        <v>112</v>
      </c>
      <c r="D141" s="42" t="s">
        <v>113</v>
      </c>
      <c r="F141" s="57" t="s">
        <v>521</v>
      </c>
      <c r="G141" s="56">
        <v>41.0</v>
      </c>
      <c r="H141" s="56">
        <v>3.321715607E9</v>
      </c>
      <c r="I141" s="60" t="s">
        <v>522</v>
      </c>
    </row>
    <row r="142" ht="15.75" customHeight="1">
      <c r="A142" s="57" t="s">
        <v>823</v>
      </c>
      <c r="B142" s="56">
        <v>35.0</v>
      </c>
      <c r="C142" s="56">
        <v>3.331834285E9</v>
      </c>
      <c r="D142" s="60" t="s">
        <v>824</v>
      </c>
      <c r="F142" s="57" t="s">
        <v>652</v>
      </c>
      <c r="G142" s="56">
        <v>40.0</v>
      </c>
      <c r="H142" s="56">
        <v>3.31790898E9</v>
      </c>
      <c r="I142" s="60" t="s">
        <v>653</v>
      </c>
    </row>
    <row r="143" ht="15.75" customHeight="1">
      <c r="A143" s="57" t="s">
        <v>1003</v>
      </c>
      <c r="B143" s="56">
        <v>37.0</v>
      </c>
      <c r="C143" s="56">
        <v>3.310091312E9</v>
      </c>
      <c r="D143" s="60" t="s">
        <v>1004</v>
      </c>
      <c r="F143" s="57" t="s">
        <v>1908</v>
      </c>
      <c r="G143" s="56">
        <v>40.0</v>
      </c>
      <c r="H143" s="56">
        <v>3.816992806E9</v>
      </c>
      <c r="I143" s="60" t="s">
        <v>1909</v>
      </c>
    </row>
    <row r="144" ht="15.75" customHeight="1">
      <c r="A144" s="57" t="s">
        <v>1011</v>
      </c>
      <c r="B144" s="56">
        <v>35.0</v>
      </c>
      <c r="C144" s="56">
        <v>3.33968908E9</v>
      </c>
      <c r="D144" s="60" t="s">
        <v>1012</v>
      </c>
      <c r="F144" s="275" t="s">
        <v>2494</v>
      </c>
    </row>
    <row r="145" ht="15.75" customHeight="1">
      <c r="A145" s="57" t="s">
        <v>1060</v>
      </c>
      <c r="B145" s="56">
        <v>35.0</v>
      </c>
      <c r="C145" s="56">
        <v>3.319957077E9</v>
      </c>
      <c r="D145" s="60" t="s">
        <v>1061</v>
      </c>
      <c r="F145" s="38" t="s">
        <v>105</v>
      </c>
      <c r="G145" s="42" t="s">
        <v>111</v>
      </c>
      <c r="H145" s="42" t="s">
        <v>112</v>
      </c>
      <c r="I145" s="42" t="s">
        <v>113</v>
      </c>
    </row>
    <row r="146" ht="15.75" customHeight="1">
      <c r="A146" s="57" t="s">
        <v>1609</v>
      </c>
      <c r="B146" s="56">
        <v>37.0</v>
      </c>
      <c r="C146" s="56">
        <v>3.2223065534E10</v>
      </c>
      <c r="D146" s="60" t="s">
        <v>1610</v>
      </c>
      <c r="F146" s="57" t="s">
        <v>819</v>
      </c>
      <c r="G146" s="56">
        <v>43.0</v>
      </c>
      <c r="H146" s="56">
        <v>3.312167198E9</v>
      </c>
      <c r="I146" s="60" t="s">
        <v>820</v>
      </c>
    </row>
    <row r="147" ht="15.75" customHeight="1">
      <c r="A147" s="57" t="s">
        <v>1640</v>
      </c>
      <c r="B147" s="56">
        <v>35.0</v>
      </c>
      <c r="C147" s="56">
        <v>3.312148813E9</v>
      </c>
      <c r="D147" s="60" t="s">
        <v>1641</v>
      </c>
      <c r="F147" s="57" t="s">
        <v>1728</v>
      </c>
      <c r="G147" s="56">
        <v>42.0</v>
      </c>
      <c r="H147" s="56">
        <v>3.311142772E9</v>
      </c>
      <c r="I147" s="60" t="s">
        <v>1729</v>
      </c>
    </row>
    <row r="148" ht="15.75" customHeight="1"/>
    <row r="149" ht="15.75" customHeight="1">
      <c r="A149" s="275" t="s">
        <v>2495</v>
      </c>
      <c r="F149" s="274" t="s">
        <v>2496</v>
      </c>
    </row>
    <row r="150" ht="15.75" customHeight="1">
      <c r="A150" s="38" t="s">
        <v>105</v>
      </c>
      <c r="B150" s="42" t="s">
        <v>111</v>
      </c>
      <c r="C150" s="42" t="s">
        <v>112</v>
      </c>
      <c r="D150" s="42" t="s">
        <v>113</v>
      </c>
      <c r="F150" s="38" t="s">
        <v>105</v>
      </c>
      <c r="G150" s="42" t="s">
        <v>111</v>
      </c>
      <c r="H150" s="42" t="s">
        <v>112</v>
      </c>
      <c r="I150" s="42" t="s">
        <v>113</v>
      </c>
    </row>
    <row r="151" ht="15.75" customHeight="1">
      <c r="A151" s="57" t="s">
        <v>547</v>
      </c>
      <c r="B151" s="56">
        <v>38.0</v>
      </c>
      <c r="C151" s="56">
        <v>3.327162041E9</v>
      </c>
      <c r="D151" s="60" t="s">
        <v>548</v>
      </c>
      <c r="F151" s="57" t="s">
        <v>130</v>
      </c>
      <c r="G151" s="56">
        <v>44.0</v>
      </c>
      <c r="H151" s="56" t="s">
        <v>131</v>
      </c>
      <c r="I151" s="60" t="s">
        <v>132</v>
      </c>
    </row>
    <row r="152" ht="15.75" customHeight="1">
      <c r="A152" s="57" t="s">
        <v>908</v>
      </c>
      <c r="B152" s="56">
        <v>38.0</v>
      </c>
      <c r="C152" s="56">
        <v>3.315508408E9</v>
      </c>
      <c r="D152" s="60" t="s">
        <v>812</v>
      </c>
      <c r="F152" s="57" t="s">
        <v>147</v>
      </c>
      <c r="G152" s="56">
        <v>47.0</v>
      </c>
      <c r="H152" s="56">
        <v>3.3184081E9</v>
      </c>
      <c r="I152" s="60" t="s">
        <v>148</v>
      </c>
    </row>
    <row r="153" ht="15.75" customHeight="1">
      <c r="A153" s="57" t="s">
        <v>1896</v>
      </c>
      <c r="B153" s="56">
        <v>38.0</v>
      </c>
      <c r="C153" s="56">
        <v>3.33973431E9</v>
      </c>
      <c r="D153" s="60"/>
      <c r="F153" s="57" t="s">
        <v>150</v>
      </c>
      <c r="G153" s="56">
        <v>45.0</v>
      </c>
      <c r="H153" s="56">
        <v>3.321854803E9</v>
      </c>
      <c r="I153" s="60" t="s">
        <v>151</v>
      </c>
    </row>
    <row r="154" ht="15.75" customHeight="1">
      <c r="F154" s="57" t="s">
        <v>175</v>
      </c>
      <c r="G154" s="56">
        <v>45.0</v>
      </c>
      <c r="H154" s="56">
        <v>3.33468152E9</v>
      </c>
      <c r="I154" s="60" t="s">
        <v>176</v>
      </c>
    </row>
    <row r="155" ht="15.75" customHeight="1">
      <c r="A155" s="275" t="s">
        <v>2497</v>
      </c>
      <c r="F155" s="57" t="s">
        <v>494</v>
      </c>
      <c r="G155" s="56">
        <v>46.0</v>
      </c>
      <c r="H155" s="56">
        <v>3.32351044E9</v>
      </c>
      <c r="I155" s="60" t="s">
        <v>495</v>
      </c>
    </row>
    <row r="156" ht="15.75" customHeight="1">
      <c r="A156" s="38" t="s">
        <v>105</v>
      </c>
      <c r="B156" s="42" t="s">
        <v>111</v>
      </c>
      <c r="C156" s="42" t="s">
        <v>112</v>
      </c>
      <c r="D156" s="42" t="s">
        <v>113</v>
      </c>
      <c r="F156" s="57" t="s">
        <v>752</v>
      </c>
      <c r="G156" s="56">
        <v>45.0</v>
      </c>
      <c r="H156" s="56">
        <v>3.339463506E9</v>
      </c>
      <c r="I156" s="60" t="s">
        <v>753</v>
      </c>
    </row>
    <row r="157" ht="15.75" customHeight="1">
      <c r="A157" s="81" t="s">
        <v>32</v>
      </c>
      <c r="B157" s="56">
        <v>43.0</v>
      </c>
      <c r="C157" s="56">
        <v>3.311504346E9</v>
      </c>
      <c r="D157" s="60" t="s">
        <v>878</v>
      </c>
      <c r="F157" s="57" t="s">
        <v>967</v>
      </c>
      <c r="G157" s="56">
        <v>47.0</v>
      </c>
      <c r="H157" s="56">
        <v>3.316913707E9</v>
      </c>
      <c r="I157" s="60" t="s">
        <v>968</v>
      </c>
    </row>
    <row r="158" ht="15.75" customHeight="1">
      <c r="A158" s="57" t="s">
        <v>896</v>
      </c>
      <c r="B158" s="56">
        <v>43.0</v>
      </c>
      <c r="C158" s="56">
        <v>3.338475744E9</v>
      </c>
      <c r="D158" s="60" t="s">
        <v>897</v>
      </c>
      <c r="F158" s="57" t="s">
        <v>1192</v>
      </c>
      <c r="G158" s="56">
        <v>45.0</v>
      </c>
      <c r="H158" s="56"/>
      <c r="I158" s="60"/>
    </row>
    <row r="159" ht="15.75" customHeight="1">
      <c r="A159" s="57" t="s">
        <v>1710</v>
      </c>
      <c r="B159" s="56">
        <v>42.0</v>
      </c>
      <c r="C159" s="56">
        <v>3.31790898E9</v>
      </c>
      <c r="D159" s="60" t="s">
        <v>653</v>
      </c>
      <c r="F159" s="57" t="s">
        <v>1401</v>
      </c>
      <c r="G159" s="56">
        <v>45.0</v>
      </c>
      <c r="H159" s="56">
        <v>3.31844186E9</v>
      </c>
      <c r="I159" s="60" t="s">
        <v>1402</v>
      </c>
    </row>
    <row r="160" ht="15.75" customHeight="1">
      <c r="A160" s="57" t="s">
        <v>1787</v>
      </c>
      <c r="B160" s="56">
        <v>43.0</v>
      </c>
      <c r="C160" s="56">
        <v>3.325615125E9</v>
      </c>
      <c r="D160" s="60" t="s">
        <v>1788</v>
      </c>
      <c r="F160" s="57" t="s">
        <v>1501</v>
      </c>
      <c r="G160" s="56">
        <v>46.0</v>
      </c>
      <c r="H160" s="56">
        <v>3.6056103E7</v>
      </c>
      <c r="I160" s="60" t="s">
        <v>1499</v>
      </c>
    </row>
    <row r="161" ht="15.75" customHeight="1">
      <c r="A161" s="57" t="s">
        <v>2027</v>
      </c>
      <c r="B161" s="56">
        <v>43.0</v>
      </c>
      <c r="C161" s="56">
        <v>3.31337089E9</v>
      </c>
      <c r="D161" s="60" t="s">
        <v>2028</v>
      </c>
      <c r="F161" s="57" t="s">
        <v>1659</v>
      </c>
      <c r="G161" s="56">
        <v>47.0</v>
      </c>
      <c r="H161" s="56">
        <v>3.338998459E9</v>
      </c>
      <c r="I161" s="60" t="s">
        <v>1660</v>
      </c>
    </row>
    <row r="162" ht="15.75" customHeight="1"/>
    <row r="163" ht="15.75" customHeight="1">
      <c r="A163" s="275" t="s">
        <v>2498</v>
      </c>
      <c r="F163" s="274" t="s">
        <v>2499</v>
      </c>
    </row>
    <row r="164" ht="15.75" customHeight="1">
      <c r="A164" s="38" t="s">
        <v>105</v>
      </c>
      <c r="B164" s="42" t="s">
        <v>111</v>
      </c>
      <c r="C164" s="42" t="s">
        <v>112</v>
      </c>
      <c r="D164" s="42" t="s">
        <v>113</v>
      </c>
      <c r="F164" s="38" t="s">
        <v>105</v>
      </c>
      <c r="G164" s="42" t="s">
        <v>111</v>
      </c>
      <c r="H164" s="42" t="s">
        <v>112</v>
      </c>
      <c r="I164" s="42" t="s">
        <v>113</v>
      </c>
    </row>
    <row r="165" ht="15.75" customHeight="1">
      <c r="A165" s="57" t="s">
        <v>497</v>
      </c>
      <c r="B165" s="56">
        <v>44.0</v>
      </c>
      <c r="C165" s="56">
        <v>3.315190548E9</v>
      </c>
      <c r="D165" s="60" t="s">
        <v>498</v>
      </c>
      <c r="F165" s="57" t="s">
        <v>463</v>
      </c>
      <c r="G165" s="56">
        <v>49.0</v>
      </c>
      <c r="H165" s="56">
        <v>3.310534517E9</v>
      </c>
      <c r="I165" s="60" t="s">
        <v>464</v>
      </c>
    </row>
    <row r="166" ht="15.75" customHeight="1">
      <c r="A166" s="57" t="s">
        <v>597</v>
      </c>
      <c r="B166" s="56">
        <v>44.0</v>
      </c>
      <c r="C166" s="56">
        <v>3.320820072E9</v>
      </c>
      <c r="D166" s="60" t="s">
        <v>598</v>
      </c>
      <c r="F166" s="57" t="s">
        <v>582</v>
      </c>
      <c r="G166" s="56">
        <v>48.0</v>
      </c>
      <c r="H166" s="56">
        <v>3.310885028E9</v>
      </c>
      <c r="I166" s="60" t="s">
        <v>583</v>
      </c>
    </row>
    <row r="167" ht="15.75" customHeight="1">
      <c r="A167" s="57" t="s">
        <v>675</v>
      </c>
      <c r="B167" s="56">
        <v>44.0</v>
      </c>
      <c r="C167" s="56">
        <v>3.312712917E9</v>
      </c>
      <c r="D167" s="60" t="s">
        <v>676</v>
      </c>
      <c r="F167" s="57" t="s">
        <v>621</v>
      </c>
      <c r="G167" s="56">
        <v>48.0</v>
      </c>
      <c r="H167" s="56">
        <v>3.316030716E9</v>
      </c>
      <c r="I167" s="60" t="s">
        <v>622</v>
      </c>
    </row>
    <row r="168" ht="15.75" customHeight="1">
      <c r="A168" s="57" t="s">
        <v>1098</v>
      </c>
      <c r="B168" s="56">
        <v>45.0</v>
      </c>
      <c r="C168" s="56">
        <v>3.310760575E9</v>
      </c>
      <c r="D168" s="60" t="s">
        <v>1099</v>
      </c>
      <c r="F168" s="57" t="s">
        <v>770</v>
      </c>
      <c r="G168" s="56">
        <v>49.0</v>
      </c>
      <c r="H168" s="56">
        <v>3.336082688E9</v>
      </c>
      <c r="I168" s="60" t="s">
        <v>771</v>
      </c>
    </row>
    <row r="169" ht="15.75" customHeight="1">
      <c r="A169" s="57" t="s">
        <v>1162</v>
      </c>
      <c r="B169" s="56">
        <v>44.0</v>
      </c>
      <c r="C169" s="56">
        <v>3.310807887E9</v>
      </c>
      <c r="D169" s="60"/>
      <c r="F169" s="57" t="s">
        <v>774</v>
      </c>
      <c r="G169" s="56">
        <v>49.0</v>
      </c>
      <c r="H169" s="56">
        <v>3.311648925E9</v>
      </c>
      <c r="I169" s="60"/>
    </row>
    <row r="170" ht="15.75" customHeight="1">
      <c r="A170" s="57" t="s">
        <v>1653</v>
      </c>
      <c r="B170" s="56">
        <v>45.0</v>
      </c>
      <c r="C170" s="56">
        <v>3.322570009E9</v>
      </c>
      <c r="D170" s="60" t="s">
        <v>1654</v>
      </c>
      <c r="F170" s="57" t="s">
        <v>1271</v>
      </c>
      <c r="G170" s="56">
        <v>48.0</v>
      </c>
      <c r="H170" s="56">
        <v>3.34994639E8</v>
      </c>
      <c r="I170" s="60" t="s">
        <v>1209</v>
      </c>
    </row>
    <row r="171" ht="15.75" customHeight="1">
      <c r="A171" s="57" t="s">
        <v>2177</v>
      </c>
      <c r="B171" s="56">
        <v>46.0</v>
      </c>
      <c r="C171" s="56">
        <v>3.311477498E9</v>
      </c>
      <c r="D171" s="60" t="s">
        <v>2178</v>
      </c>
      <c r="F171" s="57" t="s">
        <v>1618</v>
      </c>
      <c r="G171" s="56">
        <v>48.0</v>
      </c>
      <c r="H171" s="56">
        <v>3.318435342E9</v>
      </c>
      <c r="I171" s="60" t="s">
        <v>1619</v>
      </c>
    </row>
    <row r="172" ht="15.75" customHeight="1">
      <c r="A172" s="275" t="s">
        <v>2500</v>
      </c>
      <c r="F172" s="57" t="s">
        <v>1725</v>
      </c>
      <c r="G172" s="56">
        <v>49.0</v>
      </c>
      <c r="H172" s="56">
        <v>7.751183081E9</v>
      </c>
      <c r="I172" s="60" t="s">
        <v>1726</v>
      </c>
    </row>
    <row r="173" ht="15.75" customHeight="1">
      <c r="A173" s="38" t="s">
        <v>105</v>
      </c>
      <c r="B173" s="42" t="s">
        <v>111</v>
      </c>
      <c r="C173" s="42" t="s">
        <v>112</v>
      </c>
      <c r="D173" s="42" t="s">
        <v>113</v>
      </c>
      <c r="F173" s="81" t="s">
        <v>1806</v>
      </c>
      <c r="G173" s="56">
        <v>48.0</v>
      </c>
      <c r="H173" s="56">
        <v>3.310129519E9</v>
      </c>
      <c r="I173" s="60"/>
    </row>
    <row r="174" ht="15.75" customHeight="1">
      <c r="A174" s="57" t="s">
        <v>313</v>
      </c>
      <c r="B174" s="56">
        <v>47.0</v>
      </c>
      <c r="C174" s="56">
        <v>3.310630633E9</v>
      </c>
      <c r="D174" s="60" t="s">
        <v>314</v>
      </c>
    </row>
    <row r="175" ht="15.75" customHeight="1">
      <c r="A175" s="57" t="s">
        <v>567</v>
      </c>
      <c r="B175" s="56">
        <v>49.0</v>
      </c>
      <c r="C175" s="56">
        <v>3.321999285E9</v>
      </c>
      <c r="D175" s="60" t="s">
        <v>568</v>
      </c>
      <c r="F175" s="271" t="s">
        <v>2501</v>
      </c>
    </row>
    <row r="176" ht="15.75" customHeight="1">
      <c r="A176" s="57" t="s">
        <v>591</v>
      </c>
      <c r="B176" s="56">
        <v>49.0</v>
      </c>
      <c r="C176" s="56">
        <v>3.311727835E9</v>
      </c>
      <c r="D176" s="60" t="s">
        <v>592</v>
      </c>
      <c r="F176" s="38" t="s">
        <v>105</v>
      </c>
      <c r="G176" s="42" t="s">
        <v>111</v>
      </c>
      <c r="H176" s="42" t="s">
        <v>112</v>
      </c>
      <c r="I176" s="42" t="s">
        <v>113</v>
      </c>
    </row>
    <row r="177" ht="15.75" customHeight="1">
      <c r="A177" s="57" t="s">
        <v>715</v>
      </c>
      <c r="B177" s="56">
        <v>47.0</v>
      </c>
      <c r="C177" s="56">
        <v>3.339054413E9</v>
      </c>
      <c r="D177" s="60" t="s">
        <v>716</v>
      </c>
      <c r="F177" s="57" t="s">
        <v>162</v>
      </c>
      <c r="G177" s="56">
        <v>54.0</v>
      </c>
      <c r="H177" s="56">
        <v>3.311028337E9</v>
      </c>
      <c r="I177" s="60" t="s">
        <v>163</v>
      </c>
    </row>
    <row r="178" ht="15.75" customHeight="1">
      <c r="A178" s="57" t="s">
        <v>1261</v>
      </c>
      <c r="B178" s="56">
        <v>47.0</v>
      </c>
      <c r="C178" s="56">
        <v>3.841164595E9</v>
      </c>
      <c r="D178" s="60" t="s">
        <v>1262</v>
      </c>
      <c r="F178" s="57" t="s">
        <v>301</v>
      </c>
      <c r="G178" s="56">
        <v>50.0</v>
      </c>
      <c r="H178" s="56">
        <v>3.318410274E9</v>
      </c>
      <c r="I178" s="60" t="s">
        <v>302</v>
      </c>
    </row>
    <row r="179" ht="15.75" customHeight="1">
      <c r="A179" s="57" t="s">
        <v>1389</v>
      </c>
      <c r="B179" s="56">
        <v>49.0</v>
      </c>
      <c r="C179" s="56">
        <v>3.334090315E9</v>
      </c>
      <c r="D179" s="60" t="s">
        <v>1390</v>
      </c>
      <c r="F179" s="57" t="s">
        <v>354</v>
      </c>
      <c r="G179" s="56">
        <v>54.0</v>
      </c>
      <c r="H179" s="56">
        <v>3.315026214E9</v>
      </c>
      <c r="I179" s="60" t="s">
        <v>355</v>
      </c>
    </row>
    <row r="180" ht="15.75" customHeight="1">
      <c r="A180" s="57" t="s">
        <v>1702</v>
      </c>
      <c r="B180" s="56">
        <v>49.0</v>
      </c>
      <c r="C180" s="56">
        <v>3.312862779E9</v>
      </c>
      <c r="D180" s="60" t="s">
        <v>1703</v>
      </c>
      <c r="F180" s="57" t="s">
        <v>670</v>
      </c>
      <c r="G180" s="56">
        <v>55.0</v>
      </c>
      <c r="H180" s="56">
        <v>3.331575056E9</v>
      </c>
      <c r="I180" s="60" t="s">
        <v>671</v>
      </c>
    </row>
    <row r="181" ht="15.75" customHeight="1">
      <c r="A181" s="57" t="s">
        <v>1767</v>
      </c>
      <c r="B181" s="56">
        <v>47.0</v>
      </c>
      <c r="C181" s="56">
        <v>3.316043561E9</v>
      </c>
      <c r="D181" s="60" t="s">
        <v>1768</v>
      </c>
      <c r="F181" s="57" t="s">
        <v>1250</v>
      </c>
      <c r="G181" s="56">
        <v>52.0</v>
      </c>
      <c r="H181" s="56">
        <v>3.312138088E9</v>
      </c>
      <c r="I181" s="60"/>
    </row>
    <row r="182" ht="15.75" customHeight="1">
      <c r="A182" s="57" t="s">
        <v>2086</v>
      </c>
      <c r="B182" s="56">
        <v>49.0</v>
      </c>
      <c r="C182" s="56">
        <v>3.314256375E9</v>
      </c>
      <c r="D182" s="60" t="s">
        <v>2087</v>
      </c>
      <c r="F182" s="57" t="s">
        <v>1404</v>
      </c>
      <c r="G182" s="56">
        <v>52.0</v>
      </c>
      <c r="H182" s="56">
        <v>3.324612095E9</v>
      </c>
      <c r="I182" s="60" t="s">
        <v>1405</v>
      </c>
    </row>
    <row r="183" ht="15.75" customHeight="1">
      <c r="A183" s="57"/>
      <c r="B183" s="56"/>
      <c r="C183" s="31"/>
      <c r="D183" s="31"/>
      <c r="F183" s="57" t="s">
        <v>1593</v>
      </c>
      <c r="G183" s="56">
        <v>52.0</v>
      </c>
      <c r="H183" s="56">
        <v>3.317533853E9</v>
      </c>
      <c r="I183" s="60" t="s">
        <v>1594</v>
      </c>
    </row>
    <row r="184" ht="15.75" customHeight="1">
      <c r="F184" s="57" t="s">
        <v>1682</v>
      </c>
      <c r="G184" s="56">
        <v>50.0</v>
      </c>
      <c r="H184" s="56">
        <v>3.310654685E9</v>
      </c>
      <c r="I184" s="60" t="s">
        <v>1683</v>
      </c>
    </row>
    <row r="185" ht="15.75" customHeight="1">
      <c r="A185" s="271" t="s">
        <v>2502</v>
      </c>
      <c r="F185" s="57" t="s">
        <v>1762</v>
      </c>
      <c r="G185" s="56">
        <v>52.0</v>
      </c>
      <c r="H185" s="56">
        <v>3.339669158E9</v>
      </c>
      <c r="I185" s="60" t="s">
        <v>1763</v>
      </c>
    </row>
    <row r="186" ht="15.75" customHeight="1">
      <c r="A186" s="38" t="s">
        <v>105</v>
      </c>
      <c r="B186" s="42" t="s">
        <v>111</v>
      </c>
      <c r="C186" s="42" t="s">
        <v>112</v>
      </c>
      <c r="D186" s="42" t="s">
        <v>113</v>
      </c>
      <c r="F186" s="57" t="s">
        <v>1783</v>
      </c>
      <c r="G186" s="56">
        <v>51.0</v>
      </c>
      <c r="H186" s="56">
        <v>3.32701633E9</v>
      </c>
      <c r="I186" s="60" t="s">
        <v>1784</v>
      </c>
    </row>
    <row r="187" ht="15.75" customHeight="1">
      <c r="A187" s="57" t="s">
        <v>333</v>
      </c>
      <c r="B187" s="56">
        <v>50.0</v>
      </c>
      <c r="C187" s="56">
        <v>3.328109655E9</v>
      </c>
      <c r="D187" s="60" t="s">
        <v>334</v>
      </c>
      <c r="F187" s="57" t="s">
        <v>1827</v>
      </c>
      <c r="G187" s="56">
        <v>53.0</v>
      </c>
      <c r="H187" s="56">
        <v>3.313735995E9</v>
      </c>
      <c r="I187" s="60"/>
    </row>
    <row r="188" ht="15.75" customHeight="1">
      <c r="A188" s="57" t="s">
        <v>725</v>
      </c>
      <c r="B188" s="56">
        <v>52.0</v>
      </c>
      <c r="C188" s="56">
        <v>3.319768908E9</v>
      </c>
      <c r="D188" s="60" t="s">
        <v>722</v>
      </c>
      <c r="F188" s="57" t="s">
        <v>1832</v>
      </c>
      <c r="G188" s="56">
        <v>54.0</v>
      </c>
      <c r="H188" s="56">
        <v>3.326750283E9</v>
      </c>
      <c r="I188" s="60" t="s">
        <v>1833</v>
      </c>
    </row>
    <row r="189" ht="15.75" customHeight="1">
      <c r="A189" s="57" t="s">
        <v>779</v>
      </c>
      <c r="B189" s="56">
        <v>50.0</v>
      </c>
      <c r="C189" s="56">
        <v>3.316030509E9</v>
      </c>
      <c r="D189" s="60" t="s">
        <v>780</v>
      </c>
    </row>
    <row r="190" ht="15.75" customHeight="1">
      <c r="A190" s="57" t="s">
        <v>1248</v>
      </c>
      <c r="B190" s="56">
        <v>51.0</v>
      </c>
      <c r="C190" s="56">
        <v>3.311144004E9</v>
      </c>
      <c r="D190" s="60" t="s">
        <v>1249</v>
      </c>
    </row>
    <row r="191" ht="15.75" customHeight="1">
      <c r="A191" s="57" t="s">
        <v>1690</v>
      </c>
      <c r="B191" s="56">
        <v>52.0</v>
      </c>
      <c r="C191" s="56">
        <v>3.31345935E9</v>
      </c>
      <c r="D191" s="60" t="s">
        <v>1691</v>
      </c>
      <c r="F191" s="271" t="s">
        <v>2503</v>
      </c>
    </row>
    <row r="192" ht="15.75" customHeight="1">
      <c r="A192" s="57" t="s">
        <v>1723</v>
      </c>
      <c r="B192" s="56">
        <v>52.0</v>
      </c>
      <c r="C192" s="56">
        <v>3.310128522E9</v>
      </c>
      <c r="D192" s="60" t="s">
        <v>1724</v>
      </c>
      <c r="F192" s="38" t="s">
        <v>105</v>
      </c>
      <c r="G192" s="42" t="s">
        <v>111</v>
      </c>
      <c r="H192" s="42" t="s">
        <v>112</v>
      </c>
      <c r="I192" s="42" t="s">
        <v>113</v>
      </c>
    </row>
    <row r="193" ht="15.75" customHeight="1">
      <c r="A193" s="57" t="s">
        <v>1778</v>
      </c>
      <c r="B193" s="56">
        <v>50.0</v>
      </c>
      <c r="C193" s="56">
        <v>3.331585771E9</v>
      </c>
      <c r="D193" s="60" t="s">
        <v>1779</v>
      </c>
      <c r="F193" s="81" t="s">
        <v>33</v>
      </c>
      <c r="G193" s="56">
        <v>59.0</v>
      </c>
      <c r="H193" s="56">
        <v>4.4440977E7</v>
      </c>
      <c r="I193" s="60" t="s">
        <v>141</v>
      </c>
    </row>
    <row r="194" ht="15.75" customHeight="1">
      <c r="A194" s="57" t="s">
        <v>1989</v>
      </c>
      <c r="B194" s="56">
        <v>52.0</v>
      </c>
      <c r="C194" s="56">
        <v>3.323301058E9</v>
      </c>
      <c r="D194" s="60" t="s">
        <v>1990</v>
      </c>
      <c r="F194" s="57" t="s">
        <v>311</v>
      </c>
      <c r="G194" s="56">
        <v>57.0</v>
      </c>
      <c r="H194" s="56">
        <v>3.313678716E9</v>
      </c>
      <c r="I194" s="60" t="s">
        <v>312</v>
      </c>
    </row>
    <row r="195" ht="15.75" customHeight="1">
      <c r="A195" s="57" t="s">
        <v>2063</v>
      </c>
      <c r="B195" s="56">
        <v>50.0</v>
      </c>
      <c r="C195" s="56">
        <v>7.751146249E9</v>
      </c>
      <c r="D195" s="60" t="s">
        <v>2064</v>
      </c>
      <c r="F195" s="57" t="s">
        <v>421</v>
      </c>
      <c r="G195" s="56">
        <v>56.0</v>
      </c>
      <c r="H195" s="56">
        <v>3.313372021E9</v>
      </c>
      <c r="I195" s="60" t="s">
        <v>422</v>
      </c>
    </row>
    <row r="196" ht="15.75" customHeight="1">
      <c r="A196" s="57" t="s">
        <v>2071</v>
      </c>
      <c r="B196" s="56">
        <v>51.0</v>
      </c>
      <c r="C196" s="56">
        <v>3.334473816E9</v>
      </c>
      <c r="D196" s="60" t="s">
        <v>2070</v>
      </c>
      <c r="F196" s="57" t="s">
        <v>658</v>
      </c>
      <c r="G196" s="56">
        <v>58.0</v>
      </c>
      <c r="H196" s="56">
        <v>3.32416899E9</v>
      </c>
      <c r="I196" s="60" t="s">
        <v>659</v>
      </c>
    </row>
    <row r="197" ht="15.75" customHeight="1">
      <c r="A197" s="57" t="s">
        <v>2082</v>
      </c>
      <c r="B197" s="56">
        <v>50.0</v>
      </c>
      <c r="C197" s="56">
        <v>3.339468318E9</v>
      </c>
      <c r="D197" s="60" t="s">
        <v>2083</v>
      </c>
      <c r="F197" s="57" t="s">
        <v>815</v>
      </c>
      <c r="G197" s="56">
        <v>60.0</v>
      </c>
      <c r="H197" s="56">
        <v>3.313309633E9</v>
      </c>
      <c r="I197" s="60" t="s">
        <v>816</v>
      </c>
    </row>
    <row r="198" ht="15.75" customHeight="1">
      <c r="F198" s="57" t="s">
        <v>1359</v>
      </c>
      <c r="G198" s="56">
        <v>59.0</v>
      </c>
      <c r="H198" s="56">
        <v>3.331596121E9</v>
      </c>
      <c r="I198" s="60" t="s">
        <v>1360</v>
      </c>
    </row>
    <row r="199" ht="15.75" customHeight="1">
      <c r="A199" s="271" t="s">
        <v>2504</v>
      </c>
      <c r="F199" s="57" t="s">
        <v>1577</v>
      </c>
      <c r="G199" s="56">
        <v>60.0</v>
      </c>
      <c r="H199" s="56">
        <v>7.4490904165E10</v>
      </c>
      <c r="I199" s="60" t="s">
        <v>1578</v>
      </c>
    </row>
    <row r="200" ht="15.75" customHeight="1">
      <c r="A200" s="38" t="s">
        <v>105</v>
      </c>
      <c r="B200" s="42" t="s">
        <v>111</v>
      </c>
      <c r="C200" s="42" t="s">
        <v>112</v>
      </c>
      <c r="D200" s="42" t="s">
        <v>113</v>
      </c>
      <c r="F200" s="57" t="s">
        <v>1595</v>
      </c>
      <c r="G200" s="56">
        <v>56.0</v>
      </c>
      <c r="H200" s="56">
        <v>3.336676822E9</v>
      </c>
      <c r="I200" s="60" t="s">
        <v>1596</v>
      </c>
    </row>
    <row r="201" ht="15.75" customHeight="1">
      <c r="A201" s="57" t="s">
        <v>271</v>
      </c>
      <c r="B201" s="56">
        <v>55.0</v>
      </c>
      <c r="C201" s="56">
        <v>3.323837215E9</v>
      </c>
      <c r="D201" s="60" t="s">
        <v>272</v>
      </c>
      <c r="F201" s="57" t="s">
        <v>1635</v>
      </c>
      <c r="G201" s="56">
        <v>60.0</v>
      </c>
      <c r="H201" s="56">
        <v>3.310525401E9</v>
      </c>
      <c r="I201" s="60" t="s">
        <v>1636</v>
      </c>
    </row>
    <row r="202" ht="15.75" customHeight="1">
      <c r="A202" s="57" t="s">
        <v>304</v>
      </c>
      <c r="B202" s="56">
        <v>55.0</v>
      </c>
      <c r="C202" s="56">
        <v>3.311721649E9</v>
      </c>
      <c r="D202" s="60" t="s">
        <v>305</v>
      </c>
      <c r="F202" s="57" t="s">
        <v>1665</v>
      </c>
      <c r="G202" s="56">
        <v>59.0</v>
      </c>
      <c r="H202" s="56">
        <v>3.312363784E9</v>
      </c>
      <c r="I202" s="60" t="s">
        <v>1666</v>
      </c>
    </row>
    <row r="203" ht="15.75" customHeight="1">
      <c r="A203" s="57" t="s">
        <v>429</v>
      </c>
      <c r="B203" s="56">
        <v>54.0</v>
      </c>
      <c r="C203" s="56">
        <v>3.339643469E9</v>
      </c>
      <c r="D203" s="60"/>
      <c r="F203" s="57" t="s">
        <v>1678</v>
      </c>
      <c r="G203" s="56">
        <v>57.0</v>
      </c>
      <c r="H203" s="56">
        <v>3.318627207E9</v>
      </c>
      <c r="I203" s="60" t="s">
        <v>1679</v>
      </c>
    </row>
    <row r="204" ht="15.75" customHeight="1">
      <c r="A204" s="57" t="s">
        <v>1240</v>
      </c>
      <c r="B204" s="56">
        <v>56.0</v>
      </c>
      <c r="C204" s="56">
        <v>3.312665737E9</v>
      </c>
      <c r="D204" s="60" t="s">
        <v>1241</v>
      </c>
      <c r="F204" s="57" t="s">
        <v>1745</v>
      </c>
      <c r="G204" s="56">
        <v>59.0</v>
      </c>
      <c r="H204" s="56">
        <v>3.311210034E9</v>
      </c>
      <c r="I204" s="60" t="s">
        <v>1746</v>
      </c>
    </row>
    <row r="205" ht="15.75" customHeight="1">
      <c r="A205" s="57" t="s">
        <v>1293</v>
      </c>
      <c r="B205" s="56">
        <v>54.0</v>
      </c>
      <c r="C205" s="56">
        <v>3.311678748E9</v>
      </c>
      <c r="D205" s="60" t="s">
        <v>1294</v>
      </c>
      <c r="F205" s="57" t="s">
        <v>1848</v>
      </c>
      <c r="G205" s="56">
        <v>59.0</v>
      </c>
      <c r="H205" s="56">
        <v>3.311512522E9</v>
      </c>
      <c r="I205" s="60" t="s">
        <v>1849</v>
      </c>
    </row>
    <row r="206" ht="15.75" customHeight="1">
      <c r="A206" s="57" t="s">
        <v>1363</v>
      </c>
      <c r="B206" s="56">
        <v>54.0</v>
      </c>
      <c r="C206" s="56">
        <v>3.33361769E9</v>
      </c>
      <c r="D206" s="60" t="s">
        <v>1364</v>
      </c>
      <c r="F206" s="57" t="s">
        <v>1861</v>
      </c>
      <c r="G206" s="56">
        <v>58.0</v>
      </c>
      <c r="H206" s="56">
        <v>3.315028247E9</v>
      </c>
      <c r="I206" s="60" t="s">
        <v>1862</v>
      </c>
    </row>
    <row r="207" ht="15.75" customHeight="1">
      <c r="A207" s="81" t="s">
        <v>26</v>
      </c>
      <c r="B207" s="56">
        <v>56.0</v>
      </c>
      <c r="C207" s="56">
        <v>3.324548084E9</v>
      </c>
      <c r="D207" s="60" t="s">
        <v>1507</v>
      </c>
      <c r="F207" s="57" t="s">
        <v>1911</v>
      </c>
      <c r="G207" s="56">
        <v>60.0</v>
      </c>
      <c r="H207" s="56">
        <v>3.339587967E9</v>
      </c>
      <c r="I207" s="60" t="s">
        <v>1912</v>
      </c>
    </row>
    <row r="208" ht="15.75" customHeight="1">
      <c r="A208" s="57" t="s">
        <v>1807</v>
      </c>
      <c r="B208" s="56">
        <v>56.0</v>
      </c>
      <c r="C208" s="56">
        <v>3.310094665E9</v>
      </c>
      <c r="D208" s="60" t="s">
        <v>1808</v>
      </c>
      <c r="F208" s="57" t="s">
        <v>1982</v>
      </c>
      <c r="G208" s="56">
        <v>57.0</v>
      </c>
      <c r="H208" s="56">
        <v>3.322197741E9</v>
      </c>
      <c r="I208" s="60" t="s">
        <v>1983</v>
      </c>
    </row>
    <row r="209" ht="15.75" customHeight="1"/>
    <row r="210" ht="15.75" customHeight="1">
      <c r="A210" s="271" t="s">
        <v>2505</v>
      </c>
      <c r="F210" s="271" t="s">
        <v>2506</v>
      </c>
    </row>
    <row r="211" ht="15.75" customHeight="1">
      <c r="A211" s="38" t="s">
        <v>105</v>
      </c>
      <c r="B211" s="42" t="s">
        <v>111</v>
      </c>
      <c r="C211" s="42" t="s">
        <v>112</v>
      </c>
      <c r="D211" s="42" t="s">
        <v>113</v>
      </c>
      <c r="F211" s="38" t="s">
        <v>105</v>
      </c>
      <c r="G211" s="42" t="s">
        <v>111</v>
      </c>
      <c r="H211" s="42" t="s">
        <v>112</v>
      </c>
      <c r="I211" s="42" t="s">
        <v>113</v>
      </c>
    </row>
    <row r="212" ht="15.75" customHeight="1">
      <c r="A212" s="57" t="s">
        <v>190</v>
      </c>
      <c r="B212" s="56">
        <v>63.0</v>
      </c>
      <c r="C212" s="56">
        <v>3.312509476E9</v>
      </c>
      <c r="D212" s="60" t="s">
        <v>191</v>
      </c>
      <c r="F212" s="57" t="s">
        <v>210</v>
      </c>
      <c r="G212" s="56">
        <v>74.0</v>
      </c>
      <c r="H212" s="56">
        <v>3.314822846E9</v>
      </c>
      <c r="I212" s="60" t="s">
        <v>211</v>
      </c>
    </row>
    <row r="213" ht="15.75" customHeight="1">
      <c r="A213" s="57" t="s">
        <v>236</v>
      </c>
      <c r="B213" s="56">
        <v>60.0</v>
      </c>
      <c r="C213" s="56">
        <v>3.338437378E9</v>
      </c>
      <c r="D213" s="60" t="s">
        <v>237</v>
      </c>
      <c r="F213" s="57" t="s">
        <v>327</v>
      </c>
      <c r="G213" s="56">
        <v>63.0</v>
      </c>
      <c r="H213" s="56">
        <v>3.334033963E9</v>
      </c>
      <c r="I213" s="60" t="s">
        <v>328</v>
      </c>
    </row>
    <row r="214" ht="15.75" customHeight="1">
      <c r="A214" s="57" t="s">
        <v>419</v>
      </c>
      <c r="B214" s="56">
        <v>61.0</v>
      </c>
      <c r="C214" s="56">
        <v>3.313406335E9</v>
      </c>
      <c r="D214" s="60" t="s">
        <v>420</v>
      </c>
      <c r="F214" s="57" t="s">
        <v>377</v>
      </c>
      <c r="G214" s="56">
        <v>62.0</v>
      </c>
      <c r="H214" s="56">
        <v>3.334747859E9</v>
      </c>
      <c r="I214" s="60" t="s">
        <v>378</v>
      </c>
    </row>
    <row r="215" ht="15.75" customHeight="1">
      <c r="A215" s="57" t="s">
        <v>468</v>
      </c>
      <c r="B215" s="56">
        <v>61.0</v>
      </c>
      <c r="C215" s="56">
        <v>3.3381658E9</v>
      </c>
      <c r="D215" s="60" t="s">
        <v>466</v>
      </c>
      <c r="F215" s="57" t="s">
        <v>383</v>
      </c>
      <c r="G215" s="56">
        <v>64.0</v>
      </c>
      <c r="H215" s="56">
        <v>3.31434614E9</v>
      </c>
      <c r="I215" s="60" t="s">
        <v>384</v>
      </c>
    </row>
    <row r="216" ht="15.75" customHeight="1">
      <c r="A216" s="57" t="s">
        <v>731</v>
      </c>
      <c r="B216" s="56">
        <v>58.0</v>
      </c>
      <c r="C216" s="56">
        <v>3.31473139E9</v>
      </c>
      <c r="D216" s="60" t="s">
        <v>732</v>
      </c>
      <c r="F216" s="57" t="s">
        <v>415</v>
      </c>
      <c r="G216" s="56">
        <v>61.0</v>
      </c>
      <c r="H216" s="56">
        <v>3.316725551E9</v>
      </c>
      <c r="I216" s="60" t="s">
        <v>416</v>
      </c>
    </row>
    <row r="217" ht="15.75" customHeight="1">
      <c r="A217" s="57" t="s">
        <v>1042</v>
      </c>
      <c r="B217" s="56">
        <v>57.0</v>
      </c>
      <c r="C217" s="56">
        <v>3.311408364E9</v>
      </c>
      <c r="D217" s="60" t="s">
        <v>1043</v>
      </c>
      <c r="F217" s="57" t="s">
        <v>2258</v>
      </c>
      <c r="G217" s="56">
        <v>64.0</v>
      </c>
      <c r="H217" s="56">
        <v>3.321306228E9</v>
      </c>
      <c r="I217" s="60" t="s">
        <v>435</v>
      </c>
    </row>
    <row r="218" ht="15.75" customHeight="1">
      <c r="A218" s="57" t="s">
        <v>1107</v>
      </c>
      <c r="B218" s="56">
        <v>63.0</v>
      </c>
      <c r="C218" s="56">
        <v>3.6554212E7</v>
      </c>
      <c r="D218" s="60" t="s">
        <v>1108</v>
      </c>
      <c r="F218" s="57" t="s">
        <v>629</v>
      </c>
      <c r="G218" s="56">
        <v>63.0</v>
      </c>
      <c r="H218" s="56">
        <v>3.312162206E9</v>
      </c>
      <c r="I218" s="60" t="s">
        <v>630</v>
      </c>
    </row>
    <row r="219" ht="15.75" customHeight="1">
      <c r="A219" s="57" t="s">
        <v>1267</v>
      </c>
      <c r="B219" s="56">
        <v>58.0</v>
      </c>
      <c r="C219" s="256">
        <v>3.321919374E9</v>
      </c>
      <c r="D219" s="60" t="s">
        <v>1269</v>
      </c>
      <c r="F219" s="57" t="s">
        <v>663</v>
      </c>
      <c r="G219" s="56">
        <v>66.0</v>
      </c>
      <c r="H219" s="56">
        <v>3.317917891E9</v>
      </c>
      <c r="I219" s="60" t="s">
        <v>664</v>
      </c>
    </row>
    <row r="220" ht="15.75" customHeight="1">
      <c r="F220" s="57" t="s">
        <v>668</v>
      </c>
      <c r="G220" s="56">
        <v>61.0</v>
      </c>
      <c r="H220" s="56">
        <v>3.339496678E9</v>
      </c>
      <c r="I220" s="60" t="s">
        <v>669</v>
      </c>
    </row>
    <row r="221" ht="15.75" customHeight="1">
      <c r="A221" s="271" t="s">
        <v>2507</v>
      </c>
      <c r="F221" s="57" t="s">
        <v>883</v>
      </c>
      <c r="G221" s="56">
        <v>71.0</v>
      </c>
      <c r="H221" s="56">
        <v>3.333802663E9</v>
      </c>
      <c r="I221" s="60" t="s">
        <v>884</v>
      </c>
    </row>
    <row r="222" ht="15.75" customHeight="1">
      <c r="A222" s="38" t="s">
        <v>105</v>
      </c>
      <c r="B222" s="42" t="s">
        <v>111</v>
      </c>
      <c r="C222" s="42" t="s">
        <v>112</v>
      </c>
      <c r="D222" s="42" t="s">
        <v>113</v>
      </c>
      <c r="F222" s="57" t="s">
        <v>892</v>
      </c>
      <c r="G222" s="56">
        <v>69.0</v>
      </c>
      <c r="H222" s="56">
        <v>3.339595905E9</v>
      </c>
      <c r="I222" s="60" t="s">
        <v>893</v>
      </c>
    </row>
    <row r="223" ht="15.75" customHeight="1">
      <c r="A223" s="57" t="s">
        <v>124</v>
      </c>
      <c r="B223" s="56">
        <v>67.0</v>
      </c>
      <c r="C223" s="56">
        <v>3.322199062E9</v>
      </c>
      <c r="D223" s="60" t="s">
        <v>125</v>
      </c>
      <c r="F223" s="57" t="s">
        <v>894</v>
      </c>
      <c r="G223" s="56">
        <v>76.0</v>
      </c>
      <c r="H223" s="56">
        <v>3.331144916E9</v>
      </c>
      <c r="I223" s="60" t="s">
        <v>895</v>
      </c>
    </row>
    <row r="224" ht="15.75" customHeight="1">
      <c r="A224" s="57" t="s">
        <v>252</v>
      </c>
      <c r="B224" s="56">
        <v>65.0</v>
      </c>
      <c r="C224" s="56">
        <v>3.31388914E9</v>
      </c>
      <c r="D224" s="60" t="s">
        <v>253</v>
      </c>
      <c r="F224" s="57" t="s">
        <v>989</v>
      </c>
      <c r="G224" s="56">
        <v>82.0</v>
      </c>
      <c r="H224" s="56">
        <v>3.320749117E9</v>
      </c>
      <c r="I224" s="60" t="s">
        <v>990</v>
      </c>
    </row>
    <row r="225" ht="15.75" customHeight="1">
      <c r="A225" s="57" t="s">
        <v>339</v>
      </c>
      <c r="B225" s="56">
        <v>77.0</v>
      </c>
      <c r="C225" s="56">
        <v>3.316289925E9</v>
      </c>
      <c r="D225" s="60" t="s">
        <v>340</v>
      </c>
      <c r="F225" s="57" t="s">
        <v>1034</v>
      </c>
      <c r="G225" s="56">
        <v>70.0</v>
      </c>
      <c r="H225" s="56">
        <v>3.311172766E9</v>
      </c>
      <c r="I225" s="60" t="s">
        <v>1035</v>
      </c>
    </row>
    <row r="226" ht="15.75" customHeight="1">
      <c r="A226" s="57" t="s">
        <v>550</v>
      </c>
      <c r="B226" s="56">
        <v>69.0</v>
      </c>
      <c r="C226" s="56" t="s">
        <v>223</v>
      </c>
      <c r="D226" s="60" t="s">
        <v>551</v>
      </c>
      <c r="F226" s="57" t="s">
        <v>1048</v>
      </c>
      <c r="G226" s="56">
        <v>63.0</v>
      </c>
      <c r="H226" s="56">
        <v>9.341232365E9</v>
      </c>
      <c r="I226" s="60" t="s">
        <v>1049</v>
      </c>
    </row>
    <row r="227" ht="15.75" customHeight="1">
      <c r="A227" s="57" t="s">
        <v>690</v>
      </c>
      <c r="B227" s="56">
        <v>81.0</v>
      </c>
      <c r="C227" s="56">
        <v>3.312610509E9</v>
      </c>
      <c r="D227" s="60" t="s">
        <v>691</v>
      </c>
      <c r="F227" s="57" t="s">
        <v>1050</v>
      </c>
      <c r="G227" s="56">
        <v>62.0</v>
      </c>
      <c r="H227" s="56">
        <v>3.311807269E9</v>
      </c>
      <c r="I227" s="60" t="s">
        <v>956</v>
      </c>
    </row>
    <row r="228" ht="15.75" customHeight="1">
      <c r="A228" s="57" t="s">
        <v>788</v>
      </c>
      <c r="B228" s="56">
        <v>95.0</v>
      </c>
      <c r="C228" s="56">
        <v>3.6980807E7</v>
      </c>
      <c r="D228" s="60" t="s">
        <v>789</v>
      </c>
      <c r="F228" s="57" t="s">
        <v>1066</v>
      </c>
      <c r="G228" s="56">
        <v>67.0</v>
      </c>
      <c r="H228" s="56">
        <v>3.313127068E9</v>
      </c>
      <c r="I228" s="60" t="s">
        <v>1067</v>
      </c>
    </row>
    <row r="229" ht="15.75" customHeight="1">
      <c r="A229" s="57" t="s">
        <v>827</v>
      </c>
      <c r="B229" s="56">
        <v>76.0</v>
      </c>
      <c r="C229" s="56">
        <v>3.6082555E7</v>
      </c>
      <c r="D229" s="60" t="s">
        <v>828</v>
      </c>
      <c r="F229" s="81" t="s">
        <v>39</v>
      </c>
      <c r="G229" s="56">
        <v>79.0</v>
      </c>
      <c r="H229" s="56">
        <v>1.9202638E7</v>
      </c>
      <c r="I229" s="60" t="s">
        <v>452</v>
      </c>
    </row>
    <row r="230" ht="15.75" customHeight="1">
      <c r="A230" s="57" t="s">
        <v>914</v>
      </c>
      <c r="B230" s="56">
        <v>72.0</v>
      </c>
      <c r="C230" s="56">
        <v>3.326790479E9</v>
      </c>
      <c r="D230" s="60" t="s">
        <v>915</v>
      </c>
      <c r="F230" s="57" t="s">
        <v>1119</v>
      </c>
      <c r="G230" s="56">
        <v>61.0</v>
      </c>
      <c r="H230" s="56">
        <v>3.311448184E9</v>
      </c>
      <c r="I230" s="60" t="s">
        <v>1120</v>
      </c>
    </row>
    <row r="231" ht="15.75" customHeight="1">
      <c r="A231" s="57" t="s">
        <v>955</v>
      </c>
      <c r="B231" s="56">
        <v>71.0</v>
      </c>
      <c r="C231" s="56">
        <v>3.317768473E9</v>
      </c>
      <c r="D231" s="60" t="s">
        <v>956</v>
      </c>
      <c r="F231" s="57" t="s">
        <v>1201</v>
      </c>
      <c r="G231" s="56">
        <v>72.0</v>
      </c>
      <c r="H231" s="56">
        <v>3.312375698E9</v>
      </c>
      <c r="I231" s="60" t="s">
        <v>1202</v>
      </c>
    </row>
    <row r="232" ht="15.75" customHeight="1">
      <c r="A232" s="57" t="s">
        <v>974</v>
      </c>
      <c r="B232" s="56">
        <v>77.0</v>
      </c>
      <c r="C232" s="56">
        <v>3.311172766E9</v>
      </c>
      <c r="D232" s="60" t="s">
        <v>975</v>
      </c>
      <c r="F232" s="57" t="s">
        <v>1278</v>
      </c>
      <c r="G232" s="56">
        <v>71.0</v>
      </c>
      <c r="H232" s="56">
        <v>3.310700579E9</v>
      </c>
      <c r="I232" s="60" t="s">
        <v>1279</v>
      </c>
    </row>
    <row r="233" ht="15.75" customHeight="1">
      <c r="A233" s="81" t="s">
        <v>14</v>
      </c>
      <c r="B233" s="56">
        <v>68.0</v>
      </c>
      <c r="C233" s="56">
        <v>3.333977821E9</v>
      </c>
      <c r="D233" s="60" t="s">
        <v>1028</v>
      </c>
      <c r="F233" s="57" t="s">
        <v>1478</v>
      </c>
      <c r="G233" s="56">
        <v>64.0</v>
      </c>
      <c r="H233" s="56">
        <v>3.31731616E9</v>
      </c>
      <c r="I233" s="60" t="s">
        <v>1479</v>
      </c>
    </row>
    <row r="234" ht="15.75" customHeight="1">
      <c r="A234" s="57" t="s">
        <v>1057</v>
      </c>
      <c r="B234" s="56">
        <v>68.0</v>
      </c>
      <c r="C234" s="56">
        <v>9.341232365E9</v>
      </c>
      <c r="D234" s="60" t="s">
        <v>1049</v>
      </c>
      <c r="F234" s="57" t="s">
        <v>1606</v>
      </c>
      <c r="G234" s="56">
        <v>70.0</v>
      </c>
      <c r="H234" s="56">
        <v>3.6438513E7</v>
      </c>
      <c r="I234" s="60" t="s">
        <v>1607</v>
      </c>
    </row>
    <row r="235" ht="15.75" customHeight="1">
      <c r="A235" s="57" t="s">
        <v>1215</v>
      </c>
      <c r="B235" s="56">
        <v>73.0</v>
      </c>
      <c r="C235" s="56">
        <v>3.317891836E9</v>
      </c>
      <c r="D235" s="60" t="s">
        <v>1216</v>
      </c>
      <c r="F235" s="57" t="s">
        <v>1628</v>
      </c>
      <c r="G235" s="56">
        <v>75.0</v>
      </c>
      <c r="H235" s="56">
        <v>3.317816627E9</v>
      </c>
      <c r="I235" s="60" t="s">
        <v>1629</v>
      </c>
    </row>
    <row r="236" ht="15.75" customHeight="1">
      <c r="A236" s="57" t="s">
        <v>1256</v>
      </c>
      <c r="B236" s="56">
        <v>74.0</v>
      </c>
      <c r="C236" s="56">
        <v>1.7295265E7</v>
      </c>
      <c r="D236" s="60" t="s">
        <v>1257</v>
      </c>
      <c r="F236" s="57" t="s">
        <v>1680</v>
      </c>
      <c r="G236" s="56">
        <v>62.0</v>
      </c>
      <c r="H236" s="56">
        <v>3.313052967E9</v>
      </c>
      <c r="I236" s="60" t="s">
        <v>1681</v>
      </c>
    </row>
    <row r="237" ht="15.75" customHeight="1">
      <c r="A237" s="81" t="s">
        <v>20</v>
      </c>
      <c r="B237" s="56">
        <v>70.0</v>
      </c>
      <c r="C237" s="56">
        <v>3.312073011E9</v>
      </c>
      <c r="D237" s="60" t="s">
        <v>1356</v>
      </c>
      <c r="F237" s="57" t="s">
        <v>1756</v>
      </c>
      <c r="G237" s="56">
        <v>66.0</v>
      </c>
      <c r="H237" s="56">
        <v>3.314200794E9</v>
      </c>
      <c r="I237" s="60" t="s">
        <v>1757</v>
      </c>
    </row>
    <row r="238" ht="15.75" customHeight="1">
      <c r="A238" s="57" t="s">
        <v>1399</v>
      </c>
      <c r="B238" s="56">
        <v>82.0</v>
      </c>
      <c r="C238" s="56">
        <v>3.6084569E7</v>
      </c>
      <c r="D238" s="60" t="s">
        <v>1400</v>
      </c>
      <c r="F238" s="57" t="s">
        <v>1775</v>
      </c>
      <c r="G238" s="56">
        <v>71.0</v>
      </c>
      <c r="H238" s="56">
        <v>3.316918308E9</v>
      </c>
      <c r="I238" s="60" t="s">
        <v>1776</v>
      </c>
    </row>
    <row r="239" ht="15.75" customHeight="1">
      <c r="A239" s="57" t="s">
        <v>1407</v>
      </c>
      <c r="B239" s="56">
        <v>75.0</v>
      </c>
      <c r="C239" s="56">
        <v>3.313402788E9</v>
      </c>
      <c r="D239" s="60" t="s">
        <v>179</v>
      </c>
      <c r="F239" s="57" t="s">
        <v>1888</v>
      </c>
      <c r="G239" s="56">
        <v>71.0</v>
      </c>
      <c r="H239" s="56">
        <v>3.331594588E9</v>
      </c>
      <c r="I239" s="60" t="s">
        <v>1889</v>
      </c>
    </row>
    <row r="240" ht="15.75" customHeight="1">
      <c r="A240" s="57" t="s">
        <v>1455</v>
      </c>
      <c r="B240" s="56">
        <v>67.0</v>
      </c>
      <c r="C240" s="56">
        <v>9.711145082E9</v>
      </c>
      <c r="D240" s="60" t="s">
        <v>1456</v>
      </c>
      <c r="F240" s="81" t="s">
        <v>21</v>
      </c>
      <c r="G240" s="56">
        <v>67.0</v>
      </c>
      <c r="H240" s="56">
        <v>3.312979638E9</v>
      </c>
      <c r="I240" s="60" t="s">
        <v>1895</v>
      </c>
    </row>
    <row r="241" ht="15.75" customHeight="1">
      <c r="A241" s="57" t="s">
        <v>1495</v>
      </c>
      <c r="B241" s="56">
        <v>72.0</v>
      </c>
      <c r="C241" s="56">
        <v>3.314737337E9</v>
      </c>
      <c r="D241" s="60" t="s">
        <v>1496</v>
      </c>
      <c r="F241" s="57" t="s">
        <v>2023</v>
      </c>
      <c r="G241" s="56">
        <v>69.0</v>
      </c>
      <c r="H241" s="56">
        <v>3.310001134E9</v>
      </c>
      <c r="I241" s="60" t="s">
        <v>2024</v>
      </c>
    </row>
    <row r="242" ht="15.75" customHeight="1">
      <c r="A242" s="57" t="s">
        <v>1582</v>
      </c>
      <c r="B242" s="56">
        <v>72.0</v>
      </c>
      <c r="C242" s="56">
        <v>3.314032528E9</v>
      </c>
      <c r="D242" s="60" t="s">
        <v>1202</v>
      </c>
      <c r="F242" s="57" t="s">
        <v>2114</v>
      </c>
      <c r="G242" s="56">
        <v>70.0</v>
      </c>
      <c r="H242" s="56">
        <v>3.312073011E9</v>
      </c>
      <c r="I242" s="60" t="s">
        <v>2115</v>
      </c>
    </row>
    <row r="243" ht="15.75" customHeight="1">
      <c r="A243" s="81" t="s">
        <v>51</v>
      </c>
      <c r="B243" s="56">
        <v>70.0</v>
      </c>
      <c r="C243" s="56">
        <v>3.31798218E9</v>
      </c>
      <c r="D243" s="60" t="s">
        <v>1731</v>
      </c>
      <c r="F243" s="57" t="s">
        <v>2133</v>
      </c>
      <c r="G243" s="56">
        <v>68.0</v>
      </c>
      <c r="H243" s="56">
        <v>3.317010988E9</v>
      </c>
      <c r="I243" s="60" t="s">
        <v>2134</v>
      </c>
    </row>
    <row r="244" ht="15.75" customHeight="1">
      <c r="A244" s="57" t="s">
        <v>1736</v>
      </c>
      <c r="B244" s="56">
        <v>65.0</v>
      </c>
      <c r="C244" s="56">
        <v>7.442088566E9</v>
      </c>
      <c r="D244" s="60" t="s">
        <v>1737</v>
      </c>
      <c r="F244" s="57" t="s">
        <v>2135</v>
      </c>
      <c r="G244" s="56">
        <v>68.0</v>
      </c>
      <c r="H244" s="56">
        <v>3.312954295E9</v>
      </c>
      <c r="I244" s="60" t="s">
        <v>2136</v>
      </c>
    </row>
    <row r="245" ht="15.75" customHeight="1">
      <c r="A245" s="57" t="s">
        <v>1772</v>
      </c>
      <c r="B245" s="56">
        <v>74.0</v>
      </c>
      <c r="C245" s="56">
        <v>3.314023497E9</v>
      </c>
      <c r="D245" s="60" t="s">
        <v>1768</v>
      </c>
      <c r="F245" s="57" t="s">
        <v>2161</v>
      </c>
      <c r="G245" s="56">
        <v>72.0</v>
      </c>
      <c r="H245" s="56"/>
      <c r="I245" s="60" t="s">
        <v>2162</v>
      </c>
    </row>
    <row r="246" ht="15.75" customHeight="1">
      <c r="A246" s="57" t="s">
        <v>1802</v>
      </c>
      <c r="B246" s="56">
        <v>76.0</v>
      </c>
      <c r="C246" s="56">
        <v>3.319614117E9</v>
      </c>
      <c r="D246" s="60" t="s">
        <v>1803</v>
      </c>
      <c r="F246" s="274" t="s">
        <v>2508</v>
      </c>
    </row>
    <row r="247" ht="15.75" customHeight="1">
      <c r="A247" s="57" t="s">
        <v>1850</v>
      </c>
      <c r="B247" s="56">
        <v>67.0</v>
      </c>
      <c r="C247" s="56">
        <v>3.322897438E9</v>
      </c>
      <c r="D247" s="60" t="s">
        <v>1008</v>
      </c>
      <c r="F247" s="38" t="s">
        <v>105</v>
      </c>
      <c r="G247" s="42" t="s">
        <v>111</v>
      </c>
      <c r="H247" s="42" t="s">
        <v>112</v>
      </c>
      <c r="I247" s="42" t="s">
        <v>113</v>
      </c>
    </row>
    <row r="248" ht="15.75" customHeight="1">
      <c r="A248" s="57" t="s">
        <v>1869</v>
      </c>
      <c r="B248" s="56">
        <v>81.0</v>
      </c>
      <c r="C248" s="56">
        <v>3.312635456E9</v>
      </c>
      <c r="D248" s="60" t="s">
        <v>1870</v>
      </c>
      <c r="F248" s="57" t="s">
        <v>167</v>
      </c>
      <c r="G248" s="56">
        <v>34.0</v>
      </c>
      <c r="H248" s="56">
        <v>3.331080997E9</v>
      </c>
      <c r="I248" s="60" t="s">
        <v>168</v>
      </c>
    </row>
    <row r="249" ht="15.75" customHeight="1">
      <c r="A249" s="57" t="s">
        <v>1899</v>
      </c>
      <c r="B249" s="56">
        <v>82.0</v>
      </c>
      <c r="C249" s="56">
        <v>3.314738846E9</v>
      </c>
      <c r="D249" s="60" t="s">
        <v>1900</v>
      </c>
      <c r="F249" s="57" t="s">
        <v>193</v>
      </c>
      <c r="G249" s="56">
        <v>39.0</v>
      </c>
      <c r="H249" s="56">
        <v>3.333389355E9</v>
      </c>
      <c r="I249" s="60" t="s">
        <v>194</v>
      </c>
    </row>
    <row r="250" ht="15.75" customHeight="1">
      <c r="A250" s="57" t="s">
        <v>1926</v>
      </c>
      <c r="B250" s="56">
        <v>73.0</v>
      </c>
      <c r="C250" s="56">
        <v>3.311420617E9</v>
      </c>
      <c r="D250" s="60" t="s">
        <v>1927</v>
      </c>
      <c r="F250" s="57" t="s">
        <v>735</v>
      </c>
      <c r="G250" s="56">
        <v>37.0</v>
      </c>
      <c r="H250" s="56">
        <v>3.31781076E9</v>
      </c>
      <c r="I250" s="60" t="s">
        <v>736</v>
      </c>
    </row>
    <row r="251" ht="15.75" customHeight="1">
      <c r="A251" s="57" t="s">
        <v>2072</v>
      </c>
      <c r="B251" s="56">
        <v>76.0</v>
      </c>
      <c r="C251" s="56">
        <v>3.317816627E9</v>
      </c>
      <c r="D251" s="60" t="s">
        <v>2073</v>
      </c>
      <c r="F251" s="57" t="s">
        <v>1143</v>
      </c>
      <c r="G251" s="56">
        <v>42.0</v>
      </c>
      <c r="H251" s="56">
        <v>2.251110142E9</v>
      </c>
      <c r="I251" s="60" t="s">
        <v>1144</v>
      </c>
    </row>
    <row r="252" ht="15.75" customHeight="1">
      <c r="A252" s="57" t="s">
        <v>2119</v>
      </c>
      <c r="B252" s="56">
        <v>64.0</v>
      </c>
      <c r="C252" s="56">
        <v>3.310706592E9</v>
      </c>
      <c r="D252" s="60" t="s">
        <v>2120</v>
      </c>
      <c r="F252" s="57" t="s">
        <v>1588</v>
      </c>
      <c r="G252" s="56">
        <v>43.0</v>
      </c>
      <c r="H252" s="56">
        <v>3.310700669E9</v>
      </c>
      <c r="I252" s="60" t="s">
        <v>1125</v>
      </c>
    </row>
    <row r="253" ht="15.75" customHeight="1">
      <c r="F253" s="57" t="s">
        <v>1707</v>
      </c>
      <c r="G253" s="56">
        <v>45.0</v>
      </c>
      <c r="H253" s="56">
        <v>3.312197058E9</v>
      </c>
      <c r="I253" s="60" t="s">
        <v>1708</v>
      </c>
    </row>
    <row r="254" ht="15.75" customHeight="1">
      <c r="A254" s="271" t="s">
        <v>2509</v>
      </c>
      <c r="F254" s="57" t="s">
        <v>1798</v>
      </c>
      <c r="G254" s="56">
        <v>28.0</v>
      </c>
      <c r="H254" s="56">
        <v>3.339032821E9</v>
      </c>
      <c r="I254" s="60" t="s">
        <v>1799</v>
      </c>
    </row>
    <row r="255" ht="15.75" customHeight="1">
      <c r="A255" s="38" t="s">
        <v>105</v>
      </c>
      <c r="B255" s="42" t="s">
        <v>111</v>
      </c>
      <c r="C255" s="42" t="s">
        <v>112</v>
      </c>
      <c r="D255" s="42" t="s">
        <v>113</v>
      </c>
    </row>
    <row r="256" ht="15.75" customHeight="1">
      <c r="A256" s="57" t="s">
        <v>360</v>
      </c>
      <c r="B256" s="56">
        <v>91.0</v>
      </c>
      <c r="C256" s="56" t="s">
        <v>223</v>
      </c>
      <c r="D256" s="60" t="s">
        <v>361</v>
      </c>
      <c r="F256" s="275" t="s">
        <v>2510</v>
      </c>
    </row>
    <row r="257" ht="15.75" customHeight="1">
      <c r="A257" s="57" t="s">
        <v>424</v>
      </c>
      <c r="B257" s="56">
        <v>44.0</v>
      </c>
      <c r="C257" s="56"/>
      <c r="D257" s="60" t="s">
        <v>425</v>
      </c>
      <c r="F257" s="38" t="s">
        <v>105</v>
      </c>
      <c r="G257" s="42" t="s">
        <v>111</v>
      </c>
      <c r="H257" s="42" t="s">
        <v>112</v>
      </c>
      <c r="I257" s="42" t="s">
        <v>113</v>
      </c>
    </row>
    <row r="258" ht="15.75" customHeight="1">
      <c r="A258" s="57" t="s">
        <v>465</v>
      </c>
      <c r="B258" s="56">
        <v>49.0</v>
      </c>
      <c r="C258" s="56">
        <v>3.324179173E9</v>
      </c>
      <c r="D258" s="60" t="s">
        <v>466</v>
      </c>
      <c r="F258" s="57" t="s">
        <v>219</v>
      </c>
      <c r="G258" s="56">
        <v>53.0</v>
      </c>
      <c r="H258" s="56">
        <v>3.313550079E9</v>
      </c>
      <c r="I258" s="60" t="s">
        <v>220</v>
      </c>
    </row>
    <row r="259" ht="15.75" customHeight="1">
      <c r="A259" s="81" t="s">
        <v>38</v>
      </c>
      <c r="B259" s="56">
        <v>32.0</v>
      </c>
      <c r="C259" s="56">
        <v>3.313451816E9</v>
      </c>
      <c r="D259" s="60" t="s">
        <v>520</v>
      </c>
      <c r="F259" s="57" t="s">
        <v>273</v>
      </c>
      <c r="G259" s="56">
        <v>47.0</v>
      </c>
      <c r="H259" s="56">
        <v>3.327009186E9</v>
      </c>
      <c r="I259" s="60" t="s">
        <v>274</v>
      </c>
    </row>
    <row r="260" ht="15.75" customHeight="1">
      <c r="A260" s="57" t="s">
        <v>631</v>
      </c>
      <c r="B260" s="56">
        <v>64.0</v>
      </c>
      <c r="C260" s="56">
        <v>2.411038682E9</v>
      </c>
      <c r="D260" s="60" t="s">
        <v>632</v>
      </c>
      <c r="F260" s="57" t="s">
        <v>365</v>
      </c>
      <c r="G260" s="56">
        <v>59.0</v>
      </c>
      <c r="H260" s="56">
        <v>3.315303935E9</v>
      </c>
      <c r="I260" s="60" t="s">
        <v>366</v>
      </c>
    </row>
    <row r="261" ht="15.75" customHeight="1">
      <c r="A261" s="57" t="s">
        <v>856</v>
      </c>
      <c r="B261" s="56">
        <v>78.0</v>
      </c>
      <c r="C261" s="56">
        <v>3.329216786E9</v>
      </c>
      <c r="D261" s="60" t="s">
        <v>857</v>
      </c>
      <c r="F261" s="81" t="s">
        <v>52</v>
      </c>
      <c r="G261" s="56">
        <v>52.0</v>
      </c>
      <c r="H261" s="56">
        <v>3.313953008E9</v>
      </c>
      <c r="I261" s="60" t="s">
        <v>452</v>
      </c>
    </row>
    <row r="262" ht="15.75" customHeight="1">
      <c r="A262" s="57" t="s">
        <v>966</v>
      </c>
      <c r="B262" s="56">
        <v>40.0</v>
      </c>
      <c r="C262" s="56">
        <v>3.33118799E9</v>
      </c>
      <c r="D262" s="60" t="s">
        <v>691</v>
      </c>
      <c r="F262" s="57" t="s">
        <v>666</v>
      </c>
      <c r="G262" s="56">
        <v>51.0</v>
      </c>
      <c r="H262" s="56">
        <v>3.334633263E9</v>
      </c>
      <c r="I262" s="60" t="s">
        <v>667</v>
      </c>
    </row>
    <row r="263" ht="15.75" customHeight="1">
      <c r="A263" s="57" t="s">
        <v>1096</v>
      </c>
      <c r="B263" s="56">
        <v>72.0</v>
      </c>
      <c r="C263" s="56">
        <v>3.31126019E9</v>
      </c>
      <c r="D263" s="60" t="s">
        <v>1097</v>
      </c>
      <c r="F263" s="57" t="s">
        <v>742</v>
      </c>
      <c r="G263" s="56">
        <v>56.0</v>
      </c>
      <c r="H263" s="56">
        <v>3.310546029E9</v>
      </c>
      <c r="I263" s="60" t="s">
        <v>743</v>
      </c>
    </row>
    <row r="264" ht="15.75" customHeight="1">
      <c r="A264" s="57" t="s">
        <v>1211</v>
      </c>
      <c r="B264" s="56">
        <v>63.0</v>
      </c>
      <c r="C264" s="56">
        <v>3.318261657E9</v>
      </c>
      <c r="D264" s="60" t="s">
        <v>1212</v>
      </c>
      <c r="F264" s="57" t="s">
        <v>784</v>
      </c>
      <c r="G264" s="56">
        <v>48.0</v>
      </c>
      <c r="H264" s="56">
        <v>3.310477087E9</v>
      </c>
      <c r="I264" s="60" t="s">
        <v>785</v>
      </c>
    </row>
    <row r="265" ht="15.75" customHeight="1">
      <c r="A265" s="57" t="s">
        <v>1309</v>
      </c>
      <c r="B265" s="56">
        <v>83.0</v>
      </c>
      <c r="C265" s="56">
        <v>3.337214649E9</v>
      </c>
      <c r="D265" s="60" t="s">
        <v>1310</v>
      </c>
      <c r="F265" s="57" t="s">
        <v>866</v>
      </c>
      <c r="G265" s="56">
        <v>52.0</v>
      </c>
      <c r="H265" s="56">
        <v>3.335761969E9</v>
      </c>
      <c r="I265" s="60" t="s">
        <v>867</v>
      </c>
    </row>
    <row r="266" ht="15.75" customHeight="1">
      <c r="A266" s="57" t="s">
        <v>1349</v>
      </c>
      <c r="B266" s="56">
        <v>47.0</v>
      </c>
      <c r="C266" s="56">
        <v>3.319614214E9</v>
      </c>
      <c r="D266" s="60" t="s">
        <v>1350</v>
      </c>
      <c r="F266" s="57" t="s">
        <v>1013</v>
      </c>
      <c r="G266" s="56">
        <v>58.0</v>
      </c>
      <c r="H266" s="56">
        <v>3.315472191E9</v>
      </c>
      <c r="I266" s="60" t="s">
        <v>1014</v>
      </c>
    </row>
    <row r="267" ht="15.75" customHeight="1">
      <c r="A267" s="57" t="s">
        <v>1374</v>
      </c>
      <c r="B267" s="56">
        <v>24.0</v>
      </c>
      <c r="C267" s="56">
        <v>3.321208631E9</v>
      </c>
      <c r="D267" s="60" t="s">
        <v>1372</v>
      </c>
      <c r="F267" s="57" t="s">
        <v>1045</v>
      </c>
      <c r="G267" s="56">
        <v>48.0</v>
      </c>
      <c r="H267" s="56">
        <v>3.313419066E9</v>
      </c>
      <c r="I267" s="60" t="s">
        <v>1046</v>
      </c>
    </row>
    <row r="268" ht="15.75" customHeight="1">
      <c r="A268" s="57" t="s">
        <v>1434</v>
      </c>
      <c r="B268" s="56">
        <v>40.0</v>
      </c>
      <c r="C268" s="56">
        <v>3.320703133E9</v>
      </c>
      <c r="D268" s="60" t="s">
        <v>1435</v>
      </c>
      <c r="F268" s="57" t="s">
        <v>1126</v>
      </c>
      <c r="G268" s="56">
        <v>52.0</v>
      </c>
      <c r="H268" s="56">
        <v>3.324420906E9</v>
      </c>
      <c r="I268" s="60" t="s">
        <v>1127</v>
      </c>
    </row>
    <row r="269" ht="15.75" customHeight="1">
      <c r="A269" s="57" t="s">
        <v>1446</v>
      </c>
      <c r="B269" s="56">
        <v>80.0</v>
      </c>
      <c r="C269" s="56">
        <v>3.314072768E9</v>
      </c>
      <c r="D269" s="60" t="s">
        <v>1447</v>
      </c>
      <c r="F269" s="57" t="s">
        <v>1290</v>
      </c>
      <c r="G269" s="56">
        <v>58.0</v>
      </c>
      <c r="H269" s="56">
        <v>3.319649262E9</v>
      </c>
      <c r="I269" s="60" t="s">
        <v>1291</v>
      </c>
    </row>
    <row r="270" ht="15.75" customHeight="1">
      <c r="A270" s="57" t="s">
        <v>1457</v>
      </c>
      <c r="B270" s="56">
        <v>52.0</v>
      </c>
      <c r="C270" s="56">
        <v>3.338462524E9</v>
      </c>
      <c r="D270" s="60" t="s">
        <v>1458</v>
      </c>
      <c r="F270" s="57" t="s">
        <v>1304</v>
      </c>
      <c r="G270" s="56">
        <v>58.0</v>
      </c>
      <c r="H270" s="56">
        <v>3.331890699E9</v>
      </c>
      <c r="I270" s="60" t="s">
        <v>1305</v>
      </c>
    </row>
    <row r="271" ht="15.75" customHeight="1">
      <c r="A271" s="57" t="s">
        <v>1572</v>
      </c>
      <c r="B271" s="56">
        <v>72.0</v>
      </c>
      <c r="C271" s="56" t="s">
        <v>223</v>
      </c>
      <c r="D271" s="60" t="s">
        <v>1518</v>
      </c>
      <c r="F271" s="57" t="s">
        <v>1330</v>
      </c>
      <c r="G271" s="56">
        <v>54.0</v>
      </c>
      <c r="H271" s="56">
        <v>3.315521978E9</v>
      </c>
      <c r="I271" s="60" t="s">
        <v>1331</v>
      </c>
    </row>
    <row r="272" ht="15.75" customHeight="1">
      <c r="A272" s="57" t="s">
        <v>1611</v>
      </c>
      <c r="B272" s="56">
        <v>87.0</v>
      </c>
      <c r="C272" s="56" t="s">
        <v>223</v>
      </c>
      <c r="D272" s="60" t="s">
        <v>1612</v>
      </c>
      <c r="F272" s="57" t="s">
        <v>1453</v>
      </c>
      <c r="G272" s="56">
        <v>55.0</v>
      </c>
      <c r="H272" s="56">
        <v>3.313443677E9</v>
      </c>
      <c r="I272" s="60" t="s">
        <v>1454</v>
      </c>
    </row>
    <row r="273" ht="15.75" customHeight="1">
      <c r="A273" s="57" t="s">
        <v>1865</v>
      </c>
      <c r="B273" s="56">
        <v>38.0</v>
      </c>
      <c r="C273" s="56">
        <v>3.319901048E9</v>
      </c>
      <c r="D273" s="60" t="s">
        <v>1866</v>
      </c>
      <c r="F273" s="57" t="s">
        <v>1459</v>
      </c>
      <c r="G273" s="56">
        <v>58.0</v>
      </c>
      <c r="H273" s="56">
        <v>3.317975932E9</v>
      </c>
      <c r="I273" s="60" t="s">
        <v>1460</v>
      </c>
    </row>
    <row r="274" ht="15.75" customHeight="1">
      <c r="A274" s="57" t="s">
        <v>2270</v>
      </c>
      <c r="B274" s="56">
        <v>32.0</v>
      </c>
      <c r="C274" s="56">
        <v>3.326570033E9</v>
      </c>
      <c r="D274" s="60" t="s">
        <v>1243</v>
      </c>
      <c r="F274" s="57" t="s">
        <v>1743</v>
      </c>
      <c r="G274" s="56">
        <v>50.0</v>
      </c>
      <c r="H274" s="56">
        <v>3.321319632E9</v>
      </c>
      <c r="I274" s="60" t="s">
        <v>653</v>
      </c>
    </row>
    <row r="275" ht="15.75" customHeight="1">
      <c r="A275" s="57" t="s">
        <v>2116</v>
      </c>
      <c r="B275" s="56">
        <v>46.0</v>
      </c>
      <c r="C275" s="56">
        <v>3.328481934E9</v>
      </c>
      <c r="D275" s="60" t="s">
        <v>2117</v>
      </c>
      <c r="F275" s="57" t="s">
        <v>1770</v>
      </c>
      <c r="G275" s="56">
        <v>59.0</v>
      </c>
      <c r="H275" s="56">
        <v>3.319675361E9</v>
      </c>
      <c r="I275" s="60"/>
    </row>
    <row r="276" ht="15.75" customHeight="1">
      <c r="A276" s="57" t="s">
        <v>2148</v>
      </c>
      <c r="B276" s="56">
        <v>30.0</v>
      </c>
      <c r="C276" s="56">
        <v>3.331477408E9</v>
      </c>
      <c r="D276" s="60" t="s">
        <v>2149</v>
      </c>
      <c r="F276" s="57" t="s">
        <v>1791</v>
      </c>
      <c r="G276" s="56">
        <v>56.0</v>
      </c>
      <c r="H276" s="56">
        <v>3.310630633E9</v>
      </c>
      <c r="I276" s="60" t="s">
        <v>1792</v>
      </c>
    </row>
    <row r="277" ht="15.75" customHeight="1">
      <c r="A277" s="57" t="s">
        <v>2169</v>
      </c>
      <c r="B277" s="56">
        <v>73.0</v>
      </c>
      <c r="C277" s="56">
        <v>3.314393948E9</v>
      </c>
      <c r="D277" s="60" t="s">
        <v>2168</v>
      </c>
      <c r="F277" s="57" t="s">
        <v>1948</v>
      </c>
      <c r="G277" s="56">
        <v>54.0</v>
      </c>
      <c r="H277" s="56">
        <v>3.312504161E9</v>
      </c>
      <c r="I277" s="60" t="s">
        <v>1949</v>
      </c>
    </row>
    <row r="278" ht="15.75" customHeight="1">
      <c r="F278" s="57" t="s">
        <v>2172</v>
      </c>
      <c r="G278" s="56">
        <v>53.0</v>
      </c>
      <c r="H278" s="56">
        <v>3.312523111E9</v>
      </c>
      <c r="I278" s="60" t="s">
        <v>2173</v>
      </c>
    </row>
    <row r="279" ht="15.75" customHeight="1">
      <c r="F279" s="57" t="s">
        <v>2183</v>
      </c>
      <c r="G279" s="56">
        <v>58.0</v>
      </c>
      <c r="H279" s="56">
        <v>3.331016036E9</v>
      </c>
      <c r="I279" s="60"/>
    </row>
    <row r="280" ht="15.75" customHeight="1"/>
    <row r="281" ht="15.75" customHeight="1">
      <c r="F281" s="275" t="s">
        <v>2511</v>
      </c>
    </row>
    <row r="282" ht="15.75" customHeight="1">
      <c r="F282" s="38" t="s">
        <v>105</v>
      </c>
      <c r="G282" s="42" t="s">
        <v>111</v>
      </c>
      <c r="H282" s="42" t="s">
        <v>112</v>
      </c>
      <c r="I282" s="42" t="s">
        <v>113</v>
      </c>
    </row>
    <row r="283" ht="15.75" customHeight="1">
      <c r="F283" s="57" t="s">
        <v>137</v>
      </c>
      <c r="G283" s="56">
        <v>71.0</v>
      </c>
      <c r="H283" s="56">
        <v>3.310421508E9</v>
      </c>
      <c r="I283" s="60" t="s">
        <v>138</v>
      </c>
    </row>
    <row r="284" ht="15.75" customHeight="1">
      <c r="F284" s="57" t="s">
        <v>239</v>
      </c>
      <c r="G284" s="56">
        <v>69.0</v>
      </c>
      <c r="H284" s="56">
        <v>3.111188355E9</v>
      </c>
      <c r="I284" s="60" t="s">
        <v>240</v>
      </c>
    </row>
    <row r="285" ht="15.75" customHeight="1">
      <c r="F285" s="57" t="s">
        <v>288</v>
      </c>
      <c r="G285" s="56">
        <v>79.0</v>
      </c>
      <c r="H285" s="56">
        <v>3.31485877E8</v>
      </c>
      <c r="I285" s="60" t="s">
        <v>289</v>
      </c>
    </row>
    <row r="286" ht="15.75" customHeight="1">
      <c r="F286" s="57" t="s">
        <v>295</v>
      </c>
      <c r="G286" s="56">
        <v>79.0</v>
      </c>
      <c r="H286" s="56">
        <v>1.9322311E7</v>
      </c>
      <c r="I286" s="60" t="s">
        <v>296</v>
      </c>
    </row>
    <row r="287" ht="15.75" customHeight="1">
      <c r="F287" s="57" t="s">
        <v>347</v>
      </c>
      <c r="G287" s="56">
        <v>71.0</v>
      </c>
      <c r="H287" s="56">
        <v>3.310548808E9</v>
      </c>
      <c r="I287" s="60" t="s">
        <v>348</v>
      </c>
    </row>
    <row r="288" ht="15.75" customHeight="1">
      <c r="F288" s="57" t="s">
        <v>386</v>
      </c>
      <c r="G288" s="56">
        <v>66.0</v>
      </c>
      <c r="H288" s="56">
        <v>3.334471364E9</v>
      </c>
      <c r="I288" s="60" t="s">
        <v>384</v>
      </c>
    </row>
    <row r="289" ht="15.75" customHeight="1">
      <c r="F289" s="57" t="s">
        <v>413</v>
      </c>
      <c r="G289" s="56">
        <v>92.0</v>
      </c>
      <c r="H289" s="56">
        <v>3.6084675E7</v>
      </c>
      <c r="I289" s="60" t="s">
        <v>414</v>
      </c>
    </row>
    <row r="290" ht="15.75" customHeight="1">
      <c r="F290" s="57" t="s">
        <v>443</v>
      </c>
      <c r="G290" s="56">
        <v>60.0</v>
      </c>
      <c r="H290" s="56">
        <v>3.314358826E9</v>
      </c>
      <c r="I290" s="60" t="s">
        <v>444</v>
      </c>
    </row>
    <row r="291" ht="15.75" customHeight="1">
      <c r="F291" s="57" t="s">
        <v>469</v>
      </c>
      <c r="G291" s="56">
        <v>75.0</v>
      </c>
      <c r="H291" s="56" t="s">
        <v>470</v>
      </c>
      <c r="I291" s="60" t="s">
        <v>471</v>
      </c>
    </row>
    <row r="292" ht="15.75" customHeight="1">
      <c r="F292" s="57" t="s">
        <v>557</v>
      </c>
      <c r="G292" s="56">
        <v>84.0</v>
      </c>
      <c r="H292" s="56">
        <v>3.6082751E7</v>
      </c>
      <c r="I292" s="60" t="s">
        <v>558</v>
      </c>
    </row>
    <row r="293" ht="15.75" customHeight="1">
      <c r="F293" s="57" t="s">
        <v>747</v>
      </c>
      <c r="G293" s="56">
        <v>76.0</v>
      </c>
      <c r="H293" s="56">
        <v>3.6551962E7</v>
      </c>
      <c r="I293" s="60" t="s">
        <v>748</v>
      </c>
    </row>
    <row r="294" ht="15.75" customHeight="1">
      <c r="F294" s="57" t="s">
        <v>754</v>
      </c>
      <c r="G294" s="56">
        <v>63.0</v>
      </c>
      <c r="H294" s="56" t="s">
        <v>755</v>
      </c>
      <c r="I294" s="60" t="s">
        <v>756</v>
      </c>
    </row>
    <row r="295" ht="15.75" customHeight="1">
      <c r="F295" s="57" t="s">
        <v>869</v>
      </c>
      <c r="G295" s="56">
        <v>67.0</v>
      </c>
      <c r="H295" s="56">
        <v>3.311027553E9</v>
      </c>
      <c r="I295" s="60" t="s">
        <v>870</v>
      </c>
    </row>
    <row r="296" ht="15.75" customHeight="1">
      <c r="F296" s="57" t="s">
        <v>898</v>
      </c>
      <c r="G296" s="56">
        <v>80.0</v>
      </c>
      <c r="H296" s="56">
        <v>3.311822821E9</v>
      </c>
      <c r="I296" s="60" t="s">
        <v>899</v>
      </c>
    </row>
    <row r="297" ht="15.75" customHeight="1">
      <c r="F297" s="57" t="s">
        <v>945</v>
      </c>
      <c r="G297" s="56">
        <v>73.0</v>
      </c>
      <c r="H297" s="56">
        <v>3.315548419E9</v>
      </c>
      <c r="I297" s="60" t="s">
        <v>946</v>
      </c>
    </row>
    <row r="298" ht="15.75" customHeight="1">
      <c r="F298" s="57" t="s">
        <v>961</v>
      </c>
      <c r="G298" s="56">
        <v>63.0</v>
      </c>
      <c r="H298" s="56">
        <v>3.312616735E9</v>
      </c>
      <c r="I298" s="60" t="s">
        <v>962</v>
      </c>
    </row>
    <row r="299" ht="15.75" customHeight="1">
      <c r="F299" s="57" t="s">
        <v>986</v>
      </c>
      <c r="G299" s="56">
        <v>61.0</v>
      </c>
      <c r="H299" s="56">
        <v>3.31961985E9</v>
      </c>
      <c r="I299" s="60" t="s">
        <v>987</v>
      </c>
    </row>
    <row r="300" ht="15.75" customHeight="1">
      <c r="F300" s="57" t="s">
        <v>1040</v>
      </c>
      <c r="G300" s="56">
        <v>69.0</v>
      </c>
      <c r="H300" s="56">
        <v>3.312975617E9</v>
      </c>
      <c r="I300" s="60" t="s">
        <v>1041</v>
      </c>
    </row>
    <row r="301" ht="15.75" customHeight="1">
      <c r="F301" s="57" t="s">
        <v>1196</v>
      </c>
      <c r="G301" s="56">
        <v>77.0</v>
      </c>
      <c r="H301" s="56">
        <v>3.310388699E9</v>
      </c>
      <c r="I301" s="60" t="s">
        <v>1197</v>
      </c>
    </row>
    <row r="302" ht="15.75" customHeight="1">
      <c r="F302" s="57" t="s">
        <v>1244</v>
      </c>
      <c r="G302" s="56">
        <v>83.0</v>
      </c>
      <c r="H302" s="56">
        <v>3.6089896E7</v>
      </c>
      <c r="I302" s="60" t="s">
        <v>1245</v>
      </c>
    </row>
    <row r="303" ht="15.75" customHeight="1">
      <c r="F303" s="57" t="s">
        <v>1313</v>
      </c>
      <c r="G303" s="56">
        <v>85.0</v>
      </c>
      <c r="H303" s="56" t="s">
        <v>223</v>
      </c>
      <c r="I303" s="60" t="s">
        <v>1314</v>
      </c>
    </row>
    <row r="304" ht="15.75" customHeight="1">
      <c r="F304" s="57" t="s">
        <v>1323</v>
      </c>
      <c r="G304" s="56">
        <v>76.0</v>
      </c>
      <c r="H304" s="56">
        <v>3.313971693E9</v>
      </c>
      <c r="I304" s="60" t="s">
        <v>1324</v>
      </c>
    </row>
    <row r="305" ht="15.75" customHeight="1">
      <c r="F305" s="57" t="s">
        <v>1338</v>
      </c>
      <c r="G305" s="56">
        <v>84.0</v>
      </c>
      <c r="H305" s="56">
        <v>3.6080945E7</v>
      </c>
      <c r="I305" s="60" t="s">
        <v>1339</v>
      </c>
    </row>
    <row r="306" ht="15.75" customHeight="1">
      <c r="F306" s="57" t="s">
        <v>1353</v>
      </c>
      <c r="G306" s="56">
        <v>63.0</v>
      </c>
      <c r="H306" s="56">
        <v>3.320134992E9</v>
      </c>
      <c r="I306" s="60" t="s">
        <v>1354</v>
      </c>
    </row>
    <row r="307" ht="15.75" customHeight="1">
      <c r="F307" s="57" t="s">
        <v>1475</v>
      </c>
      <c r="G307" s="56">
        <v>68.0</v>
      </c>
      <c r="H307" s="56">
        <v>5.515840466E9</v>
      </c>
      <c r="I307" s="60" t="s">
        <v>1476</v>
      </c>
    </row>
    <row r="308" ht="15.75" customHeight="1">
      <c r="F308" s="57" t="s">
        <v>1527</v>
      </c>
      <c r="G308" s="56">
        <v>68.0</v>
      </c>
      <c r="H308" s="56">
        <v>3.313421317E9</v>
      </c>
      <c r="I308" s="60" t="s">
        <v>1528</v>
      </c>
    </row>
    <row r="309" ht="15.75" customHeight="1">
      <c r="F309" s="57" t="s">
        <v>1548</v>
      </c>
      <c r="G309" s="56">
        <v>65.0</v>
      </c>
      <c r="H309" s="56" t="s">
        <v>223</v>
      </c>
      <c r="I309" s="60" t="s">
        <v>1549</v>
      </c>
    </row>
    <row r="310" ht="15.75" customHeight="1">
      <c r="F310" s="57" t="s">
        <v>1579</v>
      </c>
      <c r="G310" s="56">
        <v>66.0</v>
      </c>
      <c r="H310" s="56">
        <v>3.312370227E9</v>
      </c>
      <c r="I310" s="60" t="s">
        <v>1580</v>
      </c>
    </row>
    <row r="311" ht="15.75" customHeight="1">
      <c r="F311" s="57" t="s">
        <v>1584</v>
      </c>
      <c r="G311" s="56">
        <v>80.0</v>
      </c>
      <c r="H311" s="56">
        <v>3.311312676E9</v>
      </c>
      <c r="I311" s="60" t="s">
        <v>1585</v>
      </c>
    </row>
    <row r="312" ht="15.75" customHeight="1">
      <c r="F312" s="57" t="s">
        <v>1586</v>
      </c>
      <c r="G312" s="56">
        <v>61.0</v>
      </c>
      <c r="H312" s="56">
        <v>3.310196837E9</v>
      </c>
      <c r="I312" s="60" t="s">
        <v>1587</v>
      </c>
    </row>
    <row r="313" ht="15.75" customHeight="1">
      <c r="F313" s="57" t="s">
        <v>1626</v>
      </c>
      <c r="G313" s="56">
        <v>74.0</v>
      </c>
      <c r="H313" s="56" t="s">
        <v>223</v>
      </c>
      <c r="I313" s="60" t="s">
        <v>1627</v>
      </c>
    </row>
    <row r="314" ht="15.75" customHeight="1">
      <c r="F314" s="57" t="s">
        <v>1687</v>
      </c>
      <c r="G314" s="56">
        <v>74.0</v>
      </c>
      <c r="H314" s="56">
        <v>1.491505E7</v>
      </c>
      <c r="I314" s="60" t="s">
        <v>1688</v>
      </c>
    </row>
    <row r="315" ht="15.75" customHeight="1">
      <c r="F315" s="57" t="s">
        <v>1694</v>
      </c>
      <c r="G315" s="56">
        <v>85.0</v>
      </c>
      <c r="H315" s="56" t="s">
        <v>1695</v>
      </c>
      <c r="I315" s="60" t="s">
        <v>1696</v>
      </c>
    </row>
    <row r="316" ht="15.75" customHeight="1">
      <c r="F316" s="57" t="s">
        <v>1759</v>
      </c>
      <c r="G316" s="56">
        <v>88.0</v>
      </c>
      <c r="H316" s="56">
        <v>3.6494327E7</v>
      </c>
      <c r="I316" s="60" t="s">
        <v>1760</v>
      </c>
    </row>
    <row r="317" ht="15.75" customHeight="1">
      <c r="F317" s="57" t="s">
        <v>1804</v>
      </c>
      <c r="G317" s="56">
        <v>65.0</v>
      </c>
      <c r="H317" s="56">
        <v>3.310910185E9</v>
      </c>
      <c r="I317" s="60" t="s">
        <v>1805</v>
      </c>
    </row>
    <row r="318" ht="15.75" customHeight="1">
      <c r="F318" s="57" t="s">
        <v>1828</v>
      </c>
      <c r="G318" s="56">
        <v>76.0</v>
      </c>
      <c r="H318" s="56">
        <v>3.333990938E9</v>
      </c>
      <c r="I318" s="60" t="s">
        <v>1829</v>
      </c>
    </row>
    <row r="319" ht="15.75" customHeight="1">
      <c r="F319" s="57" t="s">
        <v>1842</v>
      </c>
      <c r="G319" s="56">
        <v>71.0</v>
      </c>
      <c r="H319" s="56">
        <v>3.315463541E9</v>
      </c>
      <c r="I319" s="60" t="s">
        <v>1843</v>
      </c>
    </row>
    <row r="320" ht="15.75" customHeight="1">
      <c r="F320" s="57" t="s">
        <v>1929</v>
      </c>
      <c r="G320" s="56">
        <v>80.0</v>
      </c>
      <c r="H320" s="56">
        <v>3.339666431E9</v>
      </c>
      <c r="I320" s="60" t="s">
        <v>1930</v>
      </c>
    </row>
    <row r="321" ht="15.75" customHeight="1">
      <c r="F321" s="57" t="s">
        <v>1959</v>
      </c>
      <c r="G321" s="56">
        <v>64.0</v>
      </c>
      <c r="H321" s="56">
        <v>3.331859582E9</v>
      </c>
      <c r="I321" s="60" t="s">
        <v>865</v>
      </c>
    </row>
    <row r="322" ht="15.75" customHeight="1">
      <c r="F322" s="81" t="s">
        <v>46</v>
      </c>
      <c r="G322" s="56">
        <v>76.0</v>
      </c>
      <c r="H322" s="56">
        <v>3.334091357E9</v>
      </c>
      <c r="I322" s="60" t="s">
        <v>1979</v>
      </c>
    </row>
    <row r="323" ht="15.75" customHeight="1">
      <c r="F323" s="57" t="s">
        <v>1998</v>
      </c>
      <c r="G323" s="56">
        <v>84.0</v>
      </c>
      <c r="H323" s="56">
        <v>3.698074E7</v>
      </c>
      <c r="I323" s="60" t="s">
        <v>1999</v>
      </c>
    </row>
    <row r="324" ht="15.75" customHeight="1">
      <c r="F324" s="57" t="s">
        <v>2047</v>
      </c>
      <c r="G324" s="56">
        <v>69.0</v>
      </c>
      <c r="H324" s="56">
        <v>3.319196425E9</v>
      </c>
      <c r="I324" s="60" t="s">
        <v>2048</v>
      </c>
    </row>
    <row r="325" ht="15.75" customHeight="1">
      <c r="F325" s="57" t="s">
        <v>2088</v>
      </c>
      <c r="G325" s="56">
        <v>69.0</v>
      </c>
      <c r="H325" s="56">
        <v>3.321577754E9</v>
      </c>
      <c r="I325" s="60" t="s">
        <v>2089</v>
      </c>
    </row>
    <row r="326" ht="15.75" customHeight="1">
      <c r="F326" s="57" t="s">
        <v>15</v>
      </c>
      <c r="G326" s="56">
        <v>77.0</v>
      </c>
      <c r="H326" s="56">
        <v>3.6089298E7</v>
      </c>
      <c r="I326" s="60" t="s">
        <v>2101</v>
      </c>
    </row>
    <row r="327" ht="15.75" customHeight="1">
      <c r="F327" s="57" t="s">
        <v>2108</v>
      </c>
      <c r="G327" s="56">
        <v>75.0</v>
      </c>
      <c r="H327" s="56">
        <v>3.31635636E9</v>
      </c>
      <c r="I327" s="60" t="s">
        <v>2109</v>
      </c>
    </row>
    <row r="328" ht="15.75" customHeight="1">
      <c r="F328" s="57" t="s">
        <v>2142</v>
      </c>
      <c r="G328" s="56">
        <v>60.0</v>
      </c>
      <c r="H328" s="56">
        <v>3.316333155E9</v>
      </c>
      <c r="I328" s="60" t="s">
        <v>2143</v>
      </c>
    </row>
    <row r="329" ht="15.75" customHeight="1">
      <c r="F329" s="57" t="s">
        <v>2145</v>
      </c>
      <c r="G329" s="56">
        <v>70.0</v>
      </c>
      <c r="H329" s="56">
        <v>5.568608903E9</v>
      </c>
      <c r="I329" s="60" t="s">
        <v>1447</v>
      </c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